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m\source\repos\ElectricCalculation\"/>
    </mc:Choice>
  </mc:AlternateContent>
  <xr:revisionPtr revIDLastSave="0" documentId="8_{B969C336-D6C6-4FBD-A7C2-92A471A83D87}" xr6:coauthVersionLast="47" xr6:coauthVersionMax="47" xr10:uidLastSave="{00000000-0000-0000-0000-000000000000}"/>
  <bookViews>
    <workbookView xWindow="-120" yWindow="-120" windowWidth="29040" windowHeight="15840" xr2:uid="{7AAE554F-CCD1-42A6-9348-B402D2F6E228}"/>
  </bookViews>
  <sheets>
    <sheet name="Mẫu phiếu thông báo" sheetId="1" r:id="rId1"/>
  </sheets>
  <externalReferences>
    <externalReference r:id="rId2"/>
  </externalReferences>
  <definedNames>
    <definedName name="A">'Mẫu phiếu thông báo'!$A$3</definedName>
    <definedName name="MaKH">'[1]In phieu thu'!#REF!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 s="1"/>
  <c r="A19" i="1"/>
  <c r="D13" i="1" l="1"/>
  <c r="C13" i="1"/>
  <c r="B13" i="1"/>
  <c r="E13" i="1" s="1"/>
  <c r="I10" i="1"/>
  <c r="I8" i="1"/>
  <c r="A8" i="1"/>
  <c r="I7" i="1"/>
  <c r="I17" i="1"/>
  <c r="I16" i="1"/>
  <c r="I15" i="1"/>
  <c r="I13" i="1"/>
  <c r="A7" i="1"/>
  <c r="G13" i="1"/>
  <c r="A5" i="1"/>
  <c r="F13" i="1"/>
  <c r="H13" i="1" l="1"/>
  <c r="H18" i="1" s="1"/>
</calcChain>
</file>

<file path=xl/sharedStrings.xml><?xml version="1.0" encoding="utf-8"?>
<sst xmlns="http://schemas.openxmlformats.org/spreadsheetml/2006/main" count="19" uniqueCount="18">
  <si>
    <t>Hồ Thành Long</t>
  </si>
  <si>
    <t>NGƯỜI LẬP PHIẾU</t>
  </si>
  <si>
    <t>BAN CƠ SỞ VẬT CHẤT</t>
  </si>
  <si>
    <t>Hà Nội, ngày 18 tháng 4 năm 2025</t>
  </si>
  <si>
    <t>ĐT: 024 3 868 1954</t>
  </si>
  <si>
    <t>Ban Cơ sở vật chất</t>
  </si>
  <si>
    <t>Tổng cộng:</t>
  </si>
  <si>
    <t>Thành tiền
(VNĐ)</t>
  </si>
  <si>
    <t>Đơn giá
(VNĐ)</t>
  </si>
  <si>
    <t>Bao cấp
(kWh)</t>
  </si>
  <si>
    <t>Điện năng tiêu thụ (kWh)</t>
  </si>
  <si>
    <t>Hệ số</t>
  </si>
  <si>
    <t>Chỉ số 
cũ</t>
  </si>
  <si>
    <t>Chỉ số mới</t>
  </si>
  <si>
    <t>STT</t>
  </si>
  <si>
    <t>Tháng 3 năm 2025</t>
  </si>
  <si>
    <t>PHIẾU THÔNG BÁO ĐIỆN TIÊU THỤ</t>
  </si>
  <si>
    <t>ĐẠI HỌC BÁCH KHOA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</si>
</sst>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i/>
      <sz val="11"/>
      <name val="Times New Roman"/>
      <family val="1"/>
    </font>
    <font>
      <sz val="10"/>
      <color indexed="56"/>
      <name val="Times New Roman"/>
      <family val="1"/>
    </font>
    <font>
      <b/>
      <sz val="10"/>
      <color indexed="9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43" fontId="6" fillId="0" borderId="5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43" fontId="6" fillId="0" borderId="8" xfId="1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43" fontId="11" fillId="0" borderId="5" xfId="0" applyNumberFormat="1" applyFont="1" applyBorder="1" applyAlignment="1">
      <alignment horizontal="left" vertical="center"/>
    </xf>
    <xf numFmtId="164" fontId="5" fillId="0" borderId="10" xfId="1" applyNumberFormat="1" applyFont="1" applyFill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43" fontId="5" fillId="0" borderId="10" xfId="1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43" fontId="11" fillId="0" borderId="5" xfId="0" applyNumberFormat="1" applyFont="1" applyBorder="1" applyAlignment="1">
      <alignment horizontal="left" vertical="top" wrapText="1"/>
    </xf>
    <xf numFmtId="164" fontId="5" fillId="0" borderId="12" xfId="1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12" fillId="0" borderId="12" xfId="1" applyNumberFormat="1" applyFont="1" applyFill="1" applyBorder="1" applyAlignment="1" applyProtection="1">
      <alignment vertical="center"/>
      <protection hidden="1"/>
    </xf>
    <xf numFmtId="3" fontId="5" fillId="0" borderId="13" xfId="1" applyNumberFormat="1" applyFont="1" applyFill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3" xfId="1" applyNumberFormat="1" applyFont="1" applyFill="1" applyBorder="1" applyAlignment="1" applyProtection="1">
      <alignment vertical="center"/>
      <protection hidden="1"/>
    </xf>
    <xf numFmtId="0" fontId="5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3" fontId="11" fillId="0" borderId="5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3" fontId="11" fillId="0" borderId="14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37" fontId="5" fillId="0" borderId="0" xfId="0" applyNumberFormat="1" applyFont="1"/>
    <xf numFmtId="0" fontId="10" fillId="0" borderId="0" xfId="0" applyFont="1"/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m\source\repos\ElectricCalculation\Template.xlsx" TargetMode="External"/><Relationship Id="rId1" Type="http://schemas.openxmlformats.org/officeDocument/2006/relationships/externalLinkPath" Target="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 phieu thu"/>
      <sheetName val="Bảng kê"/>
      <sheetName val="Phiếu thông báo"/>
      <sheetName val="Data"/>
      <sheetName val="Ban  in so"/>
      <sheetName val="Chart2"/>
      <sheetName val="Chart1"/>
      <sheetName val="Trường Cơ khí"/>
      <sheetName val="Trường Điện - Điện tử"/>
      <sheetName val="Trường CNTT "/>
      <sheetName val="Trường Hóa &amp; KHSS"/>
      <sheetName val="Trường Vật liệu"/>
    </sheetNames>
    <sheetDataSet>
      <sheetData sheetId="0">
        <row r="6">
          <cell r="C6">
            <v>206</v>
          </cell>
        </row>
      </sheetData>
      <sheetData sheetId="1"/>
      <sheetData sheetId="2"/>
      <sheetData sheetId="3">
        <row r="1">
          <cell r="A1" t="str">
            <v>BẢNG TỔNG HỢP HỘ TIÊU THỤ ĐIỆN THÁNG 6 NĂM 2025</v>
          </cell>
        </row>
        <row r="3">
          <cell r="A3" t="str">
            <v>STT</v>
          </cell>
          <cell r="B3" t="str">
            <v>Hộ tiêu thụ điện</v>
          </cell>
          <cell r="C3" t="str">
            <v>Đơn vị chủ quản</v>
          </cell>
          <cell r="D3" t="str">
            <v>Địa chỉ hộ
tiêu thụ điện</v>
          </cell>
          <cell r="E3" t="str">
            <v>Điện thoại 
hộ tiêu thụ điện</v>
          </cell>
          <cell r="F3" t="str">
            <v>Đại diện hộ tiêu thụ</v>
          </cell>
          <cell r="G3" t="str">
            <v>Điện thoại
 người đại diện</v>
          </cell>
          <cell r="H3" t="str">
            <v>Nhà/ Tòa nhà</v>
          </cell>
          <cell r="I3" t="str">
            <v>T</v>
          </cell>
          <cell r="J3" t="str">
            <v>Số công tơ</v>
          </cell>
          <cell r="K3" t="str">
            <v>Loại công tơ</v>
          </cell>
          <cell r="L3" t="str">
            <v>Vị trí 
đặt công tơ</v>
          </cell>
          <cell r="M3" t="str">
            <v>Trạm biến áp</v>
          </cell>
          <cell r="N3" t="str">
            <v>Trang</v>
          </cell>
          <cell r="O3" t="str">
            <v>Chỉ số mới</v>
          </cell>
          <cell r="P3" t="str">
            <v>Chỉ số cũ</v>
          </cell>
          <cell r="Q3" t="str">
            <v>Hệ số nhân</v>
          </cell>
          <cell r="R3" t="str">
            <v>Tổng điện năng 
tiêu thụ</v>
          </cell>
          <cell r="S3" t="str">
            <v>Bao cấp</v>
          </cell>
          <cell r="T3" t="str">
            <v>Điện năng tiêu thụ phải trả</v>
          </cell>
          <cell r="U3" t="str">
            <v>Đơn giá trả công ty Điện lực HBT và hao tổn đường dây</v>
          </cell>
          <cell r="V3" t="str">
            <v>Thành tiền</v>
          </cell>
          <cell r="W3" t="str">
            <v>Người thực hiện</v>
          </cell>
        </row>
        <row r="4">
          <cell r="A4">
            <v>-1</v>
          </cell>
          <cell r="B4">
            <v>-2</v>
          </cell>
          <cell r="C4">
            <v>-3</v>
          </cell>
          <cell r="D4">
            <v>-4</v>
          </cell>
          <cell r="E4">
            <v>-5</v>
          </cell>
          <cell r="F4">
            <v>-6</v>
          </cell>
          <cell r="G4">
            <v>-7</v>
          </cell>
          <cell r="H4">
            <v>-8</v>
          </cell>
          <cell r="I4">
            <v>-9</v>
          </cell>
          <cell r="J4">
            <v>-10</v>
          </cell>
          <cell r="K4">
            <v>-11</v>
          </cell>
          <cell r="L4">
            <v>-12</v>
          </cell>
          <cell r="M4">
            <v>-13</v>
          </cell>
          <cell r="N4">
            <v>-14</v>
          </cell>
          <cell r="O4">
            <v>-15</v>
          </cell>
          <cell r="P4">
            <v>-15</v>
          </cell>
          <cell r="Q4">
            <v>-17</v>
          </cell>
          <cell r="R4">
            <v>-18</v>
          </cell>
          <cell r="S4">
            <v>-19</v>
          </cell>
          <cell r="T4">
            <v>-20</v>
          </cell>
          <cell r="U4">
            <v>-21</v>
          </cell>
          <cell r="V4">
            <v>-22</v>
          </cell>
          <cell r="W4">
            <v>-23</v>
          </cell>
        </row>
        <row r="5">
          <cell r="A5">
            <v>1</v>
          </cell>
          <cell r="B5" t="str">
            <v>Kiot Tea &amp; Coffee KĐ B</v>
          </cell>
          <cell r="C5" t="str">
            <v>HĐKT</v>
          </cell>
          <cell r="D5" t="str">
            <v>Lô 3 KĐB - SVĐ</v>
          </cell>
          <cell r="F5" t="str">
            <v>Nguyễn Phi Trường</v>
          </cell>
          <cell r="G5" t="str">
            <v>0346413588</v>
          </cell>
          <cell r="H5" t="str">
            <v>SVĐ</v>
          </cell>
          <cell r="J5">
            <v>1711</v>
          </cell>
          <cell r="K5" t="str">
            <v>1 pha</v>
          </cell>
          <cell r="L5" t="str">
            <v>KĐ B- SVĐ</v>
          </cell>
          <cell r="M5" t="str">
            <v>VVL</v>
          </cell>
          <cell r="N5">
            <v>1</v>
          </cell>
          <cell r="Q5">
            <v>1</v>
          </cell>
          <cell r="R5">
            <v>0</v>
          </cell>
          <cell r="S5">
            <v>0</v>
          </cell>
          <cell r="T5">
            <v>0</v>
          </cell>
          <cell r="U5">
            <v>4169</v>
          </cell>
          <cell r="V5">
            <v>0</v>
          </cell>
          <cell r="W5" t="str">
            <v>Sơn</v>
          </cell>
        </row>
        <row r="6">
          <cell r="A6">
            <v>2</v>
          </cell>
          <cell r="B6" t="str">
            <v>Kiot Trịnh Thị Thu Trang</v>
          </cell>
          <cell r="C6" t="str">
            <v>HĐKT</v>
          </cell>
          <cell r="D6" t="str">
            <v xml:space="preserve">Lô 13B KĐB - SVĐ </v>
          </cell>
          <cell r="E6" t="str">
            <v>0359933033</v>
          </cell>
          <cell r="F6" t="str">
            <v>Trịnh Thị Thu Trang</v>
          </cell>
          <cell r="G6" t="str">
            <v>0986675792</v>
          </cell>
          <cell r="H6" t="str">
            <v>SVĐ</v>
          </cell>
          <cell r="J6">
            <v>3206</v>
          </cell>
          <cell r="K6" t="str">
            <v>1 pha</v>
          </cell>
          <cell r="L6" t="str">
            <v>KĐ B- SVĐ</v>
          </cell>
          <cell r="M6" t="str">
            <v>VVL</v>
          </cell>
          <cell r="N6">
            <v>1</v>
          </cell>
          <cell r="O6">
            <v>5814</v>
          </cell>
          <cell r="P6">
            <v>5788</v>
          </cell>
          <cell r="Q6">
            <v>1</v>
          </cell>
          <cell r="R6">
            <v>26</v>
          </cell>
          <cell r="S6">
            <v>0</v>
          </cell>
          <cell r="T6">
            <v>26</v>
          </cell>
          <cell r="U6">
            <v>4169</v>
          </cell>
          <cell r="V6">
            <v>108394</v>
          </cell>
          <cell r="W6" t="str">
            <v>Sơn</v>
          </cell>
        </row>
        <row r="7">
          <cell r="A7">
            <v>3</v>
          </cell>
          <cell r="B7" t="str">
            <v>Anh Toàn - BM Vật liệu điện tử</v>
          </cell>
          <cell r="C7" t="str">
            <v>Viện Vật lý kỹ thuật</v>
          </cell>
          <cell r="D7" t="str">
            <v>Phòng R &amp; D Tầng 1 nhà B</v>
          </cell>
          <cell r="F7" t="str">
            <v>A Toàn</v>
          </cell>
          <cell r="G7" t="str">
            <v>0912258465</v>
          </cell>
          <cell r="H7" t="str">
            <v>B</v>
          </cell>
          <cell r="J7">
            <v>7771</v>
          </cell>
          <cell r="K7" t="str">
            <v>1 pha</v>
          </cell>
          <cell r="L7" t="str">
            <v>Nhà B</v>
          </cell>
          <cell r="M7" t="str">
            <v>VVL</v>
          </cell>
          <cell r="N7">
            <v>2</v>
          </cell>
          <cell r="O7">
            <v>28105</v>
          </cell>
          <cell r="P7">
            <v>28105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3505</v>
          </cell>
          <cell r="V7">
            <v>0</v>
          </cell>
          <cell r="W7" t="str">
            <v>Đông</v>
          </cell>
        </row>
        <row r="8">
          <cell r="A8">
            <v>4</v>
          </cell>
          <cell r="B8" t="str">
            <v>Chị Khánh - Dịch vụ SVĐ</v>
          </cell>
          <cell r="C8" t="str">
            <v>HĐKT</v>
          </cell>
          <cell r="D8" t="str">
            <v>Lô 14, 15 KĐB - SVĐ</v>
          </cell>
          <cell r="F8" t="str">
            <v>Chị Khánh</v>
          </cell>
          <cell r="G8" t="str">
            <v>0975297996</v>
          </cell>
          <cell r="H8" t="str">
            <v>SVĐ</v>
          </cell>
          <cell r="J8">
            <v>5440</v>
          </cell>
          <cell r="K8" t="str">
            <v>3 pha</v>
          </cell>
          <cell r="L8" t="str">
            <v>KĐ B- SVĐ</v>
          </cell>
          <cell r="M8" t="str">
            <v>VVL</v>
          </cell>
          <cell r="N8">
            <v>2</v>
          </cell>
          <cell r="O8">
            <v>143496</v>
          </cell>
          <cell r="P8">
            <v>140187</v>
          </cell>
          <cell r="Q8">
            <v>1</v>
          </cell>
          <cell r="R8">
            <v>3309</v>
          </cell>
          <cell r="S8">
            <v>0</v>
          </cell>
          <cell r="T8">
            <v>3309</v>
          </cell>
          <cell r="U8">
            <v>4169</v>
          </cell>
          <cell r="V8">
            <v>13795221</v>
          </cell>
          <cell r="W8" t="str">
            <v>Sơn</v>
          </cell>
        </row>
        <row r="9">
          <cell r="A9">
            <v>5</v>
          </cell>
          <cell r="B9" t="str">
            <v>Kiot Trịnh Thị Thu Trang</v>
          </cell>
          <cell r="C9" t="str">
            <v>HĐKT</v>
          </cell>
          <cell r="D9" t="str">
            <v xml:space="preserve">Lô 7-13A KĐB - SVĐ </v>
          </cell>
          <cell r="E9" t="str">
            <v>0359933033</v>
          </cell>
          <cell r="F9" t="str">
            <v>Trịnh Thị Thu Trang</v>
          </cell>
          <cell r="G9" t="str">
            <v>0986675792</v>
          </cell>
          <cell r="H9" t="str">
            <v>SVĐ</v>
          </cell>
          <cell r="J9">
            <v>4220</v>
          </cell>
          <cell r="K9" t="str">
            <v>3 pha</v>
          </cell>
          <cell r="L9" t="str">
            <v>KĐ B- SVĐ</v>
          </cell>
          <cell r="M9" t="str">
            <v>VVL</v>
          </cell>
          <cell r="N9">
            <v>3</v>
          </cell>
          <cell r="O9">
            <v>188215</v>
          </cell>
          <cell r="P9">
            <v>184610</v>
          </cell>
          <cell r="Q9">
            <v>1</v>
          </cell>
          <cell r="R9">
            <v>3605</v>
          </cell>
          <cell r="S9">
            <v>0</v>
          </cell>
          <cell r="T9">
            <v>3605</v>
          </cell>
          <cell r="U9">
            <v>4169</v>
          </cell>
          <cell r="V9">
            <v>15029245</v>
          </cell>
          <cell r="W9" t="str">
            <v>Sơn</v>
          </cell>
        </row>
        <row r="10">
          <cell r="A10">
            <v>6</v>
          </cell>
          <cell r="B10" t="str">
            <v>Kiot nướng KĐ B. Trang</v>
          </cell>
          <cell r="C10" t="str">
            <v>HĐKT</v>
          </cell>
          <cell r="D10" t="str">
            <v>Lô 456 KĐ B SVĐ</v>
          </cell>
          <cell r="E10" t="str">
            <v>0359933033</v>
          </cell>
          <cell r="F10" t="str">
            <v>Trịnh Thị Thu Trang</v>
          </cell>
          <cell r="G10" t="str">
            <v>0986675792</v>
          </cell>
          <cell r="H10" t="str">
            <v>SVĐ</v>
          </cell>
          <cell r="J10">
            <v>8737</v>
          </cell>
          <cell r="K10" t="str">
            <v>3 pha</v>
          </cell>
          <cell r="L10" t="str">
            <v>KĐ B- SVĐ</v>
          </cell>
          <cell r="M10" t="str">
            <v>VVL</v>
          </cell>
          <cell r="N10">
            <v>3</v>
          </cell>
          <cell r="O10">
            <v>31025</v>
          </cell>
          <cell r="P10">
            <v>29211</v>
          </cell>
          <cell r="Q10">
            <v>1</v>
          </cell>
          <cell r="R10">
            <v>1814</v>
          </cell>
          <cell r="S10">
            <v>0</v>
          </cell>
          <cell r="T10">
            <v>1814</v>
          </cell>
          <cell r="U10">
            <v>4169</v>
          </cell>
          <cell r="V10">
            <v>7562566</v>
          </cell>
          <cell r="W10" t="str">
            <v>Sơn</v>
          </cell>
        </row>
        <row r="11">
          <cell r="A11">
            <v>7</v>
          </cell>
          <cell r="B11" t="str">
            <v>Quán ăn uống giải khát c.Ly</v>
          </cell>
          <cell r="C11" t="str">
            <v>HĐKT</v>
          </cell>
          <cell r="D11" t="str">
            <v>Tầng 1 Số 10 TQB</v>
          </cell>
          <cell r="F11" t="str">
            <v>Nguyễn Hương Ly</v>
          </cell>
          <cell r="G11" t="str">
            <v>0945656446</v>
          </cell>
          <cell r="H11" t="str">
            <v>Số 10 TQB</v>
          </cell>
          <cell r="J11" t="str">
            <v>5089</v>
          </cell>
          <cell r="K11" t="str">
            <v>3 pha</v>
          </cell>
          <cell r="L11" t="str">
            <v>Tủ tổng T1</v>
          </cell>
          <cell r="M11" t="str">
            <v>B1</v>
          </cell>
          <cell r="N11">
            <v>4</v>
          </cell>
          <cell r="O11">
            <v>439092</v>
          </cell>
          <cell r="P11">
            <v>436148</v>
          </cell>
          <cell r="Q11">
            <v>1</v>
          </cell>
          <cell r="R11">
            <v>2944</v>
          </cell>
          <cell r="S11">
            <v>0</v>
          </cell>
          <cell r="T11">
            <v>2944</v>
          </cell>
          <cell r="U11">
            <v>4169</v>
          </cell>
          <cell r="V11">
            <v>12273536</v>
          </cell>
          <cell r="W11" t="str">
            <v>Đông</v>
          </cell>
        </row>
        <row r="12">
          <cell r="A12">
            <v>8</v>
          </cell>
          <cell r="B12" t="str">
            <v>Phòng giao dịch Trung tâm VNPT Hà Nội</v>
          </cell>
          <cell r="C12" t="str">
            <v>HĐKT</v>
          </cell>
          <cell r="D12" t="str">
            <v>Tầng 1 Số 10 TQB</v>
          </cell>
          <cell r="E12">
            <v>38240993</v>
          </cell>
          <cell r="F12" t="str">
            <v>Lê Ngọc Anh</v>
          </cell>
          <cell r="G12" t="str">
            <v>0918764073</v>
          </cell>
          <cell r="H12" t="str">
            <v>Số 10 TQB</v>
          </cell>
          <cell r="J12">
            <v>2174</v>
          </cell>
          <cell r="K12" t="str">
            <v>1 pha</v>
          </cell>
          <cell r="L12" t="str">
            <v>Tầng 1 TTPV</v>
          </cell>
          <cell r="M12" t="str">
            <v>B1</v>
          </cell>
          <cell r="N12">
            <v>5</v>
          </cell>
          <cell r="O12">
            <v>83158</v>
          </cell>
          <cell r="P12">
            <v>82313</v>
          </cell>
          <cell r="Q12">
            <v>1</v>
          </cell>
          <cell r="R12">
            <v>845</v>
          </cell>
          <cell r="S12">
            <v>0</v>
          </cell>
          <cell r="T12">
            <v>845</v>
          </cell>
          <cell r="U12">
            <v>4169</v>
          </cell>
          <cell r="V12">
            <v>3522805</v>
          </cell>
          <cell r="W12" t="str">
            <v>Đông</v>
          </cell>
        </row>
        <row r="13">
          <cell r="A13">
            <v>9</v>
          </cell>
          <cell r="B13" t="str">
            <v>CLB Bi-a Phú Kỳ T2</v>
          </cell>
          <cell r="C13" t="str">
            <v>HĐKT</v>
          </cell>
          <cell r="D13" t="str">
            <v>Tầng 2 Số 10 TQB</v>
          </cell>
          <cell r="F13" t="str">
            <v>Lan Anh</v>
          </cell>
          <cell r="G13" t="str">
            <v>0912894948</v>
          </cell>
          <cell r="H13" t="str">
            <v>Số 10 TQB</v>
          </cell>
          <cell r="J13">
            <v>1738</v>
          </cell>
          <cell r="K13" t="str">
            <v>1 pha</v>
          </cell>
          <cell r="L13" t="str">
            <v>KTĐ T1</v>
          </cell>
          <cell r="M13" t="str">
            <v>B1</v>
          </cell>
          <cell r="N13">
            <v>6</v>
          </cell>
          <cell r="O13">
            <v>7342</v>
          </cell>
          <cell r="P13">
            <v>3511</v>
          </cell>
          <cell r="Q13">
            <v>1</v>
          </cell>
          <cell r="R13">
            <v>3831</v>
          </cell>
          <cell r="S13">
            <v>0</v>
          </cell>
          <cell r="T13">
            <v>3831</v>
          </cell>
          <cell r="U13">
            <v>4169</v>
          </cell>
          <cell r="V13">
            <v>15971439</v>
          </cell>
          <cell r="W13" t="str">
            <v>Đông</v>
          </cell>
        </row>
        <row r="14">
          <cell r="A14">
            <v>10</v>
          </cell>
          <cell r="B14" t="str">
            <v>CLB Bi-a Yến T2</v>
          </cell>
          <cell r="C14" t="str">
            <v>HĐKT</v>
          </cell>
          <cell r="D14" t="str">
            <v>Tầng 2 Số 10 TQB</v>
          </cell>
          <cell r="F14" t="str">
            <v>Trịnh Thị Yến</v>
          </cell>
          <cell r="G14" t="str">
            <v>0888261868</v>
          </cell>
          <cell r="H14" t="str">
            <v>Số 10 TQB</v>
          </cell>
          <cell r="J14">
            <v>2709</v>
          </cell>
          <cell r="K14" t="str">
            <v>3 pha</v>
          </cell>
          <cell r="L14" t="str">
            <v>KTĐ T1</v>
          </cell>
          <cell r="M14" t="str">
            <v>B1</v>
          </cell>
          <cell r="N14">
            <v>6</v>
          </cell>
          <cell r="O14">
            <v>22029</v>
          </cell>
          <cell r="P14">
            <v>19132</v>
          </cell>
          <cell r="Q14">
            <v>1</v>
          </cell>
          <cell r="R14">
            <v>2897</v>
          </cell>
          <cell r="S14">
            <v>0</v>
          </cell>
          <cell r="T14">
            <v>2897</v>
          </cell>
          <cell r="U14">
            <v>4169</v>
          </cell>
          <cell r="V14">
            <v>12077593</v>
          </cell>
          <cell r="W14" t="str">
            <v>Đông</v>
          </cell>
        </row>
        <row r="15">
          <cell r="A15">
            <v>11</v>
          </cell>
          <cell r="B15" t="str">
            <v>Siêu thị Nam Phong</v>
          </cell>
          <cell r="C15" t="str">
            <v>HĐKT</v>
          </cell>
          <cell r="D15" t="str">
            <v>Tầng 1 Số 10 TQB</v>
          </cell>
          <cell r="F15" t="str">
            <v>Nguyễn Triều Phong</v>
          </cell>
          <cell r="G15" t="str">
            <v>0944289288</v>
          </cell>
          <cell r="H15" t="str">
            <v>Số 10 TQB</v>
          </cell>
          <cell r="J15">
            <v>3448</v>
          </cell>
          <cell r="K15" t="str">
            <v>3 pha</v>
          </cell>
          <cell r="L15" t="str">
            <v>Tầng 1 TTPV</v>
          </cell>
          <cell r="M15" t="str">
            <v>B1</v>
          </cell>
          <cell r="N15">
            <v>6</v>
          </cell>
          <cell r="O15">
            <v>485846</v>
          </cell>
          <cell r="P15">
            <v>480771</v>
          </cell>
          <cell r="Q15">
            <v>1</v>
          </cell>
          <cell r="R15">
            <v>5075</v>
          </cell>
          <cell r="S15">
            <v>0</v>
          </cell>
          <cell r="T15">
            <v>5075</v>
          </cell>
          <cell r="U15">
            <v>4169</v>
          </cell>
          <cell r="V15">
            <v>21157675</v>
          </cell>
          <cell r="W15" t="str">
            <v>Đông</v>
          </cell>
        </row>
        <row r="16">
          <cell r="A16">
            <v>12</v>
          </cell>
          <cell r="B16" t="str">
            <v>Lớp học thầy Chung T3</v>
          </cell>
          <cell r="C16" t="str">
            <v>HĐKT</v>
          </cell>
          <cell r="D16" t="str">
            <v>Tầng 3 Số 10 TQB</v>
          </cell>
          <cell r="F16" t="str">
            <v>Nguyễn Thị Đào</v>
          </cell>
          <cell r="G16" t="str">
            <v>0972261616</v>
          </cell>
          <cell r="H16" t="str">
            <v>Số 10 TQB</v>
          </cell>
          <cell r="J16">
            <v>2028</v>
          </cell>
          <cell r="K16" t="str">
            <v>1 pha</v>
          </cell>
          <cell r="L16" t="str">
            <v>Tầng 3 TTPV</v>
          </cell>
          <cell r="M16" t="str">
            <v>B1</v>
          </cell>
          <cell r="N16">
            <v>7</v>
          </cell>
          <cell r="O16">
            <v>15509</v>
          </cell>
          <cell r="P16">
            <v>13898</v>
          </cell>
          <cell r="Q16">
            <v>1</v>
          </cell>
          <cell r="R16">
            <v>1611</v>
          </cell>
          <cell r="S16">
            <v>0</v>
          </cell>
          <cell r="T16">
            <v>1611</v>
          </cell>
          <cell r="U16">
            <v>4169</v>
          </cell>
          <cell r="V16">
            <v>6716259</v>
          </cell>
          <cell r="W16" t="str">
            <v>Đông</v>
          </cell>
        </row>
        <row r="17">
          <cell r="A17">
            <v>13</v>
          </cell>
          <cell r="B17" t="str">
            <v>Văn phòng thầy Chung</v>
          </cell>
          <cell r="C17" t="str">
            <v>HĐKT</v>
          </cell>
          <cell r="D17" t="str">
            <v>Tầng 4 Số 10 TQB</v>
          </cell>
          <cell r="E17" t="str">
            <v>0972261616</v>
          </cell>
          <cell r="F17" t="str">
            <v>Nguyễn Thị Đào</v>
          </cell>
          <cell r="G17" t="str">
            <v>0972261616</v>
          </cell>
          <cell r="H17" t="str">
            <v>Số 10 TQB</v>
          </cell>
          <cell r="J17">
            <v>9307</v>
          </cell>
          <cell r="K17" t="str">
            <v>3 pha</v>
          </cell>
          <cell r="L17" t="str">
            <v>Tầng 1 TTPV</v>
          </cell>
          <cell r="M17" t="str">
            <v>B1</v>
          </cell>
          <cell r="N17">
            <v>8</v>
          </cell>
          <cell r="O17">
            <v>109970</v>
          </cell>
          <cell r="P17">
            <v>105798</v>
          </cell>
          <cell r="Q17">
            <v>1</v>
          </cell>
          <cell r="R17">
            <v>4172</v>
          </cell>
          <cell r="S17">
            <v>0</v>
          </cell>
          <cell r="T17">
            <v>4172</v>
          </cell>
          <cell r="U17">
            <v>4169</v>
          </cell>
          <cell r="V17">
            <v>17393068</v>
          </cell>
          <cell r="W17" t="str">
            <v>Đông</v>
          </cell>
        </row>
        <row r="18">
          <cell r="A18">
            <v>14</v>
          </cell>
          <cell r="B18" t="str">
            <v>Vật lý siêu nhẩm tầng 3</v>
          </cell>
          <cell r="C18" t="str">
            <v>HĐKT</v>
          </cell>
          <cell r="D18" t="str">
            <v>Tầng 3 Số 10 TQB</v>
          </cell>
          <cell r="F18" t="str">
            <v>Trần Quang Quý</v>
          </cell>
          <cell r="G18" t="str">
            <v>0977340326</v>
          </cell>
          <cell r="H18" t="str">
            <v>Số 10 TQB</v>
          </cell>
          <cell r="J18">
            <v>8259</v>
          </cell>
          <cell r="K18" t="str">
            <v>1 pha</v>
          </cell>
          <cell r="L18" t="str">
            <v>Tầng 1</v>
          </cell>
          <cell r="M18" t="str">
            <v>B1</v>
          </cell>
          <cell r="N18">
            <v>8</v>
          </cell>
          <cell r="O18">
            <v>12634</v>
          </cell>
          <cell r="P18">
            <v>10219</v>
          </cell>
          <cell r="Q18">
            <v>1</v>
          </cell>
          <cell r="R18">
            <v>2415</v>
          </cell>
          <cell r="S18">
            <v>0</v>
          </cell>
          <cell r="T18">
            <v>2415</v>
          </cell>
          <cell r="U18">
            <v>4169</v>
          </cell>
          <cell r="V18">
            <v>10068135</v>
          </cell>
          <cell r="W18" t="str">
            <v>Đông</v>
          </cell>
        </row>
        <row r="19">
          <cell r="A19">
            <v>15</v>
          </cell>
          <cell r="B19" t="str">
            <v>CLB Bi-a coffee tầng 3</v>
          </cell>
          <cell r="C19" t="str">
            <v>HĐKT</v>
          </cell>
          <cell r="D19" t="str">
            <v>Tầng 3 Số 10 TQB</v>
          </cell>
          <cell r="F19" t="str">
            <v xml:space="preserve">Thu Hương </v>
          </cell>
          <cell r="G19" t="str">
            <v>0912567686</v>
          </cell>
          <cell r="H19" t="str">
            <v>Số 10 TQB</v>
          </cell>
          <cell r="J19">
            <v>7671</v>
          </cell>
          <cell r="K19" t="str">
            <v>3 pha</v>
          </cell>
          <cell r="L19" t="str">
            <v>Tầng 3</v>
          </cell>
          <cell r="M19" t="str">
            <v>B1</v>
          </cell>
          <cell r="N19">
            <v>9</v>
          </cell>
          <cell r="O19">
            <v>347723</v>
          </cell>
          <cell r="P19">
            <v>342391</v>
          </cell>
          <cell r="Q19">
            <v>1</v>
          </cell>
          <cell r="R19">
            <v>5332</v>
          </cell>
          <cell r="S19">
            <v>0</v>
          </cell>
          <cell r="T19">
            <v>5332</v>
          </cell>
          <cell r="U19">
            <v>4169</v>
          </cell>
          <cell r="V19">
            <v>22229108</v>
          </cell>
          <cell r="W19" t="str">
            <v>Đông</v>
          </cell>
        </row>
        <row r="20">
          <cell r="A20">
            <v>16</v>
          </cell>
          <cell r="B20" t="str">
            <v>Công ty  CPXD Hoàng Hà</v>
          </cell>
          <cell r="C20" t="str">
            <v>HĐKT</v>
          </cell>
          <cell r="D20" t="str">
            <v>Dịch vụ trông xe - 10A TQB</v>
          </cell>
          <cell r="E20" t="str">
            <v>0903251444</v>
          </cell>
          <cell r="F20" t="str">
            <v>Chị Hoa</v>
          </cell>
          <cell r="G20" t="str">
            <v>0903251444</v>
          </cell>
          <cell r="H20" t="str">
            <v>Số 10 TQB</v>
          </cell>
          <cell r="J20" t="str">
            <v>60755</v>
          </cell>
          <cell r="K20" t="str">
            <v>3 pha</v>
          </cell>
          <cell r="L20" t="str">
            <v>10A TQB</v>
          </cell>
          <cell r="M20" t="str">
            <v>B1</v>
          </cell>
          <cell r="N20">
            <v>9</v>
          </cell>
          <cell r="O20">
            <v>198968</v>
          </cell>
          <cell r="P20">
            <v>195768</v>
          </cell>
          <cell r="Q20">
            <v>1</v>
          </cell>
          <cell r="R20">
            <v>3200</v>
          </cell>
          <cell r="S20">
            <v>0</v>
          </cell>
          <cell r="T20">
            <v>3200</v>
          </cell>
          <cell r="U20">
            <v>4169</v>
          </cell>
          <cell r="V20">
            <v>13340800</v>
          </cell>
          <cell r="W20" t="str">
            <v>Đông</v>
          </cell>
        </row>
        <row r="21">
          <cell r="A21">
            <v>17</v>
          </cell>
          <cell r="B21" t="str">
            <v xml:space="preserve">Kiot chị Hiền cổng TT Y tế </v>
          </cell>
          <cell r="C21" t="str">
            <v>HĐKT</v>
          </cell>
          <cell r="D21" t="str">
            <v>Số 5 TQB</v>
          </cell>
          <cell r="E21" t="str">
            <v>0978819260</v>
          </cell>
          <cell r="F21" t="str">
            <v>Chị Hiền</v>
          </cell>
          <cell r="G21" t="str">
            <v>0915023999</v>
          </cell>
          <cell r="J21">
            <v>1778</v>
          </cell>
          <cell r="K21" t="str">
            <v>1 pha</v>
          </cell>
          <cell r="L21" t="str">
            <v>Số 5 TQB</v>
          </cell>
          <cell r="M21" t="str">
            <v>KTX</v>
          </cell>
          <cell r="N21">
            <v>10</v>
          </cell>
          <cell r="O21">
            <v>89343</v>
          </cell>
          <cell r="P21">
            <v>88393</v>
          </cell>
          <cell r="Q21">
            <v>1</v>
          </cell>
          <cell r="R21">
            <v>950</v>
          </cell>
          <cell r="S21">
            <v>0</v>
          </cell>
          <cell r="T21">
            <v>950</v>
          </cell>
          <cell r="U21">
            <v>4169</v>
          </cell>
          <cell r="V21">
            <v>3960550</v>
          </cell>
          <cell r="W21" t="str">
            <v>Đông</v>
          </cell>
        </row>
        <row r="22">
          <cell r="A22">
            <v>18</v>
          </cell>
          <cell r="B22" t="str">
            <v>Công ty  CP XD Hoàng Hà- VP</v>
          </cell>
          <cell r="C22" t="str">
            <v>HĐKT</v>
          </cell>
          <cell r="D22" t="str">
            <v>Sau nhà A15 TQB - Văn phòng</v>
          </cell>
          <cell r="E22" t="str">
            <v>0903251444</v>
          </cell>
          <cell r="F22" t="str">
            <v>Chị Hoa</v>
          </cell>
          <cell r="G22" t="str">
            <v>0903251444</v>
          </cell>
          <cell r="H22" t="str">
            <v>A15</v>
          </cell>
          <cell r="J22">
            <v>4936</v>
          </cell>
          <cell r="K22" t="str">
            <v>3 pha</v>
          </cell>
          <cell r="L22" t="str">
            <v>Cửa ngoài VP</v>
          </cell>
          <cell r="M22" t="str">
            <v>B1</v>
          </cell>
          <cell r="N22">
            <v>9</v>
          </cell>
          <cell r="O22">
            <v>32418</v>
          </cell>
          <cell r="P22">
            <v>32209</v>
          </cell>
          <cell r="Q22">
            <v>1</v>
          </cell>
          <cell r="R22">
            <v>209</v>
          </cell>
          <cell r="S22">
            <v>0</v>
          </cell>
          <cell r="T22">
            <v>209</v>
          </cell>
          <cell r="U22">
            <v>4169</v>
          </cell>
          <cell r="V22">
            <v>871321</v>
          </cell>
          <cell r="W22" t="str">
            <v>Đông</v>
          </cell>
        </row>
        <row r="23">
          <cell r="A23">
            <v>19</v>
          </cell>
          <cell r="B23" t="str">
            <v>Công ty CP Công nghệ cao GENE Việt</v>
          </cell>
          <cell r="C23" t="str">
            <v>Công ty CP Công nghệ cao GENE Việt</v>
          </cell>
          <cell r="D23" t="str">
            <v>Tầng 11 nhà B1</v>
          </cell>
          <cell r="E23" t="str">
            <v>0243.7379150</v>
          </cell>
          <cell r="F23" t="str">
            <v>Lương Thị Minh Ngoc</v>
          </cell>
          <cell r="G23" t="str">
            <v>0977295439</v>
          </cell>
          <cell r="H23" t="str">
            <v>B1</v>
          </cell>
          <cell r="J23">
            <v>1478</v>
          </cell>
          <cell r="K23" t="str">
            <v>3 pha</v>
          </cell>
          <cell r="L23" t="str">
            <v>KTĐ T11</v>
          </cell>
          <cell r="M23" t="str">
            <v>B1</v>
          </cell>
          <cell r="N23">
            <v>11</v>
          </cell>
          <cell r="O23">
            <v>304740</v>
          </cell>
          <cell r="P23">
            <v>301434</v>
          </cell>
          <cell r="Q23">
            <v>1</v>
          </cell>
          <cell r="R23">
            <v>3306</v>
          </cell>
          <cell r="S23">
            <v>0</v>
          </cell>
          <cell r="T23">
            <v>3306</v>
          </cell>
          <cell r="U23">
            <v>4169</v>
          </cell>
          <cell r="V23">
            <v>13782714</v>
          </cell>
          <cell r="W23" t="str">
            <v>Đông</v>
          </cell>
        </row>
        <row r="24">
          <cell r="A24">
            <v>20</v>
          </cell>
          <cell r="B24" t="str">
            <v>Cửa hàng Highlands BK</v>
          </cell>
          <cell r="C24" t="str">
            <v>Công ty CP dịch vụ và cà phê Cao Nguyên</v>
          </cell>
          <cell r="D24" t="str">
            <v>Cửa hàng Highlands B1-TĐN</v>
          </cell>
          <cell r="E24" t="str">
            <v>0988051418</v>
          </cell>
          <cell r="F24" t="str">
            <v>Trịnh Thị My</v>
          </cell>
          <cell r="G24" t="str">
            <v>0948742589</v>
          </cell>
          <cell r="H24" t="str">
            <v>B1</v>
          </cell>
          <cell r="J24">
            <v>90445</v>
          </cell>
          <cell r="K24" t="str">
            <v>3 pha</v>
          </cell>
          <cell r="L24" t="str">
            <v>KTĐ T1</v>
          </cell>
          <cell r="M24" t="str">
            <v>B1</v>
          </cell>
          <cell r="N24">
            <v>12</v>
          </cell>
          <cell r="O24">
            <v>493925</v>
          </cell>
          <cell r="P24">
            <v>481603</v>
          </cell>
          <cell r="Q24">
            <v>1</v>
          </cell>
          <cell r="R24">
            <v>12322</v>
          </cell>
          <cell r="S24">
            <v>0</v>
          </cell>
          <cell r="T24">
            <v>12322</v>
          </cell>
          <cell r="U24">
            <v>4169</v>
          </cell>
          <cell r="V24">
            <v>51370418</v>
          </cell>
          <cell r="W24" t="str">
            <v>Đông</v>
          </cell>
        </row>
        <row r="25">
          <cell r="A25">
            <v>21</v>
          </cell>
          <cell r="B25" t="str">
            <v>Nhà sách ADC Trần Đại Nghĩa</v>
          </cell>
          <cell r="D25" t="str">
            <v>Nhà sách B1- TĐN</v>
          </cell>
          <cell r="F25" t="str">
            <v>A Quang</v>
          </cell>
          <cell r="G25" t="str">
            <v>0975744134</v>
          </cell>
          <cell r="J25">
            <v>3307</v>
          </cell>
          <cell r="K25" t="str">
            <v>3 pha</v>
          </cell>
          <cell r="L25" t="str">
            <v>KTĐ T1</v>
          </cell>
          <cell r="M25" t="str">
            <v>B1</v>
          </cell>
          <cell r="N25">
            <v>12</v>
          </cell>
          <cell r="O25">
            <v>79570</v>
          </cell>
          <cell r="P25">
            <v>74040</v>
          </cell>
          <cell r="Q25">
            <v>1</v>
          </cell>
          <cell r="R25">
            <v>5530</v>
          </cell>
          <cell r="S25">
            <v>0</v>
          </cell>
          <cell r="T25">
            <v>5530</v>
          </cell>
          <cell r="U25">
            <v>4169</v>
          </cell>
          <cell r="V25">
            <v>23054570</v>
          </cell>
          <cell r="W25" t="str">
            <v>Sơn</v>
          </cell>
        </row>
        <row r="26">
          <cell r="A26">
            <v>22</v>
          </cell>
          <cell r="B26" t="str">
            <v>Khoa Việt Nam học và Tiếng việt (t thụ)</v>
          </cell>
          <cell r="C26" t="str">
            <v>Trường ĐH KHXH và NV</v>
          </cell>
          <cell r="D26" t="str">
            <v>B7 BIS phố TĐN</v>
          </cell>
          <cell r="E26" t="str">
            <v>38694323</v>
          </cell>
          <cell r="F26" t="str">
            <v>Lê Thị Thanh Tâm</v>
          </cell>
          <cell r="G26" t="str">
            <v>0982886906</v>
          </cell>
          <cell r="H26" t="str">
            <v>B7 BIS</v>
          </cell>
          <cell r="J26" t="str">
            <v>9094, 4383</v>
          </cell>
          <cell r="K26" t="str">
            <v>3 pha</v>
          </cell>
          <cell r="L26" t="str">
            <v>KTĐ T1</v>
          </cell>
          <cell r="M26" t="str">
            <v>ĐCĐT</v>
          </cell>
          <cell r="N26">
            <v>12</v>
          </cell>
          <cell r="O26">
            <v>4438</v>
          </cell>
          <cell r="P26">
            <v>0</v>
          </cell>
          <cell r="Q26">
            <v>1</v>
          </cell>
          <cell r="R26">
            <v>4438</v>
          </cell>
          <cell r="S26">
            <v>0</v>
          </cell>
          <cell r="T26">
            <v>4438</v>
          </cell>
          <cell r="U26">
            <v>4169</v>
          </cell>
          <cell r="V26">
            <v>18502022</v>
          </cell>
          <cell r="W26" t="str">
            <v>Biên</v>
          </cell>
        </row>
        <row r="27">
          <cell r="A27">
            <v>23</v>
          </cell>
          <cell r="B27" t="str">
            <v>Nhà ăn T3-D2A</v>
          </cell>
          <cell r="C27" t="str">
            <v xml:space="preserve"> Nhà ăn T3-D2A</v>
          </cell>
          <cell r="D27" t="str">
            <v>Tầng 3 - D2A</v>
          </cell>
          <cell r="E27" t="str">
            <v>0982199862</v>
          </cell>
          <cell r="F27" t="str">
            <v>A Tiến</v>
          </cell>
          <cell r="G27" t="str">
            <v>0989483276</v>
          </cell>
          <cell r="H27" t="str">
            <v>D2A</v>
          </cell>
          <cell r="J27">
            <v>9045</v>
          </cell>
          <cell r="K27" t="str">
            <v>3 pha</v>
          </cell>
          <cell r="L27" t="str">
            <v>Tầng 1 D2A</v>
          </cell>
          <cell r="M27" t="str">
            <v>TVĐT</v>
          </cell>
          <cell r="N27">
            <v>13</v>
          </cell>
          <cell r="O27">
            <v>201790</v>
          </cell>
          <cell r="P27">
            <v>198973</v>
          </cell>
          <cell r="Q27">
            <v>1</v>
          </cell>
          <cell r="R27">
            <v>2817</v>
          </cell>
          <cell r="S27">
            <v>0</v>
          </cell>
          <cell r="T27">
            <v>2817</v>
          </cell>
          <cell r="U27">
            <v>4169</v>
          </cell>
          <cell r="V27">
            <v>11744073</v>
          </cell>
          <cell r="W27" t="str">
            <v>Sơn</v>
          </cell>
        </row>
        <row r="28">
          <cell r="A28">
            <v>24</v>
          </cell>
          <cell r="B28" t="str">
            <v>TT Công nghệ Polyme Compozit và giấy</v>
          </cell>
          <cell r="C28" t="str">
            <v>Trường Vật liệu</v>
          </cell>
          <cell r="D28" t="str">
            <v>Nhà D2B</v>
          </cell>
          <cell r="E28">
            <v>38692731</v>
          </cell>
          <cell r="F28" t="str">
            <v>Nguyễn Thanh Liêm</v>
          </cell>
          <cell r="G28" t="str">
            <v>0913219791</v>
          </cell>
          <cell r="H28" t="str">
            <v>D2B</v>
          </cell>
          <cell r="J28" t="str">
            <v xml:space="preserve">3399 </v>
          </cell>
          <cell r="K28" t="str">
            <v>3 pha</v>
          </cell>
          <cell r="L28" t="str">
            <v>Tủ tổng</v>
          </cell>
          <cell r="M28" t="str">
            <v>BK3B</v>
          </cell>
          <cell r="N28">
            <v>13</v>
          </cell>
          <cell r="O28">
            <v>11565</v>
          </cell>
          <cell r="P28">
            <v>11478</v>
          </cell>
          <cell r="Q28">
            <v>80</v>
          </cell>
          <cell r="R28">
            <v>6960</v>
          </cell>
          <cell r="S28">
            <v>0</v>
          </cell>
          <cell r="T28">
            <v>6960</v>
          </cell>
          <cell r="U28">
            <v>3505</v>
          </cell>
          <cell r="V28">
            <v>24394800</v>
          </cell>
          <cell r="W28" t="str">
            <v>Sơn</v>
          </cell>
        </row>
        <row r="29">
          <cell r="A29">
            <v>25</v>
          </cell>
          <cell r="B29" t="str">
            <v>Văn phòng cựu sinh viên</v>
          </cell>
          <cell r="D29" t="str">
            <v>D2D</v>
          </cell>
          <cell r="F29" t="str">
            <v>A Nghĩa</v>
          </cell>
          <cell r="G29" t="str">
            <v>0943751976</v>
          </cell>
          <cell r="H29" t="str">
            <v>D2D</v>
          </cell>
          <cell r="J29">
            <v>7828</v>
          </cell>
          <cell r="K29" t="str">
            <v>3 pha</v>
          </cell>
          <cell r="L29" t="str">
            <v>Tầng 1 D2D</v>
          </cell>
          <cell r="M29" t="str">
            <v>BK3B</v>
          </cell>
          <cell r="N29">
            <v>14</v>
          </cell>
          <cell r="O29">
            <v>263254</v>
          </cell>
          <cell r="P29">
            <v>259479</v>
          </cell>
          <cell r="Q29">
            <v>1</v>
          </cell>
          <cell r="R29">
            <v>3775</v>
          </cell>
          <cell r="S29">
            <v>0</v>
          </cell>
          <cell r="T29">
            <v>3775</v>
          </cell>
          <cell r="U29">
            <v>3505</v>
          </cell>
          <cell r="V29">
            <v>13231375</v>
          </cell>
          <cell r="W29" t="str">
            <v>Sơn</v>
          </cell>
        </row>
        <row r="30">
          <cell r="A30">
            <v>26</v>
          </cell>
          <cell r="B30" t="str">
            <v>Tạ Thanh Hằng - Photocopy</v>
          </cell>
          <cell r="C30" t="str">
            <v>HĐKT</v>
          </cell>
          <cell r="D30" t="str">
            <v xml:space="preserve">Nhà D6 </v>
          </cell>
          <cell r="F30" t="str">
            <v>Tạ Thanh Hằng</v>
          </cell>
          <cell r="G30" t="str">
            <v>0819906149</v>
          </cell>
          <cell r="H30" t="str">
            <v>D6</v>
          </cell>
          <cell r="J30" t="str">
            <v xml:space="preserve"> 3842</v>
          </cell>
          <cell r="K30" t="str">
            <v>1 pha</v>
          </cell>
          <cell r="L30" t="str">
            <v>T1 D6</v>
          </cell>
          <cell r="M30" t="str">
            <v>TVĐT</v>
          </cell>
          <cell r="N30">
            <v>14</v>
          </cell>
          <cell r="O30">
            <v>45965</v>
          </cell>
          <cell r="P30">
            <v>45614</v>
          </cell>
          <cell r="Q30">
            <v>1</v>
          </cell>
          <cell r="R30">
            <v>351</v>
          </cell>
          <cell r="S30">
            <v>0</v>
          </cell>
          <cell r="T30">
            <v>351</v>
          </cell>
          <cell r="U30">
            <v>4169</v>
          </cell>
          <cell r="V30">
            <v>1463319</v>
          </cell>
          <cell r="W30" t="str">
            <v>Sơn</v>
          </cell>
        </row>
        <row r="31">
          <cell r="A31">
            <v>27</v>
          </cell>
          <cell r="B31" t="str">
            <v xml:space="preserve">Nhà sách BK </v>
          </cell>
          <cell r="C31" t="str">
            <v xml:space="preserve">Nhà xuất bản BK </v>
          </cell>
          <cell r="D31" t="str">
            <v>Lô 2,3,4 tầng 1-A17</v>
          </cell>
          <cell r="E31">
            <v>38684569</v>
          </cell>
          <cell r="F31" t="str">
            <v>Hoàng Tuấn Bằng</v>
          </cell>
          <cell r="G31" t="str">
            <v>0915805666</v>
          </cell>
          <cell r="H31" t="str">
            <v>A17</v>
          </cell>
          <cell r="J31" t="str">
            <v>0566</v>
          </cell>
          <cell r="K31" t="str">
            <v>3 pha</v>
          </cell>
          <cell r="L31" t="str">
            <v>Tủ ĐN1</v>
          </cell>
          <cell r="M31" t="str">
            <v>B1</v>
          </cell>
          <cell r="N31">
            <v>15</v>
          </cell>
          <cell r="O31">
            <v>327826</v>
          </cell>
          <cell r="P31">
            <v>322893</v>
          </cell>
          <cell r="Q31">
            <v>1</v>
          </cell>
          <cell r="R31">
            <v>4933</v>
          </cell>
          <cell r="S31">
            <v>0</v>
          </cell>
          <cell r="T31">
            <v>4933</v>
          </cell>
          <cell r="U31">
            <v>4169</v>
          </cell>
          <cell r="V31">
            <v>20565677</v>
          </cell>
          <cell r="W31" t="str">
            <v>Biên</v>
          </cell>
        </row>
        <row r="32">
          <cell r="A32">
            <v>28</v>
          </cell>
          <cell r="B32" t="str">
            <v xml:space="preserve">Nhà sách BK </v>
          </cell>
          <cell r="C32" t="str">
            <v xml:space="preserve">Nhà xuất bản BK </v>
          </cell>
          <cell r="D32" t="str">
            <v xml:space="preserve">Lô 1, tầng 1- A17 </v>
          </cell>
          <cell r="E32">
            <v>36230568</v>
          </cell>
          <cell r="F32" t="str">
            <v>Hoàng Tuấn Bằng</v>
          </cell>
          <cell r="G32" t="str">
            <v>0915805666</v>
          </cell>
          <cell r="H32" t="str">
            <v>A17</v>
          </cell>
          <cell r="J32" t="str">
            <v>5125</v>
          </cell>
          <cell r="K32" t="str">
            <v>1 pha</v>
          </cell>
          <cell r="L32" t="str">
            <v>Tủ ĐN1</v>
          </cell>
          <cell r="M32" t="str">
            <v>B1</v>
          </cell>
          <cell r="N32">
            <v>15</v>
          </cell>
          <cell r="O32">
            <v>37244</v>
          </cell>
          <cell r="P32">
            <v>35879</v>
          </cell>
          <cell r="Q32">
            <v>1</v>
          </cell>
          <cell r="R32">
            <v>1365</v>
          </cell>
          <cell r="S32">
            <v>0</v>
          </cell>
          <cell r="T32">
            <v>1365</v>
          </cell>
          <cell r="U32">
            <v>4169</v>
          </cell>
          <cell r="V32">
            <v>5690685</v>
          </cell>
          <cell r="W32" t="str">
            <v>Biên</v>
          </cell>
        </row>
        <row r="33">
          <cell r="A33">
            <v>29</v>
          </cell>
          <cell r="B33" t="str">
            <v xml:space="preserve">Nhà xuất bản BK </v>
          </cell>
          <cell r="C33" t="str">
            <v xml:space="preserve">Nhà xuất bản BK </v>
          </cell>
          <cell r="D33" t="str">
            <v>Nhà E</v>
          </cell>
          <cell r="E33">
            <v>38684569</v>
          </cell>
          <cell r="F33" t="str">
            <v>Chị Liễu</v>
          </cell>
          <cell r="H33" t="str">
            <v>A17</v>
          </cell>
          <cell r="J33" t="str">
            <v>0322</v>
          </cell>
          <cell r="K33" t="str">
            <v>3 pha</v>
          </cell>
          <cell r="L33" t="str">
            <v>Tầng 3</v>
          </cell>
          <cell r="M33" t="str">
            <v>THCK</v>
          </cell>
          <cell r="N33">
            <v>16</v>
          </cell>
          <cell r="O33">
            <v>145582</v>
          </cell>
          <cell r="P33">
            <v>144506</v>
          </cell>
          <cell r="Q33">
            <v>1</v>
          </cell>
          <cell r="R33">
            <v>1076</v>
          </cell>
          <cell r="S33">
            <v>0</v>
          </cell>
          <cell r="T33">
            <v>1076</v>
          </cell>
          <cell r="U33">
            <v>4169</v>
          </cell>
          <cell r="V33">
            <v>4485844</v>
          </cell>
          <cell r="W33" t="str">
            <v>Biên</v>
          </cell>
        </row>
        <row r="34">
          <cell r="A34">
            <v>30</v>
          </cell>
          <cell r="B34" t="str">
            <v>Bưu điện BK</v>
          </cell>
          <cell r="C34" t="str">
            <v>Bưu điện BK</v>
          </cell>
          <cell r="D34" t="str">
            <v>Lô 12, tầng 1- A17</v>
          </cell>
          <cell r="E34" t="str">
            <v>0834214946</v>
          </cell>
          <cell r="F34" t="str">
            <v>Ngọc</v>
          </cell>
          <cell r="G34" t="str">
            <v>0834214946</v>
          </cell>
          <cell r="H34" t="str">
            <v>A17</v>
          </cell>
          <cell r="J34">
            <v>8820</v>
          </cell>
          <cell r="K34" t="str">
            <v>1 pha</v>
          </cell>
          <cell r="L34" t="str">
            <v>Tủ ĐN2</v>
          </cell>
          <cell r="M34" t="str">
            <v>B1</v>
          </cell>
          <cell r="N34">
            <v>16</v>
          </cell>
          <cell r="O34">
            <v>90671</v>
          </cell>
          <cell r="P34">
            <v>90168</v>
          </cell>
          <cell r="Q34">
            <v>1</v>
          </cell>
          <cell r="R34">
            <v>503</v>
          </cell>
          <cell r="S34">
            <v>0</v>
          </cell>
          <cell r="T34">
            <v>503</v>
          </cell>
          <cell r="U34">
            <v>4169</v>
          </cell>
          <cell r="V34">
            <v>2097007</v>
          </cell>
          <cell r="W34" t="str">
            <v>Biên</v>
          </cell>
        </row>
        <row r="35">
          <cell r="A35">
            <v>31</v>
          </cell>
          <cell r="B35" t="str">
            <v>Siêu thị MINI BK</v>
          </cell>
          <cell r="C35" t="str">
            <v>HĐKT</v>
          </cell>
          <cell r="D35" t="str">
            <v>Lô 11, tầng 1- A17</v>
          </cell>
          <cell r="F35" t="str">
            <v xml:space="preserve">Đỗ Đ.Tâm (Q.Anh) </v>
          </cell>
          <cell r="G35" t="str">
            <v>0976596779</v>
          </cell>
          <cell r="H35" t="str">
            <v>A17</v>
          </cell>
          <cell r="J35">
            <v>9838</v>
          </cell>
          <cell r="K35" t="str">
            <v>3 pha</v>
          </cell>
          <cell r="L35" t="str">
            <v>Tủ ĐN2</v>
          </cell>
          <cell r="M35" t="str">
            <v>B1</v>
          </cell>
          <cell r="N35">
            <v>17</v>
          </cell>
          <cell r="O35">
            <v>131554</v>
          </cell>
          <cell r="P35">
            <v>129256</v>
          </cell>
          <cell r="Q35">
            <v>1</v>
          </cell>
          <cell r="R35">
            <v>2298</v>
          </cell>
          <cell r="S35">
            <v>0</v>
          </cell>
          <cell r="T35">
            <v>2298</v>
          </cell>
          <cell r="U35">
            <v>4169</v>
          </cell>
          <cell r="V35">
            <v>9580362</v>
          </cell>
          <cell r="W35" t="str">
            <v>Biên</v>
          </cell>
        </row>
        <row r="36">
          <cell r="A36">
            <v>32</v>
          </cell>
          <cell r="B36" t="str">
            <v>Bún cá Anh Sơn</v>
          </cell>
          <cell r="C36" t="str">
            <v>HĐKT</v>
          </cell>
          <cell r="D36" t="str">
            <v xml:space="preserve">Lô 10, tầng 1-A17 </v>
          </cell>
          <cell r="F36" t="str">
            <v>Anh Sơn</v>
          </cell>
          <cell r="G36" t="str">
            <v>0936865486</v>
          </cell>
          <cell r="H36" t="str">
            <v>A17</v>
          </cell>
          <cell r="J36" t="str">
            <v>1735</v>
          </cell>
          <cell r="K36" t="str">
            <v>3 pha</v>
          </cell>
          <cell r="L36" t="str">
            <v>Tủ ĐN2</v>
          </cell>
          <cell r="M36" t="str">
            <v>B1</v>
          </cell>
          <cell r="N36">
            <v>17</v>
          </cell>
          <cell r="O36">
            <v>166292</v>
          </cell>
          <cell r="P36">
            <v>163786</v>
          </cell>
          <cell r="Q36">
            <v>1</v>
          </cell>
          <cell r="R36">
            <v>2506</v>
          </cell>
          <cell r="S36">
            <v>0</v>
          </cell>
          <cell r="T36">
            <v>2506</v>
          </cell>
          <cell r="U36">
            <v>4169</v>
          </cell>
          <cell r="V36">
            <v>10447514</v>
          </cell>
          <cell r="W36" t="str">
            <v>Biên</v>
          </cell>
        </row>
        <row r="37">
          <cell r="A37">
            <v>33</v>
          </cell>
          <cell r="B37" t="str">
            <v>Kiot hàng ăn - A Bình A17</v>
          </cell>
          <cell r="C37" t="str">
            <v>HĐKT</v>
          </cell>
          <cell r="D37" t="str">
            <v>Lô 9, tầng 1 A17</v>
          </cell>
          <cell r="E37">
            <v>912212968</v>
          </cell>
          <cell r="F37" t="str">
            <v>Nguyễn Thái Bình</v>
          </cell>
          <cell r="G37">
            <v>912212968</v>
          </cell>
          <cell r="H37" t="str">
            <v>A17</v>
          </cell>
          <cell r="J37">
            <v>1324</v>
          </cell>
          <cell r="K37" t="str">
            <v>3 pha</v>
          </cell>
          <cell r="L37" t="str">
            <v>Tủ ĐN2</v>
          </cell>
          <cell r="M37" t="str">
            <v>ĐCĐT</v>
          </cell>
          <cell r="N37">
            <v>18</v>
          </cell>
          <cell r="O37">
            <v>120940</v>
          </cell>
          <cell r="P37">
            <v>117880</v>
          </cell>
          <cell r="Q37">
            <v>1</v>
          </cell>
          <cell r="R37">
            <v>3060</v>
          </cell>
          <cell r="S37">
            <v>0</v>
          </cell>
          <cell r="T37">
            <v>3060</v>
          </cell>
          <cell r="U37">
            <v>4169</v>
          </cell>
          <cell r="V37">
            <v>12757140</v>
          </cell>
          <cell r="W37" t="str">
            <v>Biên</v>
          </cell>
        </row>
        <row r="38">
          <cell r="A38">
            <v>34</v>
          </cell>
          <cell r="B38" t="str">
            <v xml:space="preserve">Chị Duyên - photocopy </v>
          </cell>
          <cell r="C38" t="str">
            <v>HĐKT</v>
          </cell>
          <cell r="D38" t="str">
            <v xml:space="preserve"> Cầu thang TC</v>
          </cell>
          <cell r="F38" t="str">
            <v>Hoàng thị Thanh Duyên</v>
          </cell>
          <cell r="G38" t="str">
            <v>0949318686</v>
          </cell>
          <cell r="H38" t="str">
            <v>TC</v>
          </cell>
          <cell r="J38" t="str">
            <v>2184</v>
          </cell>
          <cell r="K38" t="str">
            <v>1 pha</v>
          </cell>
          <cell r="L38" t="str">
            <v>T1 TC</v>
          </cell>
          <cell r="M38" t="str">
            <v>THCK</v>
          </cell>
          <cell r="N38">
            <v>18</v>
          </cell>
          <cell r="O38">
            <v>33678</v>
          </cell>
          <cell r="P38">
            <v>33678</v>
          </cell>
          <cell r="Q38">
            <v>1</v>
          </cell>
          <cell r="R38">
            <v>0</v>
          </cell>
          <cell r="S38">
            <v>0</v>
          </cell>
          <cell r="T38">
            <v>0</v>
          </cell>
          <cell r="U38">
            <v>4169</v>
          </cell>
          <cell r="V38">
            <v>0</v>
          </cell>
          <cell r="W38" t="str">
            <v>Đông</v>
          </cell>
        </row>
        <row r="39">
          <cell r="A39">
            <v>35</v>
          </cell>
          <cell r="B39" t="str">
            <v>Xưởng in ngõ 40</v>
          </cell>
          <cell r="C39" t="str">
            <v>Trường Vật liệu</v>
          </cell>
          <cell r="D39" t="str">
            <v>Ngõ 40 Tạ Quang Bửu</v>
          </cell>
          <cell r="F39" t="str">
            <v>Anh Hưng</v>
          </cell>
          <cell r="G39" t="str">
            <v>0913525259</v>
          </cell>
          <cell r="J39" t="str">
            <v>7782</v>
          </cell>
          <cell r="K39" t="str">
            <v>3 pha</v>
          </cell>
          <cell r="L39" t="str">
            <v>T2 TC</v>
          </cell>
          <cell r="M39" t="str">
            <v>THCK</v>
          </cell>
          <cell r="N39">
            <v>19</v>
          </cell>
          <cell r="O39">
            <v>174029</v>
          </cell>
          <cell r="P39">
            <v>174029</v>
          </cell>
          <cell r="Q39">
            <v>1</v>
          </cell>
          <cell r="R39">
            <v>0</v>
          </cell>
          <cell r="S39">
            <v>0</v>
          </cell>
          <cell r="T39">
            <v>0</v>
          </cell>
          <cell r="U39">
            <v>3505</v>
          </cell>
          <cell r="V39">
            <v>0</v>
          </cell>
          <cell r="W39" t="str">
            <v>Sơn</v>
          </cell>
        </row>
        <row r="40">
          <cell r="A40">
            <v>36</v>
          </cell>
          <cell r="B40" t="str">
            <v>Công ty CP đầu tư dịch vụ Tân Hoàng Gia (Bể bơi BK)</v>
          </cell>
          <cell r="C40" t="str">
            <v>HĐKT</v>
          </cell>
          <cell r="D40" t="str">
            <v xml:space="preserve">Bể bơi BK </v>
          </cell>
          <cell r="F40" t="str">
            <v>A Thọ</v>
          </cell>
          <cell r="G40" t="str">
            <v>0915343555</v>
          </cell>
          <cell r="H40" t="str">
            <v>Bể bơi</v>
          </cell>
          <cell r="J40" t="str">
            <v>7041</v>
          </cell>
          <cell r="K40" t="str">
            <v>3 pha</v>
          </cell>
          <cell r="L40" t="str">
            <v>T1 cầu thang</v>
          </cell>
          <cell r="M40" t="str">
            <v>B1</v>
          </cell>
          <cell r="N40">
            <v>19</v>
          </cell>
          <cell r="O40">
            <v>575714</v>
          </cell>
          <cell r="P40">
            <v>572824</v>
          </cell>
          <cell r="Q40">
            <v>1</v>
          </cell>
          <cell r="R40">
            <v>2890</v>
          </cell>
          <cell r="S40">
            <v>0</v>
          </cell>
          <cell r="T40">
            <v>2890</v>
          </cell>
          <cell r="U40">
            <v>4169</v>
          </cell>
          <cell r="V40">
            <v>12048410</v>
          </cell>
          <cell r="W40" t="str">
            <v>Đông</v>
          </cell>
        </row>
        <row r="41">
          <cell r="A41">
            <v>37</v>
          </cell>
          <cell r="B41" t="str">
            <v>Công ty CP đầu tư dịch vụ Tân Hoàng Gia (Bể bơi BK)</v>
          </cell>
          <cell r="C41" t="str">
            <v>HĐKT</v>
          </cell>
          <cell r="D41" t="str">
            <v xml:space="preserve">Bể bơi BK </v>
          </cell>
          <cell r="F41" t="str">
            <v>A Thọ</v>
          </cell>
          <cell r="G41" t="str">
            <v>0915343555</v>
          </cell>
          <cell r="H41" t="str">
            <v>Bể bơi</v>
          </cell>
          <cell r="J41" t="str">
            <v>7041</v>
          </cell>
          <cell r="K41" t="str">
            <v>3 pha</v>
          </cell>
          <cell r="L41" t="str">
            <v>T1 cầu thang</v>
          </cell>
          <cell r="M41" t="str">
            <v>B1</v>
          </cell>
          <cell r="N41">
            <v>20</v>
          </cell>
          <cell r="O41">
            <v>578604</v>
          </cell>
          <cell r="P41">
            <v>575714</v>
          </cell>
          <cell r="Q41">
            <v>1</v>
          </cell>
          <cell r="R41">
            <v>2890</v>
          </cell>
          <cell r="S41">
            <v>0</v>
          </cell>
          <cell r="T41">
            <v>2890</v>
          </cell>
          <cell r="U41">
            <v>3505</v>
          </cell>
          <cell r="V41">
            <v>10129450</v>
          </cell>
          <cell r="W41" t="str">
            <v>Đông</v>
          </cell>
        </row>
        <row r="42">
          <cell r="A42">
            <v>38</v>
          </cell>
          <cell r="B42" t="str">
            <v>Duy Anh - photocopy</v>
          </cell>
          <cell r="C42" t="str">
            <v>HĐKT</v>
          </cell>
          <cell r="D42" t="str">
            <v>Cổng Bể bơi</v>
          </cell>
          <cell r="F42" t="str">
            <v>Duy Anh (Thu GNTB)</v>
          </cell>
          <cell r="G42" t="str">
            <v>0942567886</v>
          </cell>
          <cell r="H42" t="str">
            <v>Bể bơi</v>
          </cell>
          <cell r="J42">
            <v>3218</v>
          </cell>
          <cell r="K42" t="str">
            <v>1 pha</v>
          </cell>
          <cell r="L42" t="str">
            <v>Tường ngoài</v>
          </cell>
          <cell r="M42" t="str">
            <v>B1</v>
          </cell>
          <cell r="N42">
            <v>20</v>
          </cell>
          <cell r="O42">
            <v>17977</v>
          </cell>
          <cell r="P42">
            <v>17420</v>
          </cell>
          <cell r="Q42">
            <v>1</v>
          </cell>
          <cell r="R42">
            <v>557</v>
          </cell>
          <cell r="S42">
            <v>0</v>
          </cell>
          <cell r="T42">
            <v>557</v>
          </cell>
          <cell r="U42">
            <v>4169</v>
          </cell>
          <cell r="V42">
            <v>2322133</v>
          </cell>
          <cell r="W42" t="str">
            <v>Đông</v>
          </cell>
        </row>
        <row r="43">
          <cell r="A43">
            <v>39</v>
          </cell>
          <cell r="B43" t="str">
            <v>Nguyễn Thu Trang -Photocopy</v>
          </cell>
          <cell r="C43" t="str">
            <v>HĐKT</v>
          </cell>
          <cell r="D43" t="str">
            <v>Tầng 1 - D3</v>
          </cell>
          <cell r="E43" t="str">
            <v>0359933033</v>
          </cell>
          <cell r="F43" t="str">
            <v>Nguyễn Thu Trang</v>
          </cell>
          <cell r="G43" t="str">
            <v>0986675792</v>
          </cell>
          <cell r="H43" t="str">
            <v>D3</v>
          </cell>
          <cell r="J43">
            <v>9876</v>
          </cell>
          <cell r="K43" t="str">
            <v>1 pha</v>
          </cell>
          <cell r="L43" t="str">
            <v>T1  D3</v>
          </cell>
          <cell r="M43" t="str">
            <v>ĐLK</v>
          </cell>
          <cell r="N43">
            <v>21</v>
          </cell>
          <cell r="O43">
            <v>60871</v>
          </cell>
          <cell r="P43">
            <v>60702</v>
          </cell>
          <cell r="Q43">
            <v>1</v>
          </cell>
          <cell r="R43">
            <v>169</v>
          </cell>
          <cell r="S43">
            <v>0</v>
          </cell>
          <cell r="T43">
            <v>169</v>
          </cell>
          <cell r="U43">
            <v>4169</v>
          </cell>
          <cell r="V43">
            <v>704561</v>
          </cell>
          <cell r="W43" t="str">
            <v>Hoàng</v>
          </cell>
        </row>
        <row r="44">
          <cell r="A44">
            <v>40</v>
          </cell>
          <cell r="B44" t="str">
            <v>Công ty TNHH Thương mại HTP Photocopy</v>
          </cell>
          <cell r="C44" t="str">
            <v>HĐKT</v>
          </cell>
          <cell r="D44" t="str">
            <v>Tầng 1 - D3</v>
          </cell>
          <cell r="E44">
            <v>38694529</v>
          </cell>
          <cell r="F44" t="str">
            <v>Anh Tuấn</v>
          </cell>
          <cell r="G44" t="str">
            <v>0393953999</v>
          </cell>
          <cell r="H44" t="str">
            <v>D3</v>
          </cell>
          <cell r="J44" t="str">
            <v>9903</v>
          </cell>
          <cell r="K44" t="str">
            <v>1 pha</v>
          </cell>
          <cell r="L44" t="str">
            <v>T1 D3</v>
          </cell>
          <cell r="M44" t="str">
            <v>ĐLK</v>
          </cell>
          <cell r="N44">
            <v>21</v>
          </cell>
          <cell r="O44">
            <v>20459</v>
          </cell>
          <cell r="P44">
            <v>20260</v>
          </cell>
          <cell r="Q44">
            <v>1</v>
          </cell>
          <cell r="R44">
            <v>199</v>
          </cell>
          <cell r="S44">
            <v>0</v>
          </cell>
          <cell r="T44">
            <v>199</v>
          </cell>
          <cell r="U44">
            <v>4169</v>
          </cell>
          <cell r="V44">
            <v>829631</v>
          </cell>
          <cell r="W44" t="str">
            <v>Hoàng</v>
          </cell>
        </row>
        <row r="45">
          <cell r="A45">
            <v>41</v>
          </cell>
          <cell r="B45" t="str">
            <v>Ông Nam - Photocopy</v>
          </cell>
          <cell r="C45" t="str">
            <v>HĐKT</v>
          </cell>
          <cell r="D45" t="str">
            <v>Tầng 1 - D5</v>
          </cell>
          <cell r="E45">
            <v>38692116</v>
          </cell>
          <cell r="F45" t="str">
            <v>Ông Nam</v>
          </cell>
          <cell r="G45" t="str">
            <v>0912372528</v>
          </cell>
          <cell r="H45" t="str">
            <v>D5</v>
          </cell>
          <cell r="J45" t="str">
            <v>6203</v>
          </cell>
          <cell r="K45" t="str">
            <v>1 pha</v>
          </cell>
          <cell r="L45" t="str">
            <v>T1 D5</v>
          </cell>
          <cell r="M45" t="str">
            <v>ĐLK</v>
          </cell>
          <cell r="N45">
            <v>22</v>
          </cell>
          <cell r="O45">
            <v>17404</v>
          </cell>
          <cell r="P45">
            <v>17214</v>
          </cell>
          <cell r="Q45">
            <v>1</v>
          </cell>
          <cell r="R45">
            <v>190</v>
          </cell>
          <cell r="S45">
            <v>0</v>
          </cell>
          <cell r="T45">
            <v>190</v>
          </cell>
          <cell r="U45">
            <v>4169</v>
          </cell>
          <cell r="V45">
            <v>792110</v>
          </cell>
          <cell r="W45" t="str">
            <v>Hoàng</v>
          </cell>
        </row>
        <row r="46">
          <cell r="A46">
            <v>42</v>
          </cell>
          <cell r="B46" t="str">
            <v>Chị Phượng -Photocopy</v>
          </cell>
          <cell r="C46" t="str">
            <v>HĐKT</v>
          </cell>
          <cell r="D46" t="str">
            <v>Tầng 1 - D9</v>
          </cell>
          <cell r="F46" t="str">
            <v>Nguyễn Thị Phượng</v>
          </cell>
          <cell r="G46" t="str">
            <v>0942373388</v>
          </cell>
          <cell r="H46" t="str">
            <v>D9</v>
          </cell>
          <cell r="J46">
            <v>9682</v>
          </cell>
          <cell r="K46" t="str">
            <v>1 pha</v>
          </cell>
          <cell r="L46" t="str">
            <v>T1 D9</v>
          </cell>
          <cell r="M46" t="str">
            <v>ĐLK</v>
          </cell>
          <cell r="N46">
            <v>22</v>
          </cell>
          <cell r="O46">
            <v>567</v>
          </cell>
          <cell r="P46">
            <v>448</v>
          </cell>
          <cell r="Q46">
            <v>1</v>
          </cell>
          <cell r="R46">
            <v>119</v>
          </cell>
          <cell r="S46">
            <v>0</v>
          </cell>
          <cell r="T46">
            <v>119</v>
          </cell>
          <cell r="U46">
            <v>4169</v>
          </cell>
          <cell r="V46">
            <v>496111</v>
          </cell>
          <cell r="W46" t="str">
            <v>Hoàng</v>
          </cell>
        </row>
        <row r="47">
          <cell r="A47">
            <v>43</v>
          </cell>
          <cell r="B47" t="str">
            <v xml:space="preserve">Chị Tình -Photocopy </v>
          </cell>
          <cell r="C47" t="str">
            <v>HĐKT</v>
          </cell>
          <cell r="D47" t="str">
            <v>Tầng 1 - D9</v>
          </cell>
          <cell r="F47" t="str">
            <v>Võ Thị Tĩnh</v>
          </cell>
          <cell r="G47" t="str">
            <v>0393245710</v>
          </cell>
          <cell r="H47" t="str">
            <v>D9</v>
          </cell>
          <cell r="J47" t="str">
            <v>4881</v>
          </cell>
          <cell r="K47" t="str">
            <v>1 pha</v>
          </cell>
          <cell r="L47" t="str">
            <v>Tủ tổng KCN</v>
          </cell>
          <cell r="M47" t="str">
            <v>ĐLK</v>
          </cell>
          <cell r="N47">
            <v>23</v>
          </cell>
          <cell r="O47">
            <v>68049</v>
          </cell>
          <cell r="P47">
            <v>67761</v>
          </cell>
          <cell r="Q47">
            <v>1</v>
          </cell>
          <cell r="R47">
            <v>288</v>
          </cell>
          <cell r="S47">
            <v>0</v>
          </cell>
          <cell r="T47">
            <v>288</v>
          </cell>
          <cell r="U47">
            <v>4169</v>
          </cell>
          <cell r="V47">
            <v>1200672</v>
          </cell>
          <cell r="W47" t="str">
            <v>Hoàng</v>
          </cell>
        </row>
        <row r="48">
          <cell r="A48">
            <v>44</v>
          </cell>
          <cell r="B48" t="str">
            <v>ĐH phòng đọc Thư viện TQB</v>
          </cell>
          <cell r="D48" t="str">
            <v>111A</v>
          </cell>
          <cell r="F48" t="str">
            <v>Chị Quyên</v>
          </cell>
          <cell r="G48" t="str">
            <v>0944838353</v>
          </cell>
          <cell r="H48" t="str">
            <v>TVĐT</v>
          </cell>
          <cell r="J48">
            <v>2172</v>
          </cell>
          <cell r="K48" t="str">
            <v>3 pha</v>
          </cell>
          <cell r="L48" t="str">
            <v xml:space="preserve">TV 1C </v>
          </cell>
          <cell r="M48" t="str">
            <v>TVĐT</v>
          </cell>
          <cell r="N48">
            <v>23</v>
          </cell>
          <cell r="O48">
            <v>53505</v>
          </cell>
          <cell r="P48">
            <v>53428</v>
          </cell>
          <cell r="Q48">
            <v>1</v>
          </cell>
          <cell r="R48">
            <v>77</v>
          </cell>
          <cell r="S48">
            <v>0</v>
          </cell>
          <cell r="T48">
            <v>77</v>
          </cell>
          <cell r="U48">
            <v>3505</v>
          </cell>
          <cell r="V48">
            <v>269885</v>
          </cell>
          <cell r="W48" t="str">
            <v>Hoàng</v>
          </cell>
        </row>
        <row r="49">
          <cell r="A49">
            <v>45</v>
          </cell>
          <cell r="B49" t="str">
            <v>ĐH phòng đọc Thư viện TQB</v>
          </cell>
          <cell r="D49" t="str">
            <v>304, 402, 404, 526</v>
          </cell>
          <cell r="F49" t="str">
            <v>Chị Quyên</v>
          </cell>
          <cell r="G49" t="str">
            <v>0944838353</v>
          </cell>
          <cell r="H49" t="str">
            <v>TVĐT</v>
          </cell>
          <cell r="J49">
            <v>4103</v>
          </cell>
          <cell r="K49" t="str">
            <v>3 pha</v>
          </cell>
          <cell r="L49" t="str">
            <v xml:space="preserve">TV 1C </v>
          </cell>
          <cell r="M49" t="str">
            <v>TVĐT</v>
          </cell>
          <cell r="N49">
            <v>24</v>
          </cell>
          <cell r="O49">
            <v>283862</v>
          </cell>
          <cell r="P49">
            <v>283692</v>
          </cell>
          <cell r="Q49">
            <v>1</v>
          </cell>
          <cell r="R49">
            <v>170</v>
          </cell>
          <cell r="S49">
            <v>0</v>
          </cell>
          <cell r="T49">
            <v>170</v>
          </cell>
          <cell r="U49">
            <v>3505</v>
          </cell>
          <cell r="V49">
            <v>595850</v>
          </cell>
          <cell r="W49" t="str">
            <v>Hoàng</v>
          </cell>
        </row>
        <row r="50">
          <cell r="A50">
            <v>46</v>
          </cell>
          <cell r="B50" t="str">
            <v>TT kỹ thuật số Pháp ngữ CNF (AUF)</v>
          </cell>
          <cell r="D50" t="str">
            <v>227 TV TQB</v>
          </cell>
          <cell r="F50" t="str">
            <v>A Lâm</v>
          </cell>
          <cell r="G50" t="str">
            <v>0902171933</v>
          </cell>
          <cell r="H50" t="str">
            <v>TVĐT</v>
          </cell>
          <cell r="J50" t="str">
            <v>0804</v>
          </cell>
          <cell r="K50" t="str">
            <v>1 pha</v>
          </cell>
          <cell r="L50" t="str">
            <v xml:space="preserve">TV 1D </v>
          </cell>
          <cell r="M50" t="str">
            <v>TVĐT</v>
          </cell>
          <cell r="N50">
            <v>24</v>
          </cell>
          <cell r="O50">
            <v>9446</v>
          </cell>
          <cell r="P50">
            <v>8866</v>
          </cell>
          <cell r="Q50">
            <v>1</v>
          </cell>
          <cell r="R50">
            <v>580</v>
          </cell>
          <cell r="S50">
            <v>0</v>
          </cell>
          <cell r="T50">
            <v>580</v>
          </cell>
          <cell r="U50">
            <v>3505</v>
          </cell>
          <cell r="V50">
            <v>2032900</v>
          </cell>
          <cell r="W50" t="str">
            <v>Hoàng</v>
          </cell>
        </row>
        <row r="51">
          <cell r="A51">
            <v>47</v>
          </cell>
          <cell r="B51" t="str">
            <v>TT kỹ thuật số Pháp ngữ CNF (AUF)</v>
          </cell>
          <cell r="D51" t="str">
            <v>Tầng 6 TV TQB</v>
          </cell>
          <cell r="F51" t="str">
            <v>A Lâm</v>
          </cell>
          <cell r="G51" t="str">
            <v>0902171933</v>
          </cell>
          <cell r="H51" t="str">
            <v>TVĐT</v>
          </cell>
          <cell r="J51">
            <v>2526</v>
          </cell>
          <cell r="K51" t="str">
            <v>3 pha</v>
          </cell>
          <cell r="L51" t="str">
            <v xml:space="preserve">TV 1D </v>
          </cell>
          <cell r="M51" t="str">
            <v>TVĐT</v>
          </cell>
          <cell r="N51">
            <v>25</v>
          </cell>
          <cell r="O51">
            <v>37554</v>
          </cell>
          <cell r="P51">
            <v>33915</v>
          </cell>
          <cell r="Q51">
            <v>1</v>
          </cell>
          <cell r="R51">
            <v>3639</v>
          </cell>
          <cell r="S51">
            <v>0</v>
          </cell>
          <cell r="T51">
            <v>3639</v>
          </cell>
          <cell r="U51">
            <v>3505</v>
          </cell>
          <cell r="V51">
            <v>12754695</v>
          </cell>
          <cell r="W51" t="str">
            <v>Hoàng</v>
          </cell>
        </row>
        <row r="52">
          <cell r="A52">
            <v>48</v>
          </cell>
          <cell r="B52" t="str">
            <v>ĐH phòng đọc Thư viện TQB</v>
          </cell>
          <cell r="D52" t="str">
            <v>411, 526 TV TQB</v>
          </cell>
          <cell r="F52" t="str">
            <v>Chị Quyên</v>
          </cell>
          <cell r="G52" t="str">
            <v>0944838353</v>
          </cell>
          <cell r="H52" t="str">
            <v>TVĐT</v>
          </cell>
          <cell r="J52">
            <v>4311</v>
          </cell>
          <cell r="K52" t="str">
            <v>3 pha</v>
          </cell>
          <cell r="L52" t="str">
            <v xml:space="preserve">TV 4C </v>
          </cell>
          <cell r="M52" t="str">
            <v>TVĐT</v>
          </cell>
          <cell r="N52">
            <v>25</v>
          </cell>
          <cell r="O52">
            <v>7023</v>
          </cell>
          <cell r="P52">
            <v>6753</v>
          </cell>
          <cell r="Q52">
            <v>40</v>
          </cell>
          <cell r="R52">
            <v>10800</v>
          </cell>
          <cell r="S52">
            <v>0</v>
          </cell>
          <cell r="T52">
            <v>10800</v>
          </cell>
          <cell r="U52">
            <v>3505</v>
          </cell>
          <cell r="V52">
            <v>37854000</v>
          </cell>
          <cell r="W52" t="str">
            <v>Hoàng</v>
          </cell>
        </row>
        <row r="53">
          <cell r="A53">
            <v>49</v>
          </cell>
          <cell r="B53" t="str">
            <v>Viện CN và KT số</v>
          </cell>
          <cell r="D53" t="str">
            <v>TV 609</v>
          </cell>
          <cell r="F53" t="str">
            <v>C Hòa</v>
          </cell>
          <cell r="G53" t="str">
            <v>091 4343833</v>
          </cell>
          <cell r="H53" t="str">
            <v>TVĐT</v>
          </cell>
          <cell r="J53">
            <v>10004862</v>
          </cell>
          <cell r="K53" t="str">
            <v>3 pha</v>
          </cell>
          <cell r="L53" t="str">
            <v>TV 6C</v>
          </cell>
          <cell r="M53" t="str">
            <v>TVĐT</v>
          </cell>
          <cell r="N53">
            <v>26</v>
          </cell>
          <cell r="O53">
            <v>26937</v>
          </cell>
          <cell r="P53">
            <v>24244</v>
          </cell>
          <cell r="Q53">
            <v>1</v>
          </cell>
          <cell r="R53">
            <v>2693</v>
          </cell>
          <cell r="S53">
            <v>0</v>
          </cell>
          <cell r="T53">
            <v>2693</v>
          </cell>
          <cell r="U53">
            <v>3505</v>
          </cell>
          <cell r="V53">
            <v>9438965</v>
          </cell>
          <cell r="W53" t="str">
            <v>Hoàng</v>
          </cell>
        </row>
        <row r="54">
          <cell r="A54">
            <v>50</v>
          </cell>
          <cell r="B54" t="str">
            <v>Viện CN và KT số (MB)</v>
          </cell>
          <cell r="D54" t="str">
            <v>D2D tầng 1</v>
          </cell>
          <cell r="F54" t="str">
            <v>C Hòa</v>
          </cell>
          <cell r="G54" t="str">
            <v>091 4343833</v>
          </cell>
          <cell r="H54" t="str">
            <v>D2D</v>
          </cell>
          <cell r="J54">
            <v>4332</v>
          </cell>
          <cell r="K54" t="str">
            <v>3 pha</v>
          </cell>
          <cell r="L54" t="str">
            <v xml:space="preserve">D2D T1 </v>
          </cell>
          <cell r="M54" t="str">
            <v>TVĐT</v>
          </cell>
          <cell r="N54">
            <v>26</v>
          </cell>
          <cell r="O54">
            <v>11700</v>
          </cell>
          <cell r="P54">
            <v>10744</v>
          </cell>
          <cell r="Q54">
            <v>1</v>
          </cell>
          <cell r="R54">
            <v>956</v>
          </cell>
          <cell r="S54">
            <v>0</v>
          </cell>
          <cell r="T54">
            <v>956</v>
          </cell>
          <cell r="U54">
            <v>3505</v>
          </cell>
          <cell r="V54">
            <v>3350780</v>
          </cell>
          <cell r="W54" t="str">
            <v>Sơn</v>
          </cell>
        </row>
        <row r="55">
          <cell r="A55">
            <v>51</v>
          </cell>
          <cell r="B55" t="str">
            <v>Viện NC và ứng dụng Trí tuệ nhân tạo</v>
          </cell>
          <cell r="D55" t="str">
            <v>TV 618</v>
          </cell>
          <cell r="F55" t="str">
            <v>A Sơn</v>
          </cell>
          <cell r="G55" t="str">
            <v>0947279988</v>
          </cell>
          <cell r="H55" t="str">
            <v>TVĐT</v>
          </cell>
          <cell r="J55">
            <v>80529</v>
          </cell>
          <cell r="K55" t="str">
            <v>3 pha</v>
          </cell>
          <cell r="L55" t="str">
            <v>TV 6C</v>
          </cell>
          <cell r="M55" t="str">
            <v>TVĐT</v>
          </cell>
          <cell r="N55">
            <v>27</v>
          </cell>
          <cell r="O55">
            <v>28474</v>
          </cell>
          <cell r="P55">
            <v>21226</v>
          </cell>
          <cell r="Q55">
            <v>1</v>
          </cell>
          <cell r="R55">
            <v>7248</v>
          </cell>
          <cell r="S55">
            <v>0</v>
          </cell>
          <cell r="T55">
            <v>7248</v>
          </cell>
          <cell r="U55">
            <v>3505</v>
          </cell>
          <cell r="V55">
            <v>25404240</v>
          </cell>
          <cell r="W55" t="str">
            <v>Hoàng</v>
          </cell>
        </row>
        <row r="56">
          <cell r="A56">
            <v>52</v>
          </cell>
          <cell r="B56" t="str">
            <v>ELEARNING CENTER</v>
          </cell>
          <cell r="C56" t="str">
            <v>TT tâm chuyển đổi số</v>
          </cell>
          <cell r="D56" t="str">
            <v>915 TVĐT</v>
          </cell>
          <cell r="F56" t="str">
            <v>Lê Huy Cường</v>
          </cell>
          <cell r="G56" t="str">
            <v>0912265004</v>
          </cell>
          <cell r="H56" t="str">
            <v>TVĐT</v>
          </cell>
          <cell r="J56">
            <v>1793</v>
          </cell>
          <cell r="K56" t="str">
            <v>3 pha</v>
          </cell>
          <cell r="L56" t="str">
            <v>TV 9D</v>
          </cell>
          <cell r="M56" t="str">
            <v>TVĐT</v>
          </cell>
          <cell r="N56">
            <v>27</v>
          </cell>
          <cell r="O56">
            <v>164085</v>
          </cell>
          <cell r="P56">
            <v>163826</v>
          </cell>
          <cell r="Q56">
            <v>1</v>
          </cell>
          <cell r="R56">
            <v>259</v>
          </cell>
          <cell r="S56">
            <v>0</v>
          </cell>
          <cell r="T56">
            <v>259</v>
          </cell>
          <cell r="U56">
            <v>3505</v>
          </cell>
          <cell r="V56">
            <v>907795</v>
          </cell>
          <cell r="W56" t="str">
            <v>Hoàng</v>
          </cell>
        </row>
        <row r="57">
          <cell r="A57">
            <v>53</v>
          </cell>
          <cell r="B57" t="str">
            <v>Phòng KT mạng B1</v>
          </cell>
          <cell r="D57" t="str">
            <v>Phòng KT mạng B1 T3,5,7,10</v>
          </cell>
          <cell r="F57" t="str">
            <v>Lê Huy Cường</v>
          </cell>
          <cell r="G57" t="str">
            <v>0912265004</v>
          </cell>
          <cell r="J57">
            <v>9391</v>
          </cell>
          <cell r="K57" t="str">
            <v>3 pha</v>
          </cell>
          <cell r="L57" t="str">
            <v>PKTD T1-B1</v>
          </cell>
          <cell r="M57" t="str">
            <v>B1</v>
          </cell>
          <cell r="N57">
            <v>28</v>
          </cell>
          <cell r="O57">
            <v>677794</v>
          </cell>
          <cell r="P57">
            <v>668771</v>
          </cell>
          <cell r="Q57">
            <v>1</v>
          </cell>
          <cell r="R57">
            <v>9023</v>
          </cell>
          <cell r="S57">
            <v>0</v>
          </cell>
          <cell r="V57">
            <v>0</v>
          </cell>
          <cell r="W57" t="str">
            <v>Đông</v>
          </cell>
        </row>
        <row r="58">
          <cell r="A58">
            <v>54</v>
          </cell>
          <cell r="B58" t="str">
            <v>Quán tròn C9</v>
          </cell>
          <cell r="C58" t="str">
            <v>HĐKT</v>
          </cell>
          <cell r="D58" t="str">
            <v xml:space="preserve">C9 </v>
          </cell>
          <cell r="F58" t="str">
            <v>Nguyễn Thu Lương</v>
          </cell>
          <cell r="G58" t="str">
            <v>0913521321</v>
          </cell>
          <cell r="H58" t="str">
            <v>C9</v>
          </cell>
          <cell r="J58">
            <v>5545</v>
          </cell>
          <cell r="K58" t="str">
            <v>1 pha</v>
          </cell>
          <cell r="L58" t="str">
            <v>Quán tròn C9</v>
          </cell>
          <cell r="M58" t="str">
            <v>BK3B</v>
          </cell>
          <cell r="N58">
            <v>28</v>
          </cell>
          <cell r="O58">
            <v>61615</v>
          </cell>
          <cell r="P58">
            <v>61116</v>
          </cell>
          <cell r="Q58">
            <v>1</v>
          </cell>
          <cell r="R58">
            <v>499</v>
          </cell>
          <cell r="S58">
            <v>0</v>
          </cell>
          <cell r="T58">
            <v>499</v>
          </cell>
          <cell r="U58">
            <v>4169</v>
          </cell>
          <cell r="V58">
            <v>2080331</v>
          </cell>
          <cell r="W58" t="str">
            <v>Sơn</v>
          </cell>
        </row>
        <row r="59">
          <cell r="A59">
            <v>55</v>
          </cell>
          <cell r="B59" t="str">
            <v xml:space="preserve">Quán tròn C5 </v>
          </cell>
          <cell r="C59" t="str">
            <v>HĐKT</v>
          </cell>
          <cell r="D59" t="str">
            <v>C5</v>
          </cell>
          <cell r="F59" t="str">
            <v>Nguyễn Thu Lương</v>
          </cell>
          <cell r="G59" t="str">
            <v>0913521321</v>
          </cell>
          <cell r="H59" t="str">
            <v>C5</v>
          </cell>
          <cell r="J59">
            <v>6385</v>
          </cell>
          <cell r="K59" t="str">
            <v>1 pha</v>
          </cell>
          <cell r="L59" t="str">
            <v>Quán tròn C5</v>
          </cell>
          <cell r="M59" t="str">
            <v>BK2</v>
          </cell>
          <cell r="N59">
            <v>29</v>
          </cell>
          <cell r="O59">
            <v>36108</v>
          </cell>
          <cell r="P59">
            <v>35859</v>
          </cell>
          <cell r="Q59">
            <v>1</v>
          </cell>
          <cell r="R59">
            <v>249</v>
          </cell>
          <cell r="S59">
            <v>0</v>
          </cell>
          <cell r="T59">
            <v>249</v>
          </cell>
          <cell r="U59">
            <v>4169</v>
          </cell>
          <cell r="V59">
            <v>1038081</v>
          </cell>
          <cell r="W59" t="str">
            <v>Biên</v>
          </cell>
        </row>
        <row r="60">
          <cell r="A60">
            <v>56</v>
          </cell>
          <cell r="B60" t="str">
            <v>Viện NCCN không gian và dưới nước</v>
          </cell>
          <cell r="C60" t="str">
            <v>Viện NCCN không gian và dưới nước</v>
          </cell>
          <cell r="D60" t="str">
            <v>D8 Tầng 6</v>
          </cell>
          <cell r="E60">
            <v>38693782</v>
          </cell>
          <cell r="F60" t="str">
            <v>A Hưng</v>
          </cell>
          <cell r="G60" t="str">
            <v>0379997777</v>
          </cell>
          <cell r="H60" t="str">
            <v>D8</v>
          </cell>
          <cell r="J60" t="str">
            <v>0931</v>
          </cell>
          <cell r="K60" t="str">
            <v>3 pha</v>
          </cell>
          <cell r="L60" t="str">
            <v>KTĐ T6</v>
          </cell>
          <cell r="M60" t="str">
            <v>D8</v>
          </cell>
          <cell r="N60">
            <v>31</v>
          </cell>
          <cell r="O60">
            <v>147008</v>
          </cell>
          <cell r="P60">
            <v>142343</v>
          </cell>
          <cell r="Q60">
            <v>1</v>
          </cell>
          <cell r="R60">
            <v>4665</v>
          </cell>
          <cell r="S60">
            <v>0</v>
          </cell>
          <cell r="T60">
            <v>4665</v>
          </cell>
          <cell r="U60">
            <v>3505</v>
          </cell>
          <cell r="V60">
            <v>16350825</v>
          </cell>
          <cell r="W60" t="str">
            <v>Sơn</v>
          </cell>
        </row>
        <row r="61">
          <cell r="A61">
            <v>57</v>
          </cell>
          <cell r="B61" t="str">
            <v>Viện NCCN không gian và dưới nước</v>
          </cell>
          <cell r="C61" t="str">
            <v>Viện NCCN không gian và dưới nước</v>
          </cell>
          <cell r="D61" t="str">
            <v>D8 Tầng 11</v>
          </cell>
          <cell r="E61">
            <v>38693782</v>
          </cell>
          <cell r="F61" t="str">
            <v>A Hưng</v>
          </cell>
          <cell r="G61" t="str">
            <v>0379997777</v>
          </cell>
          <cell r="H61" t="str">
            <v>D8</v>
          </cell>
          <cell r="J61">
            <v>1624</v>
          </cell>
          <cell r="K61" t="str">
            <v>3 pha</v>
          </cell>
          <cell r="L61" t="str">
            <v>KTĐ T11</v>
          </cell>
          <cell r="M61" t="str">
            <v>D8</v>
          </cell>
          <cell r="N61">
            <v>30</v>
          </cell>
          <cell r="O61">
            <v>18361</v>
          </cell>
          <cell r="P61">
            <v>17039</v>
          </cell>
          <cell r="Q61">
            <v>1</v>
          </cell>
          <cell r="R61">
            <v>1322</v>
          </cell>
          <cell r="S61">
            <v>0</v>
          </cell>
          <cell r="T61">
            <v>1322</v>
          </cell>
          <cell r="U61">
            <v>3505</v>
          </cell>
          <cell r="V61">
            <v>4633610</v>
          </cell>
          <cell r="W61" t="str">
            <v>Sơn</v>
          </cell>
        </row>
        <row r="62">
          <cell r="A62">
            <v>58</v>
          </cell>
          <cell r="B62" t="str">
            <v xml:space="preserve">Văn phòng GIZ </v>
          </cell>
          <cell r="C62" t="str">
            <v>HĐKT</v>
          </cell>
          <cell r="D62" t="str">
            <v>Số 1 - Ngõ 17 TQB</v>
          </cell>
          <cell r="E62">
            <v>36230351</v>
          </cell>
          <cell r="F62" t="str">
            <v>Lê Thị Hạnh</v>
          </cell>
          <cell r="G62" t="str">
            <v>0915678432</v>
          </cell>
          <cell r="H62" t="str">
            <v>Ngõ 17</v>
          </cell>
          <cell r="J62">
            <v>4061</v>
          </cell>
          <cell r="K62" t="str">
            <v>3 pha</v>
          </cell>
          <cell r="L62" t="str">
            <v xml:space="preserve">Nhà khách </v>
          </cell>
          <cell r="M62" t="str">
            <v>THCK</v>
          </cell>
          <cell r="N62">
            <v>30</v>
          </cell>
          <cell r="O62">
            <v>45698</v>
          </cell>
          <cell r="P62">
            <v>44005</v>
          </cell>
          <cell r="Q62">
            <v>1</v>
          </cell>
          <cell r="R62">
            <v>1693</v>
          </cell>
          <cell r="S62">
            <v>0</v>
          </cell>
          <cell r="T62">
            <v>1693</v>
          </cell>
          <cell r="U62">
            <v>4169</v>
          </cell>
          <cell r="V62">
            <v>7058117</v>
          </cell>
          <cell r="W62" t="str">
            <v>Đông</v>
          </cell>
        </row>
        <row r="63">
          <cell r="A63">
            <v>59</v>
          </cell>
          <cell r="B63" t="str">
            <v>Quán tròn C10B</v>
          </cell>
          <cell r="C63" t="str">
            <v>HĐKT</v>
          </cell>
          <cell r="D63" t="str">
            <v>C10B</v>
          </cell>
          <cell r="F63" t="str">
            <v>C Khánh</v>
          </cell>
          <cell r="G63" t="str">
            <v>0976636216</v>
          </cell>
          <cell r="J63">
            <v>9504</v>
          </cell>
          <cell r="K63" t="str">
            <v>1 pha</v>
          </cell>
          <cell r="L63" t="str">
            <v>Quán tròn C10B</v>
          </cell>
          <cell r="M63" t="str">
            <v>BK2</v>
          </cell>
          <cell r="N63">
            <v>31</v>
          </cell>
          <cell r="O63">
            <v>40159</v>
          </cell>
          <cell r="P63">
            <v>39384</v>
          </cell>
          <cell r="Q63">
            <v>1</v>
          </cell>
          <cell r="R63">
            <v>775</v>
          </cell>
          <cell r="S63">
            <v>0</v>
          </cell>
          <cell r="T63">
            <v>775</v>
          </cell>
          <cell r="U63">
            <v>4169</v>
          </cell>
          <cell r="V63">
            <v>3230975</v>
          </cell>
        </row>
        <row r="64">
          <cell r="A64">
            <v>60</v>
          </cell>
          <cell r="B64" t="str">
            <v>Viện khoa học sức khỏe</v>
          </cell>
          <cell r="D64" t="str">
            <v>TV 626</v>
          </cell>
          <cell r="F64" t="str">
            <v>A Phong</v>
          </cell>
          <cell r="G64" t="str">
            <v>0988793468</v>
          </cell>
          <cell r="H64" t="str">
            <v>TVĐT</v>
          </cell>
          <cell r="J64">
            <v>5356</v>
          </cell>
          <cell r="K64" t="str">
            <v>3 pha</v>
          </cell>
          <cell r="L64" t="str">
            <v>KTĐ T1D</v>
          </cell>
          <cell r="N64">
            <v>31</v>
          </cell>
          <cell r="O64">
            <v>195115</v>
          </cell>
          <cell r="P64">
            <v>194485</v>
          </cell>
          <cell r="Q64">
            <v>1</v>
          </cell>
          <cell r="R64">
            <v>630</v>
          </cell>
          <cell r="S64">
            <v>0</v>
          </cell>
          <cell r="T64">
            <v>630</v>
          </cell>
          <cell r="U64">
            <v>3505</v>
          </cell>
          <cell r="V64">
            <v>2208150</v>
          </cell>
          <cell r="W64" t="str">
            <v>Hoàng</v>
          </cell>
        </row>
        <row r="65">
          <cell r="A65">
            <v>61</v>
          </cell>
          <cell r="B65" t="str">
            <v>Trường CNTT và TT B1 (t thụ)</v>
          </cell>
          <cell r="C65" t="str">
            <v>Trường CNTT và TT</v>
          </cell>
          <cell r="D65" t="str">
            <v>B1 (Phòng máy, VP trường, VP Khoa, TT, BM)</v>
          </cell>
          <cell r="F65" t="str">
            <v>Tạ Hải Tùng</v>
          </cell>
          <cell r="G65" t="str">
            <v>0904509467</v>
          </cell>
          <cell r="H65" t="str">
            <v>B1</v>
          </cell>
          <cell r="J65" t="str">
            <v>29 công tơ</v>
          </cell>
          <cell r="L65" t="str">
            <v>KTĐ B1</v>
          </cell>
          <cell r="M65" t="str">
            <v>B1</v>
          </cell>
          <cell r="N65">
            <v>36</v>
          </cell>
          <cell r="O65">
            <v>40125</v>
          </cell>
          <cell r="P65">
            <v>0</v>
          </cell>
          <cell r="Q65">
            <v>1</v>
          </cell>
          <cell r="R65">
            <v>40125</v>
          </cell>
          <cell r="S65">
            <v>0</v>
          </cell>
          <cell r="T65">
            <v>40125</v>
          </cell>
          <cell r="U65">
            <v>2655</v>
          </cell>
          <cell r="V65">
            <v>106531875</v>
          </cell>
          <cell r="W65" t="str">
            <v>Đông</v>
          </cell>
        </row>
        <row r="66">
          <cell r="A66">
            <v>62</v>
          </cell>
          <cell r="B66" t="str">
            <v xml:space="preserve">VP TT Đào tạo liên tục </v>
          </cell>
          <cell r="C66" t="str">
            <v>TT Đào tạo liên tục</v>
          </cell>
          <cell r="D66" t="str">
            <v>Nhà C</v>
          </cell>
          <cell r="E66">
            <v>38693782</v>
          </cell>
          <cell r="F66" t="str">
            <v>Nguyễn Tiến Dũng</v>
          </cell>
          <cell r="G66" t="str">
            <v>0988355343</v>
          </cell>
          <cell r="H66" t="str">
            <v>C</v>
          </cell>
          <cell r="J66">
            <v>4593</v>
          </cell>
          <cell r="K66" t="str">
            <v>3 pha</v>
          </cell>
          <cell r="L66" t="str">
            <v xml:space="preserve"> nhà C</v>
          </cell>
          <cell r="M66" t="str">
            <v>THCK</v>
          </cell>
          <cell r="N66">
            <v>37</v>
          </cell>
          <cell r="O66">
            <v>147573</v>
          </cell>
          <cell r="P66">
            <v>145425</v>
          </cell>
          <cell r="Q66">
            <v>1</v>
          </cell>
          <cell r="R66">
            <v>2148</v>
          </cell>
          <cell r="S66">
            <v>0</v>
          </cell>
          <cell r="T66">
            <v>2148</v>
          </cell>
          <cell r="U66">
            <v>3505</v>
          </cell>
          <cell r="V66">
            <v>7528740</v>
          </cell>
          <cell r="W66" t="str">
            <v>Đông</v>
          </cell>
        </row>
        <row r="67">
          <cell r="A67">
            <v>63</v>
          </cell>
          <cell r="B67" t="str">
            <v>TT Đào tạo liên tục - phòng máy TC</v>
          </cell>
          <cell r="C67" t="str">
            <v>TT Đào tạo liên tục</v>
          </cell>
          <cell r="D67" t="str">
            <v>TC 309</v>
          </cell>
          <cell r="E67">
            <v>38693782</v>
          </cell>
          <cell r="F67" t="str">
            <v>Nguyễn Tiến Dũng</v>
          </cell>
          <cell r="G67" t="str">
            <v>0988355343</v>
          </cell>
          <cell r="H67" t="str">
            <v>TC</v>
          </cell>
          <cell r="J67">
            <v>1334</v>
          </cell>
          <cell r="K67" t="str">
            <v>3 pha</v>
          </cell>
          <cell r="L67" t="str">
            <v xml:space="preserve"> nhà C</v>
          </cell>
          <cell r="M67" t="str">
            <v>SVĐ</v>
          </cell>
          <cell r="N67">
            <v>37</v>
          </cell>
          <cell r="Q67">
            <v>1</v>
          </cell>
          <cell r="R67">
            <v>0</v>
          </cell>
          <cell r="S67">
            <v>0</v>
          </cell>
          <cell r="T67">
            <v>0</v>
          </cell>
          <cell r="U67">
            <v>3505</v>
          </cell>
          <cell r="V67">
            <v>0</v>
          </cell>
          <cell r="W67" t="str">
            <v>Đông</v>
          </cell>
        </row>
        <row r="68">
          <cell r="A68">
            <v>64</v>
          </cell>
          <cell r="B68" t="str">
            <v>TT Đào tạo liên tục - phòng máy TV (D)</v>
          </cell>
          <cell r="C68" t="str">
            <v>TT Đào tạo liên tục</v>
          </cell>
          <cell r="D68" t="str">
            <v>TV TQB</v>
          </cell>
          <cell r="E68">
            <v>38693782</v>
          </cell>
          <cell r="F68" t="str">
            <v>Nguyễn Tiến Dũng</v>
          </cell>
          <cell r="G68" t="str">
            <v>0988355343</v>
          </cell>
          <cell r="H68" t="str">
            <v>TVĐT</v>
          </cell>
          <cell r="J68">
            <v>1724</v>
          </cell>
          <cell r="K68" t="str">
            <v>3 pha</v>
          </cell>
          <cell r="L68" t="str">
            <v>KTĐ D</v>
          </cell>
          <cell r="M68" t="str">
            <v>TVĐT</v>
          </cell>
          <cell r="N68">
            <v>37</v>
          </cell>
          <cell r="O68">
            <v>59462</v>
          </cell>
          <cell r="P68">
            <v>55265</v>
          </cell>
          <cell r="Q68">
            <v>1</v>
          </cell>
          <cell r="R68">
            <v>4197</v>
          </cell>
          <cell r="S68">
            <v>0</v>
          </cell>
          <cell r="T68">
            <v>4197</v>
          </cell>
          <cell r="U68">
            <v>3505</v>
          </cell>
          <cell r="V68">
            <v>14710485</v>
          </cell>
          <cell r="W68" t="str">
            <v>Hoàng</v>
          </cell>
        </row>
        <row r="69">
          <cell r="A69">
            <v>65</v>
          </cell>
          <cell r="B69" t="str">
            <v>TT Đào tạo liên tục - phòng máy TV ( C)</v>
          </cell>
          <cell r="C69" t="str">
            <v>TT Đào tạo liên tục</v>
          </cell>
          <cell r="D69" t="str">
            <v>TV TQB</v>
          </cell>
          <cell r="E69">
            <v>38693782</v>
          </cell>
          <cell r="F69" t="str">
            <v>Nguyễn Tiến Dũng</v>
          </cell>
          <cell r="G69" t="str">
            <v>0988355343</v>
          </cell>
          <cell r="H69" t="str">
            <v>TVĐT</v>
          </cell>
          <cell r="J69">
            <v>6333</v>
          </cell>
          <cell r="K69" t="str">
            <v>3 pha</v>
          </cell>
          <cell r="L69" t="str">
            <v>KTĐ C</v>
          </cell>
          <cell r="M69" t="str">
            <v>TVĐT</v>
          </cell>
          <cell r="N69">
            <v>37</v>
          </cell>
          <cell r="O69">
            <v>78594</v>
          </cell>
          <cell r="P69">
            <v>75874</v>
          </cell>
          <cell r="Q69">
            <v>1</v>
          </cell>
          <cell r="R69">
            <v>2720</v>
          </cell>
          <cell r="S69">
            <v>0</v>
          </cell>
          <cell r="T69">
            <v>2720</v>
          </cell>
          <cell r="U69">
            <v>3505</v>
          </cell>
          <cell r="V69">
            <v>9533600</v>
          </cell>
          <cell r="W69" t="str">
            <v>Hoàng</v>
          </cell>
        </row>
        <row r="70">
          <cell r="A70">
            <v>66</v>
          </cell>
          <cell r="B70" t="str">
            <v>Trung tâm y tế (t thụ)</v>
          </cell>
          <cell r="C70" t="str">
            <v>TT Y tế</v>
          </cell>
          <cell r="D70" t="str">
            <v>Số 5 TQB</v>
          </cell>
          <cell r="F70" t="str">
            <v>Trương Hữu Ninh</v>
          </cell>
          <cell r="G70" t="str">
            <v>0912772168</v>
          </cell>
          <cell r="J70">
            <v>3833</v>
          </cell>
          <cell r="K70" t="str">
            <v>3 pha</v>
          </cell>
          <cell r="L70" t="str">
            <v>Tủ tổng TT</v>
          </cell>
          <cell r="M70" t="str">
            <v>KTX</v>
          </cell>
          <cell r="N70">
            <v>37</v>
          </cell>
          <cell r="O70">
            <v>5696</v>
          </cell>
          <cell r="P70">
            <v>0</v>
          </cell>
          <cell r="Q70">
            <v>1</v>
          </cell>
          <cell r="R70">
            <v>5696</v>
          </cell>
          <cell r="S70">
            <v>0</v>
          </cell>
          <cell r="T70">
            <v>5696</v>
          </cell>
          <cell r="U70">
            <v>3505</v>
          </cell>
          <cell r="V70">
            <v>19964480</v>
          </cell>
          <cell r="W70" t="str">
            <v>Đông</v>
          </cell>
        </row>
        <row r="71">
          <cell r="A71">
            <v>67</v>
          </cell>
          <cell r="B71" t="str">
            <v>Trung tâm KTX  (t thụ)</v>
          </cell>
          <cell r="D71" t="str">
            <v>KTX</v>
          </cell>
          <cell r="E71">
            <v>38692942</v>
          </cell>
          <cell r="F71" t="str">
            <v>Phạm Đắc Huấn</v>
          </cell>
          <cell r="G71" t="str">
            <v>0912998468</v>
          </cell>
          <cell r="H71" t="str">
            <v>KTX</v>
          </cell>
          <cell r="J71">
            <v>2148</v>
          </cell>
          <cell r="K71" t="str">
            <v>3 pha</v>
          </cell>
          <cell r="M71" t="str">
            <v>KTX</v>
          </cell>
          <cell r="N71">
            <v>38</v>
          </cell>
          <cell r="O71">
            <v>320271</v>
          </cell>
          <cell r="P71">
            <v>0</v>
          </cell>
          <cell r="Q71">
            <v>1</v>
          </cell>
          <cell r="R71">
            <v>320271</v>
          </cell>
          <cell r="S71">
            <v>0</v>
          </cell>
          <cell r="U71">
            <v>2664</v>
          </cell>
          <cell r="W71" t="str">
            <v>Đông</v>
          </cell>
        </row>
        <row r="72">
          <cell r="A72">
            <v>68</v>
          </cell>
          <cell r="B72" t="str">
            <v>Phòng TN Đông cơ đốt trong - Động lực (t thụ)</v>
          </cell>
          <cell r="C72" t="str">
            <v>Trường Cơ Khí</v>
          </cell>
          <cell r="D72" t="str">
            <v>C15</v>
          </cell>
          <cell r="F72" t="str">
            <v>Phạm Hữu Tuyến</v>
          </cell>
          <cell r="G72" t="str">
            <v>0346504559, 0947020290 (Hạnh)</v>
          </cell>
          <cell r="H72" t="str">
            <v>C8B</v>
          </cell>
          <cell r="J72">
            <v>7290</v>
          </cell>
          <cell r="K72" t="str">
            <v>3 pha</v>
          </cell>
          <cell r="L72" t="str">
            <v>Trạm ĐCĐT</v>
          </cell>
          <cell r="M72" t="str">
            <v>ĐCĐT</v>
          </cell>
          <cell r="N72">
            <v>39</v>
          </cell>
          <cell r="O72">
            <v>2860</v>
          </cell>
          <cell r="P72">
            <v>1400</v>
          </cell>
          <cell r="Q72">
            <v>1</v>
          </cell>
          <cell r="R72">
            <v>1460</v>
          </cell>
          <cell r="S72">
            <v>0</v>
          </cell>
          <cell r="T72">
            <v>1460</v>
          </cell>
          <cell r="U72">
            <v>3505</v>
          </cell>
          <cell r="V72">
            <v>5117300</v>
          </cell>
          <cell r="W72" t="str">
            <v>Biên</v>
          </cell>
        </row>
        <row r="73">
          <cell r="A73">
            <v>69</v>
          </cell>
          <cell r="B73" t="str">
            <v>Phòng TN Đông cơ đốt trong - Ánh sáng</v>
          </cell>
          <cell r="C73" t="str">
            <v>Trường Cơ Khí</v>
          </cell>
          <cell r="D73" t="str">
            <v>C15</v>
          </cell>
          <cell r="F73" t="str">
            <v>Phạm Hữu Tuyến</v>
          </cell>
          <cell r="G73" t="str">
            <v>0346504559, 0947020290 (Hạnh)</v>
          </cell>
          <cell r="H73" t="str">
            <v>C8B</v>
          </cell>
          <cell r="J73">
            <v>2002</v>
          </cell>
          <cell r="K73" t="str">
            <v>3 pha</v>
          </cell>
          <cell r="L73" t="str">
            <v>Trạm ĐCĐT</v>
          </cell>
          <cell r="M73" t="str">
            <v>ĐCĐT</v>
          </cell>
          <cell r="N73">
            <v>39</v>
          </cell>
          <cell r="O73">
            <v>240</v>
          </cell>
          <cell r="P73">
            <v>212</v>
          </cell>
          <cell r="Q73">
            <v>30</v>
          </cell>
          <cell r="R73">
            <v>840</v>
          </cell>
          <cell r="S73">
            <v>0</v>
          </cell>
          <cell r="T73">
            <v>840</v>
          </cell>
          <cell r="U73">
            <v>3505</v>
          </cell>
          <cell r="V73">
            <v>2944200</v>
          </cell>
          <cell r="W73" t="str">
            <v>Biên</v>
          </cell>
        </row>
        <row r="74">
          <cell r="A74">
            <v>70</v>
          </cell>
          <cell r="B74" t="str">
            <v>TT Kỹ thuật cơ khí</v>
          </cell>
          <cell r="C74" t="str">
            <v>Trường Cơ khí</v>
          </cell>
          <cell r="D74" t="str">
            <v>T207</v>
          </cell>
          <cell r="E74">
            <v>38690073</v>
          </cell>
          <cell r="F74" t="str">
            <v>A Thanh</v>
          </cell>
          <cell r="G74" t="str">
            <v>0904526676</v>
          </cell>
          <cell r="H74" t="str">
            <v>T</v>
          </cell>
          <cell r="J74" t="str">
            <v>3388</v>
          </cell>
          <cell r="K74" t="str">
            <v>3 pha</v>
          </cell>
          <cell r="L74" t="str">
            <v>Trạm bơm</v>
          </cell>
          <cell r="M74" t="str">
            <v>THCK</v>
          </cell>
          <cell r="N74">
            <v>40</v>
          </cell>
          <cell r="Q74">
            <v>1</v>
          </cell>
          <cell r="R74">
            <v>0</v>
          </cell>
          <cell r="S74">
            <v>0</v>
          </cell>
          <cell r="T74">
            <v>0</v>
          </cell>
          <cell r="U74">
            <v>3505</v>
          </cell>
          <cell r="V74">
            <v>0</v>
          </cell>
          <cell r="W74" t="str">
            <v>Đông</v>
          </cell>
        </row>
        <row r="75">
          <cell r="A75">
            <v>71</v>
          </cell>
          <cell r="B75" t="str">
            <v>TT Kỹ thuật cơ khí</v>
          </cell>
          <cell r="C75" t="str">
            <v>Trường Cơ khí</v>
          </cell>
          <cell r="D75" t="str">
            <v>T - 101 Phòng CNC công nghiệp</v>
          </cell>
          <cell r="E75">
            <v>38692983</v>
          </cell>
          <cell r="F75" t="str">
            <v>A Thanh</v>
          </cell>
          <cell r="G75" t="str">
            <v>0904526676</v>
          </cell>
          <cell r="H75" t="str">
            <v>T</v>
          </cell>
          <cell r="J75">
            <v>5428</v>
          </cell>
          <cell r="K75" t="str">
            <v>3 pha</v>
          </cell>
          <cell r="L75" t="str">
            <v>Trong phòng</v>
          </cell>
          <cell r="M75" t="str">
            <v>THCK</v>
          </cell>
          <cell r="N75">
            <v>40</v>
          </cell>
          <cell r="O75">
            <v>96911</v>
          </cell>
          <cell r="P75">
            <v>96911</v>
          </cell>
          <cell r="Q75">
            <v>1</v>
          </cell>
          <cell r="R75">
            <v>0</v>
          </cell>
          <cell r="S75">
            <v>0</v>
          </cell>
          <cell r="T75">
            <v>0</v>
          </cell>
          <cell r="U75">
            <v>3505</v>
          </cell>
          <cell r="V75">
            <v>0</v>
          </cell>
          <cell r="W75" t="str">
            <v>Đông</v>
          </cell>
        </row>
        <row r="76">
          <cell r="A76">
            <v>72</v>
          </cell>
          <cell r="B76" t="str">
            <v>TT Kỹ thuật cơ khí</v>
          </cell>
          <cell r="C76" t="str">
            <v>Trường Cơ khí</v>
          </cell>
          <cell r="D76" t="str">
            <v>T - P 107</v>
          </cell>
          <cell r="E76">
            <v>38692983</v>
          </cell>
          <cell r="F76" t="str">
            <v>A Thanh</v>
          </cell>
          <cell r="G76" t="str">
            <v>0904526676</v>
          </cell>
          <cell r="H76" t="str">
            <v>T</v>
          </cell>
          <cell r="J76">
            <v>3723</v>
          </cell>
          <cell r="K76" t="str">
            <v>1 pha</v>
          </cell>
          <cell r="L76" t="str">
            <v>TĐN2</v>
          </cell>
          <cell r="M76" t="str">
            <v>THCK</v>
          </cell>
          <cell r="N76">
            <v>40</v>
          </cell>
          <cell r="O76">
            <v>32125</v>
          </cell>
          <cell r="P76">
            <v>31898</v>
          </cell>
          <cell r="Q76">
            <v>1</v>
          </cell>
          <cell r="R76">
            <v>227</v>
          </cell>
          <cell r="S76">
            <v>0</v>
          </cell>
          <cell r="T76">
            <v>227</v>
          </cell>
          <cell r="U76">
            <v>3505</v>
          </cell>
          <cell r="V76">
            <v>795635</v>
          </cell>
          <cell r="W76" t="str">
            <v>Đông</v>
          </cell>
        </row>
        <row r="77">
          <cell r="A77">
            <v>73</v>
          </cell>
          <cell r="B77" t="str">
            <v>TT Kỹ thuật cơ khí</v>
          </cell>
          <cell r="C77" t="str">
            <v>Trường Cơ khí</v>
          </cell>
          <cell r="D77" t="str">
            <v xml:space="preserve">T- Ban Phay bào </v>
          </cell>
          <cell r="E77">
            <v>38692983</v>
          </cell>
          <cell r="F77" t="str">
            <v>A Thanh</v>
          </cell>
          <cell r="G77" t="str">
            <v>0904526676</v>
          </cell>
          <cell r="H77" t="str">
            <v>T</v>
          </cell>
          <cell r="J77">
            <v>2273</v>
          </cell>
          <cell r="K77" t="str">
            <v>3 pha</v>
          </cell>
          <cell r="L77" t="str">
            <v>104- nhà T</v>
          </cell>
          <cell r="M77" t="str">
            <v>THCK</v>
          </cell>
          <cell r="N77">
            <v>40</v>
          </cell>
          <cell r="O77">
            <v>35037</v>
          </cell>
          <cell r="P77">
            <v>35037</v>
          </cell>
          <cell r="Q77">
            <v>1</v>
          </cell>
          <cell r="R77">
            <v>0</v>
          </cell>
          <cell r="S77">
            <v>0</v>
          </cell>
          <cell r="T77">
            <v>0</v>
          </cell>
          <cell r="U77">
            <v>3505</v>
          </cell>
          <cell r="V77">
            <v>0</v>
          </cell>
          <cell r="W77" t="str">
            <v>Đông</v>
          </cell>
        </row>
        <row r="78">
          <cell r="A78">
            <v>74</v>
          </cell>
          <cell r="B78" t="str">
            <v>TT Kỹ thuật cơ khí</v>
          </cell>
          <cell r="C78" t="str">
            <v>Trường Cơ khí</v>
          </cell>
          <cell r="D78" t="str">
            <v>T- Ban Tiện</v>
          </cell>
          <cell r="E78">
            <v>38692983</v>
          </cell>
          <cell r="F78" t="str">
            <v>A Thanh</v>
          </cell>
          <cell r="G78" t="str">
            <v>0904526676</v>
          </cell>
          <cell r="H78" t="str">
            <v>T</v>
          </cell>
          <cell r="J78" t="str">
            <v>1157</v>
          </cell>
          <cell r="K78" t="str">
            <v>3 pha</v>
          </cell>
          <cell r="L78" t="str">
            <v>Ban phay bào</v>
          </cell>
          <cell r="M78" t="str">
            <v>THCK</v>
          </cell>
          <cell r="N78">
            <v>40</v>
          </cell>
          <cell r="O78">
            <v>5912</v>
          </cell>
          <cell r="P78">
            <v>5912</v>
          </cell>
          <cell r="Q78">
            <v>1</v>
          </cell>
          <cell r="R78">
            <v>0</v>
          </cell>
          <cell r="S78">
            <v>0</v>
          </cell>
          <cell r="T78">
            <v>0</v>
          </cell>
          <cell r="U78">
            <v>3505</v>
          </cell>
          <cell r="V78">
            <v>0</v>
          </cell>
          <cell r="W78" t="str">
            <v>Đông</v>
          </cell>
        </row>
        <row r="79">
          <cell r="A79">
            <v>75</v>
          </cell>
          <cell r="B79" t="str">
            <v>TT Kỹ thuật cơ khí</v>
          </cell>
          <cell r="C79" t="str">
            <v>Trường Cơ khí</v>
          </cell>
          <cell r="D79" t="str">
            <v>T- 110A PTN Hàn</v>
          </cell>
          <cell r="E79">
            <v>38692983</v>
          </cell>
          <cell r="F79" t="str">
            <v>A Thanh</v>
          </cell>
          <cell r="G79" t="str">
            <v>0904526676</v>
          </cell>
          <cell r="H79" t="str">
            <v>T</v>
          </cell>
          <cell r="J79" t="str">
            <v>3291</v>
          </cell>
          <cell r="K79" t="str">
            <v>1 pha</v>
          </cell>
          <cell r="L79" t="str">
            <v>TĐN 3</v>
          </cell>
          <cell r="M79" t="str">
            <v>THCK</v>
          </cell>
          <cell r="N79">
            <v>41</v>
          </cell>
          <cell r="O79">
            <v>5424</v>
          </cell>
          <cell r="P79">
            <v>5424</v>
          </cell>
          <cell r="Q79">
            <v>1</v>
          </cell>
          <cell r="R79">
            <v>0</v>
          </cell>
          <cell r="S79">
            <v>0</v>
          </cell>
          <cell r="T79">
            <v>0</v>
          </cell>
          <cell r="U79">
            <v>3505</v>
          </cell>
          <cell r="V79">
            <v>0</v>
          </cell>
          <cell r="W79" t="str">
            <v>Đông</v>
          </cell>
        </row>
        <row r="80">
          <cell r="A80">
            <v>76</v>
          </cell>
          <cell r="B80" t="str">
            <v>TT Kỹ thuật cơ khí</v>
          </cell>
          <cell r="C80" t="str">
            <v>Trường Cơ khí</v>
          </cell>
          <cell r="D80" t="str">
            <v>T- PTN Hàn 110</v>
          </cell>
          <cell r="E80">
            <v>38692983</v>
          </cell>
          <cell r="F80" t="str">
            <v>A Thanh</v>
          </cell>
          <cell r="G80" t="str">
            <v>0904526676</v>
          </cell>
          <cell r="H80" t="str">
            <v>T</v>
          </cell>
          <cell r="J80">
            <v>2447</v>
          </cell>
          <cell r="K80" t="str">
            <v>3 pha</v>
          </cell>
          <cell r="L80" t="str">
            <v>Trong phòng</v>
          </cell>
          <cell r="M80" t="str">
            <v>THCK</v>
          </cell>
          <cell r="N80">
            <v>41</v>
          </cell>
          <cell r="O80">
            <v>56126</v>
          </cell>
          <cell r="P80">
            <v>56126</v>
          </cell>
          <cell r="Q80">
            <v>1</v>
          </cell>
          <cell r="R80">
            <v>0</v>
          </cell>
          <cell r="S80">
            <v>0</v>
          </cell>
          <cell r="T80">
            <v>0</v>
          </cell>
          <cell r="U80">
            <v>3505</v>
          </cell>
          <cell r="V80">
            <v>0</v>
          </cell>
          <cell r="W80" t="str">
            <v>Đông</v>
          </cell>
        </row>
        <row r="81">
          <cell r="A81">
            <v>77</v>
          </cell>
          <cell r="B81" t="str">
            <v>PTN Động cơ đốt trong. T</v>
          </cell>
          <cell r="C81" t="str">
            <v>Trường Cơ Khí</v>
          </cell>
          <cell r="D81" t="str">
            <v>T - P111</v>
          </cell>
          <cell r="F81" t="str">
            <v>A Thanh</v>
          </cell>
          <cell r="G81" t="str">
            <v>0904526676</v>
          </cell>
          <cell r="H81" t="str">
            <v>T</v>
          </cell>
          <cell r="J81">
            <v>5191</v>
          </cell>
          <cell r="K81" t="str">
            <v>3 pha</v>
          </cell>
          <cell r="L81" t="str">
            <v>TĐN 3</v>
          </cell>
          <cell r="M81" t="str">
            <v>THCK</v>
          </cell>
          <cell r="N81">
            <v>41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  <cell r="U81">
            <v>3505</v>
          </cell>
          <cell r="V81">
            <v>0</v>
          </cell>
          <cell r="W81" t="str">
            <v>Đông</v>
          </cell>
        </row>
        <row r="82">
          <cell r="A82">
            <v>78</v>
          </cell>
          <cell r="B82" t="str">
            <v>TT Kỹ thuật cơ khí</v>
          </cell>
          <cell r="C82" t="str">
            <v>Trường Cơ khí</v>
          </cell>
          <cell r="D82" t="str">
            <v>T-101,102, nhà mái tôn</v>
          </cell>
          <cell r="E82">
            <v>38692983</v>
          </cell>
          <cell r="F82" t="str">
            <v>A Thanh</v>
          </cell>
          <cell r="G82" t="str">
            <v>0904526676</v>
          </cell>
          <cell r="H82" t="str">
            <v>T</v>
          </cell>
          <cell r="J82">
            <v>3553</v>
          </cell>
          <cell r="K82" t="str">
            <v>1 pha</v>
          </cell>
          <cell r="L82" t="str">
            <v>TĐN 1</v>
          </cell>
          <cell r="M82" t="str">
            <v>THCK</v>
          </cell>
          <cell r="N82">
            <v>41</v>
          </cell>
          <cell r="O82">
            <v>14647</v>
          </cell>
          <cell r="P82">
            <v>14552</v>
          </cell>
          <cell r="Q82">
            <v>1</v>
          </cell>
          <cell r="R82">
            <v>95</v>
          </cell>
          <cell r="S82">
            <v>0</v>
          </cell>
          <cell r="T82">
            <v>95</v>
          </cell>
          <cell r="U82">
            <v>3505</v>
          </cell>
          <cell r="V82">
            <v>332975</v>
          </cell>
          <cell r="W82" t="str">
            <v>Đông</v>
          </cell>
        </row>
        <row r="83">
          <cell r="A83">
            <v>79</v>
          </cell>
          <cell r="B83" t="str">
            <v>TT Kỹ thuật cơ khí</v>
          </cell>
          <cell r="C83" t="str">
            <v>Trường Cơ khí</v>
          </cell>
          <cell r="D83" t="str">
            <v>T - 206</v>
          </cell>
          <cell r="E83">
            <v>38692983</v>
          </cell>
          <cell r="F83" t="str">
            <v>A Thanh</v>
          </cell>
          <cell r="G83" t="str">
            <v>0904526676</v>
          </cell>
          <cell r="H83" t="str">
            <v>T</v>
          </cell>
          <cell r="J83" t="str">
            <v>3722</v>
          </cell>
          <cell r="K83" t="str">
            <v>1 pha</v>
          </cell>
          <cell r="L83" t="str">
            <v>TĐN 2</v>
          </cell>
          <cell r="M83" t="str">
            <v>THCK</v>
          </cell>
          <cell r="N83">
            <v>41</v>
          </cell>
          <cell r="O83">
            <v>12325</v>
          </cell>
          <cell r="P83">
            <v>12221</v>
          </cell>
          <cell r="Q83">
            <v>1</v>
          </cell>
          <cell r="R83">
            <v>104</v>
          </cell>
          <cell r="S83">
            <v>0</v>
          </cell>
          <cell r="T83">
            <v>104</v>
          </cell>
          <cell r="U83">
            <v>3505</v>
          </cell>
          <cell r="V83">
            <v>364520</v>
          </cell>
          <cell r="W83" t="str">
            <v>Đông</v>
          </cell>
        </row>
        <row r="84">
          <cell r="A84">
            <v>80</v>
          </cell>
          <cell r="B84" t="str">
            <v>TT Kỹ thuật cơ khí</v>
          </cell>
          <cell r="C84" t="str">
            <v>Trường Cơ khí</v>
          </cell>
          <cell r="D84" t="str">
            <v>T - 207</v>
          </cell>
          <cell r="E84">
            <v>38692983</v>
          </cell>
          <cell r="F84" t="str">
            <v>A Thanh</v>
          </cell>
          <cell r="G84" t="str">
            <v>0904526676</v>
          </cell>
          <cell r="H84" t="str">
            <v>T</v>
          </cell>
          <cell r="J84" t="str">
            <v>3629</v>
          </cell>
          <cell r="K84" t="str">
            <v>1 pha</v>
          </cell>
          <cell r="L84" t="str">
            <v>TĐN2</v>
          </cell>
          <cell r="M84" t="str">
            <v>THCK</v>
          </cell>
          <cell r="N84">
            <v>41</v>
          </cell>
          <cell r="O84">
            <v>16589</v>
          </cell>
          <cell r="P84">
            <v>16435</v>
          </cell>
          <cell r="Q84">
            <v>1</v>
          </cell>
          <cell r="R84">
            <v>154</v>
          </cell>
          <cell r="S84">
            <v>0</v>
          </cell>
          <cell r="T84">
            <v>154</v>
          </cell>
          <cell r="U84">
            <v>3505</v>
          </cell>
          <cell r="V84">
            <v>539770</v>
          </cell>
          <cell r="W84" t="str">
            <v>Đông</v>
          </cell>
        </row>
        <row r="85">
          <cell r="A85">
            <v>81</v>
          </cell>
          <cell r="B85" t="str">
            <v>TT Kỹ thuật cơ khí - VP</v>
          </cell>
          <cell r="C85" t="str">
            <v>Trường Cơ khí</v>
          </cell>
          <cell r="D85" t="str">
            <v>T- 210</v>
          </cell>
          <cell r="E85">
            <v>38692983</v>
          </cell>
          <cell r="F85" t="str">
            <v>A Thanh</v>
          </cell>
          <cell r="G85" t="str">
            <v>0904526676</v>
          </cell>
          <cell r="H85" t="str">
            <v>T</v>
          </cell>
          <cell r="J85" t="str">
            <v>3394</v>
          </cell>
          <cell r="K85" t="str">
            <v>1 pha</v>
          </cell>
          <cell r="L85" t="str">
            <v>TĐN2</v>
          </cell>
          <cell r="M85" t="str">
            <v>THCK</v>
          </cell>
          <cell r="N85">
            <v>41</v>
          </cell>
          <cell r="O85">
            <v>18720</v>
          </cell>
          <cell r="P85">
            <v>18361</v>
          </cell>
          <cell r="Q85">
            <v>1</v>
          </cell>
          <cell r="R85">
            <v>359</v>
          </cell>
          <cell r="S85">
            <v>0</v>
          </cell>
          <cell r="T85">
            <v>359</v>
          </cell>
          <cell r="U85">
            <v>3505</v>
          </cell>
          <cell r="V85">
            <v>1258295</v>
          </cell>
          <cell r="W85" t="str">
            <v>Đông</v>
          </cell>
        </row>
        <row r="86">
          <cell r="A86">
            <v>82</v>
          </cell>
          <cell r="B86" t="str">
            <v>Ông Vinh, Máy MS học, Viện CK</v>
          </cell>
          <cell r="C86" t="str">
            <v>Trường Cơ Khí</v>
          </cell>
          <cell r="D86" t="str">
            <v>Khu chăn nuôi</v>
          </cell>
          <cell r="E86">
            <v>38680073</v>
          </cell>
          <cell r="F86" t="str">
            <v>Đặng Vũ Vinh</v>
          </cell>
          <cell r="G86" t="str">
            <v>0982280945</v>
          </cell>
          <cell r="H86" t="str">
            <v>T</v>
          </cell>
          <cell r="J86" t="str">
            <v>8533</v>
          </cell>
          <cell r="K86" t="str">
            <v>3 pha</v>
          </cell>
          <cell r="L86" t="str">
            <v>Tủ tầng 2</v>
          </cell>
          <cell r="M86" t="str">
            <v>ĐLK</v>
          </cell>
          <cell r="N86">
            <v>39</v>
          </cell>
          <cell r="Q86">
            <v>1</v>
          </cell>
          <cell r="R86">
            <v>0</v>
          </cell>
          <cell r="S86">
            <v>0</v>
          </cell>
          <cell r="T86">
            <v>0</v>
          </cell>
          <cell r="U86">
            <v>3505</v>
          </cell>
          <cell r="V86">
            <v>0</v>
          </cell>
          <cell r="W86" t="str">
            <v>Đông</v>
          </cell>
        </row>
        <row r="87">
          <cell r="A87">
            <v>83</v>
          </cell>
          <cell r="B87" t="str">
            <v>Bộ môn Gia công vật liệu - Dụng cụ công nghiệp</v>
          </cell>
          <cell r="C87" t="str">
            <v>Trường Cơ Khí</v>
          </cell>
          <cell r="D87" t="str">
            <v>Xưởng C14B-PTN Gia công vật liệu</v>
          </cell>
          <cell r="F87" t="str">
            <v>Nguyễn Trọng Hải</v>
          </cell>
          <cell r="G87" t="str">
            <v>Hạnh: '0377659897</v>
          </cell>
          <cell r="H87" t="str">
            <v>T</v>
          </cell>
          <cell r="J87">
            <v>3085</v>
          </cell>
          <cell r="K87" t="str">
            <v>3 pha</v>
          </cell>
          <cell r="L87" t="str">
            <v>Tủ tầng 2</v>
          </cell>
          <cell r="M87" t="str">
            <v>ĐLK</v>
          </cell>
          <cell r="N87">
            <v>39</v>
          </cell>
          <cell r="Q87">
            <v>1</v>
          </cell>
          <cell r="R87">
            <v>0</v>
          </cell>
          <cell r="S87">
            <v>0</v>
          </cell>
          <cell r="T87">
            <v>0</v>
          </cell>
          <cell r="U87">
            <v>3505</v>
          </cell>
          <cell r="V87">
            <v>0</v>
          </cell>
          <cell r="W87" t="str">
            <v>Đông</v>
          </cell>
        </row>
        <row r="88">
          <cell r="A88">
            <v>84</v>
          </cell>
          <cell r="B88" t="str">
            <v>PTN Cơ điện tử</v>
          </cell>
          <cell r="C88" t="str">
            <v>Trường Cơ khí</v>
          </cell>
          <cell r="D88" t="str">
            <v>T- 212</v>
          </cell>
          <cell r="F88" t="str">
            <v>P. Đức An</v>
          </cell>
          <cell r="G88" t="str">
            <v>0971561418</v>
          </cell>
          <cell r="H88" t="str">
            <v>T</v>
          </cell>
          <cell r="J88">
            <v>2059</v>
          </cell>
          <cell r="K88" t="str">
            <v>1 pha</v>
          </cell>
          <cell r="L88" t="str">
            <v>Trong phòng</v>
          </cell>
          <cell r="M88" t="str">
            <v>THCK</v>
          </cell>
          <cell r="N88">
            <v>39</v>
          </cell>
          <cell r="Q88">
            <v>1</v>
          </cell>
          <cell r="R88">
            <v>0</v>
          </cell>
          <cell r="S88">
            <v>0</v>
          </cell>
          <cell r="T88">
            <v>0</v>
          </cell>
          <cell r="U88">
            <v>3505</v>
          </cell>
          <cell r="V88">
            <v>0</v>
          </cell>
          <cell r="W88" t="str">
            <v>Đông</v>
          </cell>
        </row>
        <row r="89">
          <cell r="A89">
            <v>85</v>
          </cell>
          <cell r="B89" t="str">
            <v>PTN Ô tô  ĐN1</v>
          </cell>
          <cell r="C89" t="str">
            <v>Trường Cơ khí</v>
          </cell>
          <cell r="D89" t="str">
            <v>Nhà mái tôn gần hàng rào ĐN1</v>
          </cell>
          <cell r="F89" t="str">
            <v>Đàm Hoàng Phúc</v>
          </cell>
          <cell r="G89" t="str">
            <v>0932367577</v>
          </cell>
          <cell r="H89" t="str">
            <v>T</v>
          </cell>
          <cell r="J89">
            <v>3834</v>
          </cell>
          <cell r="K89" t="str">
            <v>1 pha</v>
          </cell>
          <cell r="L89" t="str">
            <v>TDN 1</v>
          </cell>
          <cell r="M89" t="str">
            <v>THCK</v>
          </cell>
          <cell r="N89">
            <v>39</v>
          </cell>
          <cell r="Q89">
            <v>1</v>
          </cell>
          <cell r="R89">
            <v>0</v>
          </cell>
          <cell r="S89">
            <v>0</v>
          </cell>
          <cell r="T89">
            <v>0</v>
          </cell>
          <cell r="U89">
            <v>3505</v>
          </cell>
          <cell r="V89">
            <v>0</v>
          </cell>
          <cell r="W89" t="str">
            <v>Đông</v>
          </cell>
        </row>
        <row r="90">
          <cell r="A90">
            <v>86</v>
          </cell>
          <cell r="B90" t="str">
            <v>PTN HK Vũ trụ</v>
          </cell>
          <cell r="C90" t="str">
            <v>Trường Cơ khí</v>
          </cell>
          <cell r="D90" t="str">
            <v>Nhà T-207</v>
          </cell>
          <cell r="F90" t="str">
            <v>V Đình Quý</v>
          </cell>
          <cell r="G90" t="str">
            <v>0987015666</v>
          </cell>
          <cell r="H90" t="str">
            <v>T</v>
          </cell>
          <cell r="J90">
            <v>3388</v>
          </cell>
          <cell r="K90" t="str">
            <v>1 pha</v>
          </cell>
          <cell r="L90" t="str">
            <v>TĐN2</v>
          </cell>
          <cell r="M90" t="str">
            <v>THCK</v>
          </cell>
          <cell r="N90">
            <v>41</v>
          </cell>
          <cell r="O90">
            <v>40309</v>
          </cell>
          <cell r="P90">
            <v>40158</v>
          </cell>
          <cell r="Q90">
            <v>1</v>
          </cell>
          <cell r="R90">
            <v>151</v>
          </cell>
          <cell r="S90">
            <v>0</v>
          </cell>
          <cell r="T90">
            <v>151</v>
          </cell>
          <cell r="U90">
            <v>3505</v>
          </cell>
          <cell r="V90">
            <v>529255</v>
          </cell>
          <cell r="W90" t="str">
            <v>Đông</v>
          </cell>
        </row>
        <row r="91">
          <cell r="A91">
            <v>87</v>
          </cell>
          <cell r="B91" t="str">
            <v>PTN thiết kế máy công cụ</v>
          </cell>
          <cell r="C91" t="str">
            <v>Trường Cơ khí</v>
          </cell>
          <cell r="D91" t="str">
            <v xml:space="preserve">T- 101A </v>
          </cell>
          <cell r="H91" t="str">
            <v>T</v>
          </cell>
          <cell r="J91">
            <v>2473</v>
          </cell>
          <cell r="K91" t="str">
            <v>3 pha</v>
          </cell>
          <cell r="L91" t="str">
            <v>101A nhà T</v>
          </cell>
          <cell r="M91" t="str">
            <v>THCK</v>
          </cell>
          <cell r="N91">
            <v>41</v>
          </cell>
          <cell r="Q91">
            <v>1</v>
          </cell>
          <cell r="R91">
            <v>0</v>
          </cell>
          <cell r="S91">
            <v>0</v>
          </cell>
          <cell r="T91">
            <v>0</v>
          </cell>
          <cell r="U91">
            <v>3505</v>
          </cell>
          <cell r="V91">
            <v>0</v>
          </cell>
          <cell r="W91" t="str">
            <v>Đông</v>
          </cell>
        </row>
        <row r="92">
          <cell r="A92">
            <v>88</v>
          </cell>
          <cell r="B92" t="str">
            <v>PTN HK Vũ trụ</v>
          </cell>
          <cell r="C92" t="str">
            <v>Trường Cơ khí</v>
          </cell>
          <cell r="D92" t="str">
            <v>T-208</v>
          </cell>
          <cell r="F92" t="str">
            <v>V Đình Quý</v>
          </cell>
          <cell r="G92" t="str">
            <v>0987015666</v>
          </cell>
          <cell r="H92" t="str">
            <v>T</v>
          </cell>
          <cell r="J92">
            <v>3469</v>
          </cell>
          <cell r="K92" t="str">
            <v>1 pha</v>
          </cell>
          <cell r="L92" t="str">
            <v>TĐN2</v>
          </cell>
          <cell r="M92" t="str">
            <v>THCK</v>
          </cell>
          <cell r="N92">
            <v>41</v>
          </cell>
          <cell r="O92">
            <v>28037</v>
          </cell>
          <cell r="P92">
            <v>27912</v>
          </cell>
          <cell r="Q92">
            <v>1</v>
          </cell>
          <cell r="R92">
            <v>125</v>
          </cell>
          <cell r="S92">
            <v>0</v>
          </cell>
          <cell r="T92">
            <v>125</v>
          </cell>
          <cell r="U92">
            <v>3505</v>
          </cell>
          <cell r="V92">
            <v>438125</v>
          </cell>
          <cell r="W92" t="str">
            <v>Đông</v>
          </cell>
        </row>
        <row r="93">
          <cell r="A93">
            <v>89</v>
          </cell>
          <cell r="B93" t="str">
            <v>PTN Cấu tạo Ô tô</v>
          </cell>
          <cell r="C93" t="str">
            <v>Trường Cơ khí</v>
          </cell>
          <cell r="D93" t="str">
            <v>T- 107</v>
          </cell>
          <cell r="H93" t="str">
            <v>T</v>
          </cell>
          <cell r="J93">
            <v>2206</v>
          </cell>
          <cell r="K93" t="str">
            <v>3 pha</v>
          </cell>
          <cell r="L93" t="str">
            <v>ĐN2</v>
          </cell>
          <cell r="M93" t="str">
            <v>THCK</v>
          </cell>
          <cell r="N93">
            <v>43</v>
          </cell>
          <cell r="Q93">
            <v>1</v>
          </cell>
          <cell r="R93">
            <v>0</v>
          </cell>
          <cell r="S93">
            <v>0</v>
          </cell>
          <cell r="T93">
            <v>0</v>
          </cell>
          <cell r="U93">
            <v>3505</v>
          </cell>
          <cell r="V93">
            <v>0</v>
          </cell>
          <cell r="W93" t="str">
            <v>Đông</v>
          </cell>
        </row>
        <row r="94">
          <cell r="A94">
            <v>90</v>
          </cell>
          <cell r="B94" t="str">
            <v xml:space="preserve">PTN nhà máy số </v>
          </cell>
          <cell r="C94" t="str">
            <v>Trường Cơ khí</v>
          </cell>
          <cell r="D94" t="str">
            <v>D8 Tầng 11</v>
          </cell>
          <cell r="F94" t="str">
            <v xml:space="preserve">A Dũng </v>
          </cell>
          <cell r="G94" t="str">
            <v>0983852603</v>
          </cell>
          <cell r="H94" t="str">
            <v>D8</v>
          </cell>
          <cell r="J94">
            <v>4896</v>
          </cell>
          <cell r="K94" t="str">
            <v>3 pha</v>
          </cell>
          <cell r="L94" t="str">
            <v>KTĐ T11</v>
          </cell>
          <cell r="M94" t="str">
            <v>TVĐT</v>
          </cell>
          <cell r="N94">
            <v>43</v>
          </cell>
          <cell r="O94">
            <v>2987</v>
          </cell>
          <cell r="P94">
            <v>2895</v>
          </cell>
          <cell r="Q94">
            <v>20</v>
          </cell>
          <cell r="R94">
            <v>1840</v>
          </cell>
          <cell r="S94">
            <v>0</v>
          </cell>
          <cell r="T94">
            <v>1840</v>
          </cell>
          <cell r="U94">
            <v>3505</v>
          </cell>
          <cell r="V94">
            <v>6449200</v>
          </cell>
          <cell r="W94" t="str">
            <v>Sơn</v>
          </cell>
        </row>
        <row r="95">
          <cell r="A95">
            <v>91</v>
          </cell>
          <cell r="B95" t="str">
            <v>PTN Thủy khí</v>
          </cell>
          <cell r="C95" t="str">
            <v>Trường Cơ khí</v>
          </cell>
          <cell r="D95" t="str">
            <v>Nhà T-P 109</v>
          </cell>
          <cell r="F95" t="str">
            <v>Trương Việt Anh</v>
          </cell>
          <cell r="G95" t="str">
            <v>0913516262</v>
          </cell>
          <cell r="H95" t="str">
            <v>T</v>
          </cell>
          <cell r="J95">
            <v>7691</v>
          </cell>
          <cell r="K95" t="str">
            <v>3 pha</v>
          </cell>
          <cell r="L95" t="str">
            <v>Trạm THCK</v>
          </cell>
          <cell r="M95" t="str">
            <v>THCK</v>
          </cell>
          <cell r="N95">
            <v>43</v>
          </cell>
          <cell r="O95">
            <v>28945</v>
          </cell>
          <cell r="P95">
            <v>28804</v>
          </cell>
          <cell r="Q95">
            <v>1</v>
          </cell>
          <cell r="R95">
            <v>141</v>
          </cell>
          <cell r="S95">
            <v>0</v>
          </cell>
          <cell r="T95">
            <v>141</v>
          </cell>
          <cell r="U95">
            <v>3505</v>
          </cell>
          <cell r="V95">
            <v>494205</v>
          </cell>
          <cell r="W95" t="str">
            <v>Đông</v>
          </cell>
        </row>
        <row r="96">
          <cell r="A96">
            <v>92</v>
          </cell>
          <cell r="B96" t="str">
            <v>PTN Thủy khí</v>
          </cell>
          <cell r="C96" t="str">
            <v>Trường Cơ khí</v>
          </cell>
          <cell r="D96" t="str">
            <v>Nhà T-P 109</v>
          </cell>
          <cell r="F96" t="str">
            <v>Trương Việt Anh</v>
          </cell>
          <cell r="G96" t="str">
            <v>0913516262</v>
          </cell>
          <cell r="H96" t="str">
            <v>T</v>
          </cell>
          <cell r="J96">
            <v>7746</v>
          </cell>
          <cell r="K96" t="str">
            <v>3 pha</v>
          </cell>
          <cell r="L96" t="str">
            <v>Trạm bơm T</v>
          </cell>
          <cell r="M96" t="str">
            <v>THCK</v>
          </cell>
          <cell r="N96">
            <v>43</v>
          </cell>
          <cell r="O96">
            <v>137416</v>
          </cell>
          <cell r="P96">
            <v>136996</v>
          </cell>
          <cell r="Q96">
            <v>1</v>
          </cell>
          <cell r="R96">
            <v>420</v>
          </cell>
          <cell r="S96">
            <v>0</v>
          </cell>
          <cell r="T96">
            <v>420</v>
          </cell>
          <cell r="U96">
            <v>3505</v>
          </cell>
          <cell r="V96">
            <v>1472100</v>
          </cell>
          <cell r="W96" t="str">
            <v>Đông</v>
          </cell>
        </row>
        <row r="97">
          <cell r="A97">
            <v>93</v>
          </cell>
          <cell r="B97" t="str">
            <v>PTN HK Vũ trụ</v>
          </cell>
          <cell r="C97" t="str">
            <v>Trường Cơ khí</v>
          </cell>
          <cell r="D97" t="str">
            <v>Nhà T-207</v>
          </cell>
          <cell r="F97" t="str">
            <v>V Đình Quý</v>
          </cell>
          <cell r="G97" t="str">
            <v>0987015666</v>
          </cell>
          <cell r="H97" t="str">
            <v>T</v>
          </cell>
          <cell r="J97">
            <v>4231</v>
          </cell>
          <cell r="K97" t="str">
            <v>3 pha</v>
          </cell>
          <cell r="L97" t="str">
            <v>Trạm bơm T</v>
          </cell>
          <cell r="M97" t="str">
            <v>THCK</v>
          </cell>
          <cell r="N97">
            <v>43</v>
          </cell>
          <cell r="Q97">
            <v>1</v>
          </cell>
          <cell r="R97">
            <v>0</v>
          </cell>
          <cell r="S97">
            <v>0</v>
          </cell>
          <cell r="T97">
            <v>0</v>
          </cell>
          <cell r="U97">
            <v>3505</v>
          </cell>
          <cell r="V97">
            <v>0</v>
          </cell>
          <cell r="W97" t="str">
            <v>Đông</v>
          </cell>
        </row>
        <row r="98">
          <cell r="A98">
            <v>94</v>
          </cell>
          <cell r="B98" t="str">
            <v>Trường Cơ khí-nhà 2 tầng mới</v>
          </cell>
          <cell r="C98" t="str">
            <v>Trường Cơ khí</v>
          </cell>
          <cell r="D98" t="str">
            <v>Nhà 2 tầng sân nhà T</v>
          </cell>
          <cell r="F98" t="str">
            <v>Phạm Văn Sáng</v>
          </cell>
          <cell r="G98">
            <v>966633683</v>
          </cell>
          <cell r="H98" t="str">
            <v>T</v>
          </cell>
          <cell r="J98" t="str">
            <v>0391</v>
          </cell>
          <cell r="K98" t="str">
            <v>3 pha</v>
          </cell>
          <cell r="L98" t="str">
            <v>Trạm điện</v>
          </cell>
          <cell r="M98" t="str">
            <v>THCK</v>
          </cell>
          <cell r="N98">
            <v>45</v>
          </cell>
          <cell r="O98">
            <v>214</v>
          </cell>
          <cell r="P98">
            <v>190</v>
          </cell>
          <cell r="Q98">
            <v>100</v>
          </cell>
          <cell r="R98">
            <v>2400</v>
          </cell>
          <cell r="S98">
            <v>0</v>
          </cell>
          <cell r="T98">
            <v>2400</v>
          </cell>
          <cell r="U98">
            <v>3505</v>
          </cell>
          <cell r="V98">
            <v>8412000</v>
          </cell>
          <cell r="W98" t="str">
            <v>Đông</v>
          </cell>
        </row>
        <row r="99">
          <cell r="A99">
            <v>95</v>
          </cell>
          <cell r="B99" t="str">
            <v>PTN Ô tô</v>
          </cell>
          <cell r="C99" t="str">
            <v>Trường Cơ khí</v>
          </cell>
          <cell r="D99" t="str">
            <v>Sân trước ĐN 3 nhà T</v>
          </cell>
          <cell r="F99" t="str">
            <v>Đàm Hoàng Phúc</v>
          </cell>
          <cell r="G99" t="str">
            <v>0932367577</v>
          </cell>
          <cell r="H99" t="str">
            <v>T</v>
          </cell>
          <cell r="J99">
            <v>4004</v>
          </cell>
          <cell r="K99" t="str">
            <v>3 pha</v>
          </cell>
          <cell r="L99" t="str">
            <v>Trạm bơm T</v>
          </cell>
          <cell r="M99" t="str">
            <v>THCK</v>
          </cell>
          <cell r="N99">
            <v>43</v>
          </cell>
          <cell r="O99">
            <v>790</v>
          </cell>
          <cell r="P99">
            <v>765</v>
          </cell>
          <cell r="Q99">
            <v>40</v>
          </cell>
          <cell r="R99">
            <v>1000</v>
          </cell>
          <cell r="S99">
            <v>0</v>
          </cell>
          <cell r="T99">
            <v>1000</v>
          </cell>
          <cell r="U99">
            <v>3505</v>
          </cell>
          <cell r="V99">
            <v>3505000</v>
          </cell>
          <cell r="W99" t="str">
            <v>Đông</v>
          </cell>
        </row>
        <row r="100">
          <cell r="A100">
            <v>96</v>
          </cell>
          <cell r="B100" t="str">
            <v xml:space="preserve">Trung tâm MICA </v>
          </cell>
          <cell r="C100" t="str">
            <v xml:space="preserve">Trường Điện - Điện tử </v>
          </cell>
          <cell r="D100" t="str">
            <v>B1 904</v>
          </cell>
          <cell r="E100">
            <v>38683807</v>
          </cell>
          <cell r="F100" t="str">
            <v>A Sơn</v>
          </cell>
          <cell r="G100" t="str">
            <v>0947279988</v>
          </cell>
          <cell r="H100" t="str">
            <v>B1</v>
          </cell>
          <cell r="J100">
            <v>2421</v>
          </cell>
          <cell r="M100" t="str">
            <v>B1</v>
          </cell>
          <cell r="N100">
            <v>47</v>
          </cell>
          <cell r="O100">
            <v>19144</v>
          </cell>
          <cell r="P100">
            <v>18285</v>
          </cell>
          <cell r="Q100">
            <v>1</v>
          </cell>
          <cell r="R100">
            <v>859</v>
          </cell>
          <cell r="S100">
            <v>0</v>
          </cell>
          <cell r="T100">
            <v>859</v>
          </cell>
          <cell r="U100">
            <v>3505</v>
          </cell>
          <cell r="V100">
            <v>3010795</v>
          </cell>
          <cell r="W100" t="str">
            <v>Đông</v>
          </cell>
        </row>
        <row r="101">
          <cell r="A101">
            <v>97</v>
          </cell>
          <cell r="B101" t="str">
            <v>Trung tâm thực hành ĐTVT B4</v>
          </cell>
          <cell r="C101" t="str">
            <v xml:space="preserve">Trường Điện - Điện tử </v>
          </cell>
          <cell r="D101" t="str">
            <v>Trung tâm thực hành B4 - số 5 TQB</v>
          </cell>
          <cell r="F101" t="str">
            <v>A Tĩnh</v>
          </cell>
          <cell r="G101" t="str">
            <v>0904125908</v>
          </cell>
          <cell r="H101" t="str">
            <v>B4</v>
          </cell>
          <cell r="J101">
            <v>11478</v>
          </cell>
          <cell r="K101" t="str">
            <v>1 pha</v>
          </cell>
          <cell r="L101" t="str">
            <v>TT y tế</v>
          </cell>
          <cell r="M101" t="str">
            <v>KTX</v>
          </cell>
          <cell r="N101">
            <v>51</v>
          </cell>
          <cell r="Q101">
            <v>1</v>
          </cell>
          <cell r="R101">
            <v>0</v>
          </cell>
          <cell r="S101">
            <v>0</v>
          </cell>
          <cell r="T101">
            <v>0</v>
          </cell>
          <cell r="U101">
            <v>3505</v>
          </cell>
          <cell r="V101">
            <v>0</v>
          </cell>
          <cell r="W101" t="str">
            <v>Đông</v>
          </cell>
        </row>
        <row r="102">
          <cell r="A102">
            <v>98</v>
          </cell>
          <cell r="B102" t="str">
            <v>TT Đào tạo thực hành Đ-ĐT. D8</v>
          </cell>
          <cell r="C102" t="str">
            <v xml:space="preserve">Trường Điện - Điện tử </v>
          </cell>
          <cell r="D102" t="str">
            <v>D8 T8</v>
          </cell>
          <cell r="F102" t="str">
            <v>A Tĩnh</v>
          </cell>
          <cell r="G102" t="str">
            <v>0904125908</v>
          </cell>
          <cell r="H102" t="str">
            <v>D8</v>
          </cell>
          <cell r="J102">
            <v>8160</v>
          </cell>
          <cell r="K102" t="str">
            <v xml:space="preserve">3 pha </v>
          </cell>
          <cell r="L102" t="str">
            <v>D8 T8</v>
          </cell>
          <cell r="M102" t="str">
            <v>D8</v>
          </cell>
          <cell r="N102">
            <v>47</v>
          </cell>
          <cell r="O102">
            <v>1842</v>
          </cell>
          <cell r="P102">
            <v>1731</v>
          </cell>
          <cell r="Q102">
            <v>20</v>
          </cell>
          <cell r="R102">
            <v>2220</v>
          </cell>
          <cell r="S102">
            <v>0</v>
          </cell>
          <cell r="T102">
            <v>2220</v>
          </cell>
          <cell r="U102">
            <v>3505</v>
          </cell>
          <cell r="V102">
            <v>7781100</v>
          </cell>
          <cell r="W102" t="str">
            <v>Sơn</v>
          </cell>
        </row>
        <row r="103">
          <cell r="A103">
            <v>99</v>
          </cell>
          <cell r="B103" t="str">
            <v>TT Đào tạo thực hành Đ-ĐT. D8</v>
          </cell>
          <cell r="C103" t="str">
            <v xml:space="preserve">Trường Điện - Điện tử </v>
          </cell>
          <cell r="D103" t="str">
            <v>D8 T8</v>
          </cell>
          <cell r="F103" t="str">
            <v>A Tĩnh</v>
          </cell>
          <cell r="G103" t="str">
            <v>0904125908</v>
          </cell>
          <cell r="H103" t="str">
            <v>D8</v>
          </cell>
          <cell r="J103">
            <v>1078</v>
          </cell>
          <cell r="K103" t="str">
            <v>3 pha</v>
          </cell>
          <cell r="L103" t="str">
            <v>D8 T8</v>
          </cell>
          <cell r="M103" t="str">
            <v>D8</v>
          </cell>
          <cell r="N103">
            <v>47</v>
          </cell>
          <cell r="O103">
            <v>33</v>
          </cell>
          <cell r="P103">
            <v>28</v>
          </cell>
          <cell r="Q103">
            <v>20</v>
          </cell>
          <cell r="R103">
            <v>100</v>
          </cell>
          <cell r="S103">
            <v>0</v>
          </cell>
          <cell r="T103">
            <v>100</v>
          </cell>
          <cell r="U103">
            <v>3505</v>
          </cell>
          <cell r="V103">
            <v>350500</v>
          </cell>
          <cell r="W103" t="str">
            <v>Sơn</v>
          </cell>
        </row>
        <row r="104">
          <cell r="A104">
            <v>100</v>
          </cell>
          <cell r="B104" t="str">
            <v>TT Đào tạo thực hành Đ-ĐT. D8</v>
          </cell>
          <cell r="C104" t="str">
            <v xml:space="preserve">Trường Điện - Điện tử </v>
          </cell>
          <cell r="D104" t="str">
            <v>D8 T9</v>
          </cell>
          <cell r="F104" t="str">
            <v>A Tĩnh</v>
          </cell>
          <cell r="G104" t="str">
            <v>0904125908</v>
          </cell>
          <cell r="H104" t="str">
            <v>D8</v>
          </cell>
          <cell r="J104">
            <v>1043</v>
          </cell>
          <cell r="K104" t="str">
            <v xml:space="preserve">3 pha </v>
          </cell>
          <cell r="L104" t="str">
            <v>D8 T9</v>
          </cell>
          <cell r="M104" t="str">
            <v>D8</v>
          </cell>
          <cell r="N104">
            <v>47</v>
          </cell>
          <cell r="O104">
            <v>1090</v>
          </cell>
          <cell r="P104">
            <v>1032</v>
          </cell>
          <cell r="Q104">
            <v>20</v>
          </cell>
          <cell r="R104">
            <v>1160</v>
          </cell>
          <cell r="S104">
            <v>0</v>
          </cell>
          <cell r="T104">
            <v>1160</v>
          </cell>
          <cell r="U104">
            <v>3505</v>
          </cell>
          <cell r="V104">
            <v>4065800</v>
          </cell>
          <cell r="W104" t="str">
            <v>Sơn</v>
          </cell>
        </row>
        <row r="105">
          <cell r="A105">
            <v>101</v>
          </cell>
          <cell r="B105" t="str">
            <v>TT Đào tạo thực hành Đ-ĐT. D8</v>
          </cell>
          <cell r="C105" t="str">
            <v xml:space="preserve">Trường Điện - Điện tử </v>
          </cell>
          <cell r="D105" t="str">
            <v>D8 T9</v>
          </cell>
          <cell r="F105" t="str">
            <v>A Tĩnh</v>
          </cell>
          <cell r="G105" t="str">
            <v>0904125908</v>
          </cell>
          <cell r="H105" t="str">
            <v>D8</v>
          </cell>
          <cell r="J105">
            <v>6360</v>
          </cell>
          <cell r="K105" t="str">
            <v xml:space="preserve">3 pha </v>
          </cell>
          <cell r="L105" t="str">
            <v>D8 T9</v>
          </cell>
          <cell r="M105" t="str">
            <v>D8</v>
          </cell>
          <cell r="N105">
            <v>47</v>
          </cell>
          <cell r="O105">
            <v>421</v>
          </cell>
          <cell r="P105">
            <v>373</v>
          </cell>
          <cell r="Q105">
            <v>20</v>
          </cell>
          <cell r="R105">
            <v>960</v>
          </cell>
          <cell r="S105">
            <v>0</v>
          </cell>
          <cell r="T105">
            <v>960</v>
          </cell>
          <cell r="U105">
            <v>3505</v>
          </cell>
          <cell r="V105">
            <v>3364800</v>
          </cell>
          <cell r="W105" t="str">
            <v>Sơn</v>
          </cell>
        </row>
        <row r="106">
          <cell r="A106">
            <v>102</v>
          </cell>
          <cell r="B106" t="str">
            <v>TT Đào tạo thực hành Đ-ĐT. D8</v>
          </cell>
          <cell r="C106" t="str">
            <v xml:space="preserve">Trường Điện - Điện tử </v>
          </cell>
          <cell r="D106" t="str">
            <v>D8 T10</v>
          </cell>
          <cell r="F106" t="str">
            <v>A Tĩnh</v>
          </cell>
          <cell r="G106" t="str">
            <v>0904125908</v>
          </cell>
          <cell r="H106" t="str">
            <v>D8</v>
          </cell>
          <cell r="J106">
            <v>8047</v>
          </cell>
          <cell r="K106" t="str">
            <v xml:space="preserve">3 pha </v>
          </cell>
          <cell r="L106" t="str">
            <v>D8 T10</v>
          </cell>
          <cell r="M106" t="str">
            <v>D8</v>
          </cell>
          <cell r="N106">
            <v>47</v>
          </cell>
          <cell r="O106">
            <v>1728</v>
          </cell>
          <cell r="P106">
            <v>1605</v>
          </cell>
          <cell r="Q106">
            <v>20</v>
          </cell>
          <cell r="R106">
            <v>2460</v>
          </cell>
          <cell r="S106">
            <v>0</v>
          </cell>
          <cell r="T106">
            <v>2460</v>
          </cell>
          <cell r="U106">
            <v>3505</v>
          </cell>
          <cell r="V106">
            <v>8622300</v>
          </cell>
          <cell r="W106" t="str">
            <v>Sơn</v>
          </cell>
        </row>
        <row r="107">
          <cell r="A107">
            <v>103</v>
          </cell>
          <cell r="B107" t="str">
            <v>TT Đào tạo thực hành Đ-ĐT. D8</v>
          </cell>
          <cell r="C107" t="str">
            <v xml:space="preserve">Trường Điện - Điện tử </v>
          </cell>
          <cell r="D107" t="str">
            <v>D8 T10</v>
          </cell>
          <cell r="F107" t="str">
            <v>A Tĩnh</v>
          </cell>
          <cell r="G107" t="str">
            <v>0904125908</v>
          </cell>
          <cell r="H107" t="str">
            <v>D8</v>
          </cell>
          <cell r="J107">
            <v>6342</v>
          </cell>
          <cell r="K107" t="str">
            <v xml:space="preserve">3 pha </v>
          </cell>
          <cell r="L107" t="str">
            <v>D8 T10</v>
          </cell>
          <cell r="M107" t="str">
            <v>D8</v>
          </cell>
          <cell r="N107">
            <v>47</v>
          </cell>
          <cell r="O107">
            <v>592</v>
          </cell>
          <cell r="P107">
            <v>573</v>
          </cell>
          <cell r="Q107">
            <v>20</v>
          </cell>
          <cell r="R107">
            <v>380</v>
          </cell>
          <cell r="S107">
            <v>0</v>
          </cell>
          <cell r="T107">
            <v>380</v>
          </cell>
          <cell r="U107">
            <v>3505</v>
          </cell>
          <cell r="V107">
            <v>1331900</v>
          </cell>
          <cell r="W107" t="str">
            <v>Sơn</v>
          </cell>
        </row>
        <row r="108">
          <cell r="A108">
            <v>104</v>
          </cell>
          <cell r="B108" t="str">
            <v>Vật lý kỹ thuật nhà A</v>
          </cell>
          <cell r="C108" t="str">
            <v>Khoa Vật lý kỹ thuật</v>
          </cell>
          <cell r="D108" t="str">
            <v>nhà A</v>
          </cell>
          <cell r="F108" t="str">
            <v>A Thái</v>
          </cell>
          <cell r="G108" t="str">
            <v>0967405962</v>
          </cell>
          <cell r="H108" t="str">
            <v>A</v>
          </cell>
          <cell r="J108">
            <v>9143</v>
          </cell>
          <cell r="K108" t="str">
            <v>3 pha</v>
          </cell>
          <cell r="L108" t="str">
            <v>T1</v>
          </cell>
          <cell r="N108">
            <v>47.1</v>
          </cell>
          <cell r="O108">
            <v>4869</v>
          </cell>
          <cell r="P108">
            <v>3324</v>
          </cell>
          <cell r="Q108">
            <v>1</v>
          </cell>
          <cell r="R108">
            <v>1545</v>
          </cell>
          <cell r="S108">
            <v>0</v>
          </cell>
          <cell r="T108">
            <v>1545</v>
          </cell>
          <cell r="U108">
            <v>3505</v>
          </cell>
          <cell r="V108">
            <v>5415225</v>
          </cell>
          <cell r="W108" t="str">
            <v>Đông</v>
          </cell>
        </row>
        <row r="109">
          <cell r="A109">
            <v>105</v>
          </cell>
          <cell r="B109" t="str">
            <v>Chị Yến -TT Đào tạo &amp; PT Sản phẩm TP</v>
          </cell>
          <cell r="C109" t="str">
            <v>Trường Hóa và KHSS</v>
          </cell>
          <cell r="D109" t="str">
            <v>Tầng 1 - B4, ngõ 15 TQB</v>
          </cell>
          <cell r="E109" t="str">
            <v>0989083546</v>
          </cell>
          <cell r="F109" t="str">
            <v xml:space="preserve">Chị Yến </v>
          </cell>
          <cell r="G109" t="str">
            <v>0989083546</v>
          </cell>
          <cell r="H109" t="str">
            <v>B4</v>
          </cell>
          <cell r="J109" t="str">
            <v>0387</v>
          </cell>
          <cell r="K109" t="str">
            <v>3 pha</v>
          </cell>
          <cell r="L109" t="str">
            <v>Tầng 1- B4</v>
          </cell>
          <cell r="M109" t="str">
            <v>KTX</v>
          </cell>
          <cell r="N109">
            <v>47.2</v>
          </cell>
          <cell r="O109">
            <v>180178</v>
          </cell>
          <cell r="P109">
            <v>180178</v>
          </cell>
          <cell r="Q109">
            <v>1</v>
          </cell>
          <cell r="R109">
            <v>0</v>
          </cell>
          <cell r="S109">
            <v>0</v>
          </cell>
          <cell r="T109">
            <v>0</v>
          </cell>
          <cell r="U109">
            <v>3505</v>
          </cell>
          <cell r="V109">
            <v>0</v>
          </cell>
          <cell r="W109" t="str">
            <v>Đông</v>
          </cell>
        </row>
        <row r="110">
          <cell r="A110">
            <v>106</v>
          </cell>
          <cell r="B110" t="str">
            <v>PTN BM Quá trình TBCNTP</v>
          </cell>
          <cell r="C110" t="str">
            <v>Trường Hóa và KHSS</v>
          </cell>
          <cell r="D110" t="str">
            <v>Tầng 1 - B4, ngõ 15 TQB</v>
          </cell>
          <cell r="E110">
            <v>904667684</v>
          </cell>
          <cell r="F110" t="str">
            <v>A Hoàng</v>
          </cell>
          <cell r="G110" t="str">
            <v>0904667684</v>
          </cell>
          <cell r="H110" t="str">
            <v>B4</v>
          </cell>
          <cell r="J110">
            <v>8441</v>
          </cell>
          <cell r="K110" t="str">
            <v>1 pha</v>
          </cell>
          <cell r="L110" t="str">
            <v>Tầng 1- B4</v>
          </cell>
          <cell r="M110" t="str">
            <v>KTX</v>
          </cell>
          <cell r="N110">
            <v>47.2</v>
          </cell>
          <cell r="O110">
            <v>7432</v>
          </cell>
          <cell r="P110">
            <v>7432</v>
          </cell>
          <cell r="Q110">
            <v>1</v>
          </cell>
          <cell r="R110">
            <v>0</v>
          </cell>
          <cell r="S110">
            <v>0</v>
          </cell>
          <cell r="T110">
            <v>0</v>
          </cell>
          <cell r="U110">
            <v>3505</v>
          </cell>
          <cell r="V110">
            <v>0</v>
          </cell>
          <cell r="W110" t="str">
            <v>Đông</v>
          </cell>
        </row>
        <row r="111">
          <cell r="A111">
            <v>107</v>
          </cell>
          <cell r="B111" t="str">
            <v>TT R &amp; D sản phẩm TP - TRIC</v>
          </cell>
          <cell r="C111" t="str">
            <v>Trường Hóa và KHSS</v>
          </cell>
          <cell r="D111" t="str">
            <v>Tầng 3 Tòa nhà B1</v>
          </cell>
          <cell r="F111" t="str">
            <v>Trương Quốc Phong</v>
          </cell>
          <cell r="G111" t="str">
            <v>0988793468</v>
          </cell>
          <cell r="H111" t="str">
            <v>B1</v>
          </cell>
          <cell r="J111" t="str">
            <v>40112</v>
          </cell>
          <cell r="K111" t="str">
            <v>3 pha</v>
          </cell>
          <cell r="L111" t="str">
            <v>KTĐ T3</v>
          </cell>
          <cell r="M111" t="str">
            <v>B1</v>
          </cell>
          <cell r="N111">
            <v>47.2</v>
          </cell>
          <cell r="O111">
            <v>13268</v>
          </cell>
          <cell r="P111">
            <v>13158</v>
          </cell>
          <cell r="Q111">
            <v>100</v>
          </cell>
          <cell r="R111">
            <v>11000</v>
          </cell>
          <cell r="S111">
            <v>0</v>
          </cell>
          <cell r="T111">
            <v>11000</v>
          </cell>
          <cell r="U111">
            <v>3505</v>
          </cell>
          <cell r="V111">
            <v>38555000</v>
          </cell>
          <cell r="W111" t="str">
            <v>Đông</v>
          </cell>
        </row>
        <row r="112">
          <cell r="A112">
            <v>108</v>
          </cell>
          <cell r="B112" t="str">
            <v xml:space="preserve">Xưởng D6B Viện KHCN MT </v>
          </cell>
          <cell r="C112" t="str">
            <v>Trường Hóa và KHSS</v>
          </cell>
          <cell r="D112" t="str">
            <v>D6B</v>
          </cell>
          <cell r="E112" t="str">
            <v>0912640379</v>
          </cell>
          <cell r="F112" t="str">
            <v>A Hưng</v>
          </cell>
          <cell r="G112" t="str">
            <v>0912640379</v>
          </cell>
          <cell r="H112" t="str">
            <v>D6B</v>
          </cell>
          <cell r="J112">
            <v>5410</v>
          </cell>
          <cell r="K112" t="str">
            <v>1 pha</v>
          </cell>
          <cell r="L112" t="str">
            <v>Tủ D6</v>
          </cell>
          <cell r="M112" t="str">
            <v>TVĐT</v>
          </cell>
          <cell r="N112">
            <v>47.3</v>
          </cell>
          <cell r="O112">
            <v>220307</v>
          </cell>
          <cell r="P112">
            <v>220268</v>
          </cell>
          <cell r="Q112">
            <v>1</v>
          </cell>
          <cell r="R112">
            <v>39</v>
          </cell>
          <cell r="S112">
            <v>0</v>
          </cell>
          <cell r="T112">
            <v>39</v>
          </cell>
          <cell r="U112">
            <v>3505</v>
          </cell>
          <cell r="V112">
            <v>136695</v>
          </cell>
          <cell r="W112" t="str">
            <v>Sơn</v>
          </cell>
        </row>
        <row r="113">
          <cell r="A113">
            <v>109</v>
          </cell>
          <cell r="B113" t="str">
            <v>KH&amp; CN Môi trường (tháng 1-5)</v>
          </cell>
          <cell r="C113" t="str">
            <v>Trường Hóa và KHSS</v>
          </cell>
          <cell r="D113" t="str">
            <v>T3 - C10</v>
          </cell>
          <cell r="E113">
            <v>38681686</v>
          </cell>
          <cell r="F113" t="str">
            <v>Nguyễn Thị Ánh Tuyết</v>
          </cell>
          <cell r="H113" t="str">
            <v>C10</v>
          </cell>
          <cell r="J113" t="str">
            <v>7435</v>
          </cell>
          <cell r="K113" t="str">
            <v>1 pha</v>
          </cell>
          <cell r="L113" t="str">
            <v>Cửa hành lang</v>
          </cell>
          <cell r="M113" t="str">
            <v>ĐCĐT</v>
          </cell>
          <cell r="N113">
            <v>47.3</v>
          </cell>
          <cell r="O113">
            <v>92349</v>
          </cell>
          <cell r="P113">
            <v>92200</v>
          </cell>
          <cell r="Q113">
            <v>1</v>
          </cell>
          <cell r="R113">
            <v>149</v>
          </cell>
          <cell r="S113">
            <v>0</v>
          </cell>
          <cell r="T113">
            <v>149</v>
          </cell>
          <cell r="U113">
            <v>3505</v>
          </cell>
          <cell r="V113">
            <v>522245</v>
          </cell>
          <cell r="W113" t="str">
            <v>Biên</v>
          </cell>
        </row>
        <row r="114">
          <cell r="A114">
            <v>110</v>
          </cell>
          <cell r="B114" t="str">
            <v xml:space="preserve">KH&amp; CN Môi trường </v>
          </cell>
          <cell r="C114" t="str">
            <v>Trường Hóa và KHSS</v>
          </cell>
          <cell r="D114" t="str">
            <v>P 403, 406 C10</v>
          </cell>
          <cell r="F114" t="str">
            <v>Bà Phạm Hồng Liên</v>
          </cell>
          <cell r="G114" t="str">
            <v>36231035</v>
          </cell>
          <cell r="H114" t="str">
            <v>C10</v>
          </cell>
          <cell r="J114" t="str">
            <v>2708</v>
          </cell>
          <cell r="K114" t="str">
            <v>3 pha</v>
          </cell>
          <cell r="L114" t="str">
            <v>T4 C10</v>
          </cell>
          <cell r="M114" t="str">
            <v>ĐCĐT</v>
          </cell>
          <cell r="N114">
            <v>47.3</v>
          </cell>
          <cell r="O114">
            <v>29983</v>
          </cell>
          <cell r="P114">
            <v>29908</v>
          </cell>
          <cell r="Q114">
            <v>1</v>
          </cell>
          <cell r="R114">
            <v>75</v>
          </cell>
          <cell r="S114">
            <v>0</v>
          </cell>
          <cell r="T114">
            <v>75</v>
          </cell>
          <cell r="U114">
            <v>3505</v>
          </cell>
          <cell r="V114">
            <v>262875</v>
          </cell>
          <cell r="W114" t="str">
            <v>Biên</v>
          </cell>
        </row>
        <row r="115">
          <cell r="A115">
            <v>111</v>
          </cell>
          <cell r="B115" t="str">
            <v xml:space="preserve">NC&amp;PT ứng dụng Hóa chất tự nhiên </v>
          </cell>
          <cell r="C115" t="str">
            <v>Trường Hóa và KHSS</v>
          </cell>
          <cell r="D115" t="str">
            <v>T1 - C10</v>
          </cell>
          <cell r="F115" t="str">
            <v>Nguyễn Minh Tân</v>
          </cell>
          <cell r="G115" t="str">
            <v>0982404936</v>
          </cell>
          <cell r="H115" t="str">
            <v>C10</v>
          </cell>
          <cell r="J115" t="str">
            <v>2458</v>
          </cell>
          <cell r="K115" t="str">
            <v>3 pha</v>
          </cell>
          <cell r="L115" t="str">
            <v>T1 C10</v>
          </cell>
          <cell r="M115" t="str">
            <v>ĐCĐT</v>
          </cell>
          <cell r="N115">
            <v>47.3</v>
          </cell>
          <cell r="O115">
            <v>54787</v>
          </cell>
          <cell r="P115">
            <v>53397</v>
          </cell>
          <cell r="Q115">
            <v>1</v>
          </cell>
          <cell r="R115">
            <v>1390</v>
          </cell>
          <cell r="S115">
            <v>0</v>
          </cell>
          <cell r="T115">
            <v>1390</v>
          </cell>
          <cell r="U115">
            <v>2655</v>
          </cell>
          <cell r="V115">
            <v>3690450</v>
          </cell>
          <cell r="W115" t="str">
            <v>Biên</v>
          </cell>
        </row>
        <row r="116">
          <cell r="A116">
            <v>112</v>
          </cell>
          <cell r="B116" t="str">
            <v>PTN Dệt may</v>
          </cell>
          <cell r="C116" t="str">
            <v>Trường Vật liệu</v>
          </cell>
          <cell r="D116" t="str">
            <v>TC tầng 1</v>
          </cell>
          <cell r="E116">
            <v>38692401</v>
          </cell>
          <cell r="F116" t="str">
            <v>A Vũ Mạnh Hải</v>
          </cell>
          <cell r="H116" t="str">
            <v>TC</v>
          </cell>
          <cell r="J116">
            <v>8641</v>
          </cell>
          <cell r="K116" t="str">
            <v>3 pha</v>
          </cell>
          <cell r="M116" t="str">
            <v>THCK</v>
          </cell>
          <cell r="N116">
            <v>47.4</v>
          </cell>
          <cell r="O116">
            <v>42341</v>
          </cell>
          <cell r="P116">
            <v>42140</v>
          </cell>
          <cell r="Q116">
            <v>1</v>
          </cell>
          <cell r="R116">
            <v>201</v>
          </cell>
          <cell r="S116">
            <v>0</v>
          </cell>
          <cell r="T116">
            <v>201</v>
          </cell>
          <cell r="U116">
            <v>3505</v>
          </cell>
          <cell r="V116">
            <v>704505</v>
          </cell>
          <cell r="W116" t="str">
            <v>Đông</v>
          </cell>
        </row>
        <row r="117">
          <cell r="A117">
            <v>113</v>
          </cell>
          <cell r="B117" t="str">
            <v>PTN Dệt may</v>
          </cell>
          <cell r="C117" t="str">
            <v>Trường Vật liệu</v>
          </cell>
          <cell r="D117" t="str">
            <v>TC tầng 1</v>
          </cell>
          <cell r="E117">
            <v>38692401</v>
          </cell>
          <cell r="F117" t="str">
            <v>A Vũ Mạnh Hải</v>
          </cell>
          <cell r="H117" t="str">
            <v>TC</v>
          </cell>
          <cell r="J117" t="str">
            <v>0757</v>
          </cell>
          <cell r="K117" t="str">
            <v>3 pha</v>
          </cell>
          <cell r="M117" t="str">
            <v>THCK</v>
          </cell>
          <cell r="N117">
            <v>47.4</v>
          </cell>
          <cell r="Q117">
            <v>1</v>
          </cell>
          <cell r="R117">
            <v>0</v>
          </cell>
          <cell r="S117">
            <v>0</v>
          </cell>
          <cell r="T117">
            <v>0</v>
          </cell>
          <cell r="U117">
            <v>3505</v>
          </cell>
          <cell r="V117">
            <v>0</v>
          </cell>
          <cell r="W117" t="str">
            <v>Đông</v>
          </cell>
        </row>
        <row r="118">
          <cell r="A118">
            <v>114</v>
          </cell>
          <cell r="B118" t="str">
            <v>PTN Dệt may</v>
          </cell>
          <cell r="C118" t="str">
            <v>Trường Vật liệu</v>
          </cell>
          <cell r="D118" t="str">
            <v>TC tầng 1</v>
          </cell>
          <cell r="E118">
            <v>38692401</v>
          </cell>
          <cell r="F118" t="str">
            <v>A Vũ Mạnh Hải</v>
          </cell>
          <cell r="H118" t="str">
            <v>TC</v>
          </cell>
          <cell r="J118">
            <v>8249</v>
          </cell>
          <cell r="K118" t="str">
            <v>3 pha</v>
          </cell>
          <cell r="M118" t="str">
            <v>THCK</v>
          </cell>
          <cell r="N118">
            <v>47.4</v>
          </cell>
          <cell r="Q118">
            <v>1</v>
          </cell>
          <cell r="R118">
            <v>0</v>
          </cell>
          <cell r="S118">
            <v>0</v>
          </cell>
          <cell r="T118">
            <v>0</v>
          </cell>
          <cell r="U118">
            <v>3505</v>
          </cell>
          <cell r="V118">
            <v>0</v>
          </cell>
          <cell r="W118" t="str">
            <v>Đông</v>
          </cell>
        </row>
        <row r="119">
          <cell r="A119">
            <v>115</v>
          </cell>
          <cell r="B119" t="str">
            <v>PTN Dệt may</v>
          </cell>
          <cell r="C119" t="str">
            <v>Trường Vật liệu</v>
          </cell>
          <cell r="D119" t="str">
            <v>TC tầng 1</v>
          </cell>
          <cell r="E119">
            <v>38692401</v>
          </cell>
          <cell r="F119" t="str">
            <v>A Vũ Mạnh Hải</v>
          </cell>
          <cell r="H119" t="str">
            <v>TC</v>
          </cell>
          <cell r="J119">
            <v>3713</v>
          </cell>
          <cell r="K119" t="str">
            <v>3 pha</v>
          </cell>
          <cell r="M119" t="str">
            <v>THCK</v>
          </cell>
          <cell r="N119">
            <v>47.4</v>
          </cell>
          <cell r="O119">
            <v>25542</v>
          </cell>
          <cell r="P119">
            <v>25417</v>
          </cell>
          <cell r="Q119">
            <v>1</v>
          </cell>
          <cell r="R119">
            <v>125</v>
          </cell>
          <cell r="S119">
            <v>0</v>
          </cell>
          <cell r="T119">
            <v>125</v>
          </cell>
          <cell r="U119">
            <v>3505</v>
          </cell>
          <cell r="V119">
            <v>438125</v>
          </cell>
          <cell r="W119" t="str">
            <v>Đông</v>
          </cell>
        </row>
        <row r="120">
          <cell r="A120">
            <v>116</v>
          </cell>
          <cell r="B120" t="str">
            <v xml:space="preserve">PTN Polyme và Compozit </v>
          </cell>
          <cell r="C120" t="str">
            <v>Trường Vật liệu</v>
          </cell>
          <cell r="D120" t="str">
            <v>Nhà B T1</v>
          </cell>
          <cell r="F120" t="str">
            <v>A Đức</v>
          </cell>
          <cell r="G120" t="str">
            <v>0983118015</v>
          </cell>
          <cell r="H120" t="str">
            <v>B</v>
          </cell>
          <cell r="J120">
            <v>6061</v>
          </cell>
          <cell r="L120" t="str">
            <v>Tầng 1-B</v>
          </cell>
          <cell r="M120" t="str">
            <v>VVL</v>
          </cell>
          <cell r="N120">
            <v>66</v>
          </cell>
          <cell r="O120">
            <v>136214</v>
          </cell>
          <cell r="P120">
            <v>133755</v>
          </cell>
          <cell r="Q120">
            <v>1</v>
          </cell>
          <cell r="R120">
            <v>2459</v>
          </cell>
          <cell r="S120">
            <v>0</v>
          </cell>
          <cell r="T120">
            <v>2459</v>
          </cell>
          <cell r="U120">
            <v>3505</v>
          </cell>
          <cell r="V120">
            <v>8618795</v>
          </cell>
          <cell r="W120" t="str">
            <v>Đông</v>
          </cell>
        </row>
        <row r="121">
          <cell r="A121">
            <v>117</v>
          </cell>
          <cell r="B121" t="str">
            <v>PTN Nhiệt luyện</v>
          </cell>
          <cell r="C121" t="str">
            <v>Trường Vật liệu</v>
          </cell>
          <cell r="D121" t="str">
            <v>T-112</v>
          </cell>
          <cell r="F121" t="str">
            <v>A Sơn</v>
          </cell>
          <cell r="G121" t="str">
            <v>0961084029</v>
          </cell>
          <cell r="H121" t="str">
            <v>T</v>
          </cell>
          <cell r="J121">
            <v>2363</v>
          </cell>
          <cell r="K121" t="str">
            <v>1 pha</v>
          </cell>
          <cell r="L121" t="str">
            <v>TĐN3</v>
          </cell>
          <cell r="M121" t="str">
            <v>THCK</v>
          </cell>
          <cell r="N121">
            <v>66</v>
          </cell>
          <cell r="Q121">
            <v>1</v>
          </cell>
          <cell r="R121">
            <v>0</v>
          </cell>
          <cell r="S121">
            <v>0</v>
          </cell>
          <cell r="T121">
            <v>0</v>
          </cell>
          <cell r="U121">
            <v>3505</v>
          </cell>
          <cell r="V121">
            <v>0</v>
          </cell>
          <cell r="W121" t="str">
            <v>Đông</v>
          </cell>
        </row>
        <row r="122">
          <cell r="A122">
            <v>118</v>
          </cell>
          <cell r="B122" t="str">
            <v>PTN Nhiệt luyện</v>
          </cell>
          <cell r="C122" t="str">
            <v>Trường Vật liệu</v>
          </cell>
          <cell r="D122" t="str">
            <v>T-112</v>
          </cell>
          <cell r="F122" t="str">
            <v>A Sơn</v>
          </cell>
          <cell r="G122" t="str">
            <v>0961084029</v>
          </cell>
          <cell r="H122" t="str">
            <v>T</v>
          </cell>
          <cell r="J122">
            <v>2053</v>
          </cell>
          <cell r="K122" t="str">
            <v>3 pha</v>
          </cell>
          <cell r="L122" t="str">
            <v>Trong phòng 112</v>
          </cell>
          <cell r="M122" t="str">
            <v>THCK</v>
          </cell>
          <cell r="N122">
            <v>66</v>
          </cell>
          <cell r="O122">
            <v>45089</v>
          </cell>
          <cell r="P122">
            <v>45089</v>
          </cell>
          <cell r="Q122">
            <v>1</v>
          </cell>
          <cell r="R122">
            <v>0</v>
          </cell>
          <cell r="S122">
            <v>0</v>
          </cell>
          <cell r="T122">
            <v>0</v>
          </cell>
          <cell r="U122">
            <v>3505</v>
          </cell>
          <cell r="V122">
            <v>0</v>
          </cell>
          <cell r="W122" t="str">
            <v>Đông</v>
          </cell>
        </row>
        <row r="123">
          <cell r="A123">
            <v>119</v>
          </cell>
          <cell r="B123" t="str">
            <v>Viện ĐTQT về KHVL (ITIM)</v>
          </cell>
          <cell r="C123" t="str">
            <v>Trường Vật liệu</v>
          </cell>
          <cell r="D123" t="str">
            <v>Tòa nhà C10B</v>
          </cell>
          <cell r="E123" t="str">
            <v>38692518
38680786</v>
          </cell>
          <cell r="F123" t="str">
            <v>Nguyễn Phúc Dương</v>
          </cell>
          <cell r="G123" t="str">
            <v>0915527063</v>
          </cell>
          <cell r="H123" t="str">
            <v>C10B</v>
          </cell>
          <cell r="J123" t="str">
            <v>2507</v>
          </cell>
          <cell r="K123" t="str">
            <v>3 pha</v>
          </cell>
          <cell r="L123" t="str">
            <v>Trạm BK2</v>
          </cell>
          <cell r="M123" t="str">
            <v>BK2</v>
          </cell>
          <cell r="N123">
            <v>63</v>
          </cell>
          <cell r="O123">
            <v>20179</v>
          </cell>
          <cell r="P123">
            <v>20108</v>
          </cell>
          <cell r="Q123">
            <v>120</v>
          </cell>
          <cell r="R123">
            <v>8520</v>
          </cell>
          <cell r="S123">
            <v>4260</v>
          </cell>
          <cell r="T123">
            <v>4260</v>
          </cell>
          <cell r="U123">
            <v>3505</v>
          </cell>
          <cell r="V123">
            <v>14931300</v>
          </cell>
          <cell r="W123" t="str">
            <v>Biên</v>
          </cell>
        </row>
        <row r="124">
          <cell r="A124">
            <v>120</v>
          </cell>
          <cell r="B124" t="str">
            <v>PTN Kính hiển vi - ITIM</v>
          </cell>
          <cell r="C124" t="str">
            <v>Trường Vật liệu</v>
          </cell>
          <cell r="D124" t="str">
            <v>Tầng 1 Thư viện TQB</v>
          </cell>
          <cell r="F124" t="str">
            <v>A Đức Dũng</v>
          </cell>
          <cell r="G124" t="str">
            <v>0902211356</v>
          </cell>
          <cell r="H124" t="str">
            <v>TVĐT</v>
          </cell>
          <cell r="J124">
            <v>1534</v>
          </cell>
          <cell r="K124" t="str">
            <v>3 pha</v>
          </cell>
          <cell r="L124" t="str">
            <v>TVTQB</v>
          </cell>
          <cell r="M124" t="str">
            <v>TVĐT</v>
          </cell>
          <cell r="N124">
            <v>48</v>
          </cell>
          <cell r="O124">
            <v>759446</v>
          </cell>
          <cell r="P124">
            <v>756784</v>
          </cell>
          <cell r="Q124">
            <v>1</v>
          </cell>
          <cell r="R124">
            <v>2662</v>
          </cell>
          <cell r="S124">
            <v>1331</v>
          </cell>
          <cell r="T124">
            <v>1331</v>
          </cell>
          <cell r="U124">
            <v>3505</v>
          </cell>
          <cell r="V124">
            <v>4665155</v>
          </cell>
          <cell r="W124" t="str">
            <v>Hoàng</v>
          </cell>
        </row>
        <row r="125">
          <cell r="A125">
            <v>121</v>
          </cell>
          <cell r="B125" t="str">
            <v>PTN Kính hiển vi - ITIM</v>
          </cell>
          <cell r="C125" t="str">
            <v>Trường Vật liệu</v>
          </cell>
          <cell r="D125" t="str">
            <v>Tầng 1 Thư viện TQB</v>
          </cell>
          <cell r="F125" t="str">
            <v>A Đức Dũng</v>
          </cell>
          <cell r="G125" t="str">
            <v>0902211356</v>
          </cell>
          <cell r="H125" t="str">
            <v>TVĐT</v>
          </cell>
          <cell r="J125">
            <v>5217</v>
          </cell>
          <cell r="K125" t="str">
            <v>3 pha</v>
          </cell>
          <cell r="L125" t="str">
            <v>TVTQB</v>
          </cell>
          <cell r="M125" t="str">
            <v>TVĐT</v>
          </cell>
          <cell r="N125">
            <v>48</v>
          </cell>
          <cell r="O125">
            <v>18173</v>
          </cell>
          <cell r="P125">
            <v>17326</v>
          </cell>
          <cell r="Q125">
            <v>1</v>
          </cell>
          <cell r="R125">
            <v>847</v>
          </cell>
          <cell r="S125">
            <v>423</v>
          </cell>
          <cell r="T125">
            <v>424</v>
          </cell>
          <cell r="U125">
            <v>3505</v>
          </cell>
          <cell r="V125">
            <v>1486120</v>
          </cell>
          <cell r="W125" t="str">
            <v>Hoàng</v>
          </cell>
        </row>
        <row r="126">
          <cell r="A126">
            <v>122</v>
          </cell>
          <cell r="B126" t="str">
            <v>PTN Nano ITIM (t thụ)</v>
          </cell>
          <cell r="C126" t="str">
            <v>Trường Vật liệu</v>
          </cell>
          <cell r="D126" t="str">
            <v>B1 tầng 5,6,7</v>
          </cell>
          <cell r="E126">
            <v>36230435</v>
          </cell>
          <cell r="F126" t="str">
            <v>Nguyễn Đức Trung Kiên</v>
          </cell>
          <cell r="G126" t="str">
            <v>0912201194</v>
          </cell>
          <cell r="H126" t="str">
            <v>B1</v>
          </cell>
          <cell r="J126" t="str">
            <v>16 công tơ</v>
          </cell>
          <cell r="K126" t="str">
            <v>1 pha</v>
          </cell>
          <cell r="L126" t="str">
            <v>KTĐ</v>
          </cell>
          <cell r="M126" t="str">
            <v>B1</v>
          </cell>
          <cell r="N126">
            <v>48</v>
          </cell>
          <cell r="O126">
            <v>4063</v>
          </cell>
          <cell r="P126">
            <v>0</v>
          </cell>
          <cell r="Q126">
            <v>1</v>
          </cell>
          <cell r="R126">
            <v>4063</v>
          </cell>
          <cell r="S126">
            <v>0</v>
          </cell>
          <cell r="T126">
            <v>4063</v>
          </cell>
          <cell r="U126">
            <v>3505</v>
          </cell>
          <cell r="V126">
            <v>14240815</v>
          </cell>
          <cell r="W126" t="str">
            <v>Đông</v>
          </cell>
        </row>
        <row r="127">
          <cell r="A127">
            <v>123</v>
          </cell>
          <cell r="B127" t="str">
            <v>PTN VL Điện tử -Y sinh</v>
          </cell>
          <cell r="C127" t="str">
            <v>Trường Vật liệu</v>
          </cell>
          <cell r="D127" t="str">
            <v>Tầng 6 -D8</v>
          </cell>
          <cell r="F127" t="str">
            <v>A Vượng</v>
          </cell>
          <cell r="G127" t="str">
            <v>0936386293</v>
          </cell>
          <cell r="H127" t="str">
            <v>D8</v>
          </cell>
          <cell r="J127">
            <v>7832</v>
          </cell>
          <cell r="K127" t="str">
            <v>3 pha</v>
          </cell>
          <cell r="L127" t="str">
            <v>T6-D8</v>
          </cell>
          <cell r="M127" t="str">
            <v>D8</v>
          </cell>
          <cell r="N127">
            <v>48</v>
          </cell>
          <cell r="O127">
            <v>5919</v>
          </cell>
          <cell r="P127">
            <v>5477</v>
          </cell>
          <cell r="Q127">
            <v>1</v>
          </cell>
          <cell r="R127">
            <v>442</v>
          </cell>
          <cell r="S127">
            <v>0</v>
          </cell>
          <cell r="T127">
            <v>442</v>
          </cell>
          <cell r="U127">
            <v>3505</v>
          </cell>
          <cell r="V127">
            <v>1549210</v>
          </cell>
          <cell r="W127" t="str">
            <v>Sơn</v>
          </cell>
        </row>
        <row r="128">
          <cell r="A128">
            <v>124</v>
          </cell>
          <cell r="B128" t="str">
            <v>Trung tâm Ngôn ngữ và trao đổi học thuật C3B</v>
          </cell>
          <cell r="C128" t="str">
            <v>TT Ngôn ngữ và trao đổi học thuật</v>
          </cell>
          <cell r="D128" t="str">
            <v>C3B</v>
          </cell>
          <cell r="F128" t="str">
            <v>Vũ Hiền Phương</v>
          </cell>
          <cell r="G128" t="str">
            <v>0987439889</v>
          </cell>
          <cell r="H128" t="str">
            <v>C3B</v>
          </cell>
          <cell r="J128">
            <v>7971</v>
          </cell>
          <cell r="K128" t="str">
            <v>3 pha</v>
          </cell>
          <cell r="L128" t="str">
            <v>ĐCĐT</v>
          </cell>
          <cell r="M128" t="str">
            <v>ĐCĐT</v>
          </cell>
          <cell r="N128">
            <v>48</v>
          </cell>
          <cell r="O128">
            <v>6914</v>
          </cell>
          <cell r="P128">
            <v>6798</v>
          </cell>
          <cell r="Q128">
            <v>50</v>
          </cell>
          <cell r="R128">
            <v>5800</v>
          </cell>
          <cell r="S128">
            <v>0</v>
          </cell>
          <cell r="T128">
            <v>5800</v>
          </cell>
          <cell r="U128">
            <v>3505</v>
          </cell>
          <cell r="V128">
            <v>20329000</v>
          </cell>
          <cell r="W128" t="str">
            <v>Biên</v>
          </cell>
        </row>
        <row r="129">
          <cell r="A129">
            <v>125</v>
          </cell>
          <cell r="B129" t="str">
            <v>Trung tâm Ngôn ngữ và trao đổi học thuật TVĐT</v>
          </cell>
          <cell r="C129" t="str">
            <v>TT Ngôn ngữ và trao đổi học thuật</v>
          </cell>
          <cell r="D129" t="str">
            <v>Phòng 228-Thư viện TQB</v>
          </cell>
          <cell r="E129">
            <v>36231722</v>
          </cell>
          <cell r="F129" t="str">
            <v>Vũ Hiền Phương</v>
          </cell>
          <cell r="G129" t="str">
            <v>0987439889</v>
          </cell>
          <cell r="H129" t="str">
            <v>TVĐT</v>
          </cell>
          <cell r="J129">
            <v>3543</v>
          </cell>
          <cell r="K129" t="str">
            <v>1 pha</v>
          </cell>
          <cell r="L129" t="str">
            <v>P228</v>
          </cell>
          <cell r="M129" t="str">
            <v>TVĐT</v>
          </cell>
          <cell r="N129">
            <v>48</v>
          </cell>
          <cell r="O129">
            <v>113924</v>
          </cell>
          <cell r="P129">
            <v>113392</v>
          </cell>
          <cell r="Q129">
            <v>1</v>
          </cell>
          <cell r="R129">
            <v>532</v>
          </cell>
          <cell r="S129">
            <v>0</v>
          </cell>
          <cell r="T129">
            <v>532</v>
          </cell>
          <cell r="U129">
            <v>3505</v>
          </cell>
          <cell r="V129">
            <v>1864660</v>
          </cell>
          <cell r="W129" t="str">
            <v>Hoàng</v>
          </cell>
        </row>
        <row r="130">
          <cell r="A130">
            <v>126</v>
          </cell>
          <cell r="B130" t="str">
            <v>Trung tâm Ngôn ngữ và trao đổi học thuật D2C</v>
          </cell>
          <cell r="C130" t="str">
            <v>TT Ngôn ngữ và trao đổi học thuật</v>
          </cell>
          <cell r="D130" t="str">
            <v>D2C</v>
          </cell>
          <cell r="E130">
            <v>38682179</v>
          </cell>
          <cell r="F130" t="str">
            <v>Vũ Hiền Phương</v>
          </cell>
          <cell r="G130" t="str">
            <v>0987439889</v>
          </cell>
          <cell r="H130" t="str">
            <v>D2C</v>
          </cell>
          <cell r="J130">
            <v>9514</v>
          </cell>
          <cell r="K130" t="str">
            <v>3 pha</v>
          </cell>
          <cell r="L130" t="str">
            <v>Tủ tổng TT</v>
          </cell>
          <cell r="M130" t="str">
            <v>BK3B</v>
          </cell>
          <cell r="N130">
            <v>48</v>
          </cell>
          <cell r="O130">
            <v>169025</v>
          </cell>
          <cell r="P130">
            <v>160991</v>
          </cell>
          <cell r="Q130">
            <v>1</v>
          </cell>
          <cell r="R130">
            <v>8034</v>
          </cell>
          <cell r="S130">
            <v>0</v>
          </cell>
          <cell r="T130">
            <v>8034</v>
          </cell>
          <cell r="U130">
            <v>3505</v>
          </cell>
          <cell r="V130">
            <v>28159170</v>
          </cell>
          <cell r="W130" t="str">
            <v>Sơn</v>
          </cell>
        </row>
        <row r="131">
          <cell r="A131">
            <v>127</v>
          </cell>
          <cell r="B131" t="str">
            <v>Trung tâm Ngôn ngữ và trao đổi học thuật D6-ĐH (4 điều hòa)</v>
          </cell>
          <cell r="C131" t="str">
            <v>TT Ngôn ngữ và trao đổi học thuật</v>
          </cell>
          <cell r="D131" t="str">
            <v>Phòng 201,202- D6</v>
          </cell>
          <cell r="E131">
            <v>36231722</v>
          </cell>
          <cell r="F131" t="str">
            <v>Vũ Hiền Phương</v>
          </cell>
          <cell r="G131" t="str">
            <v>0987439889</v>
          </cell>
          <cell r="H131" t="str">
            <v>D6</v>
          </cell>
          <cell r="J131">
            <v>1615</v>
          </cell>
          <cell r="K131" t="str">
            <v>1 pha</v>
          </cell>
          <cell r="L131" t="str">
            <v>Phòng KTĐ</v>
          </cell>
          <cell r="M131" t="str">
            <v>TVĐT</v>
          </cell>
          <cell r="N131">
            <v>48</v>
          </cell>
          <cell r="O131">
            <v>8142</v>
          </cell>
          <cell r="P131">
            <v>7522</v>
          </cell>
          <cell r="Q131">
            <v>1</v>
          </cell>
          <cell r="R131">
            <v>620</v>
          </cell>
          <cell r="S131">
            <v>0</v>
          </cell>
          <cell r="T131">
            <v>620</v>
          </cell>
          <cell r="U131">
            <v>3505</v>
          </cell>
          <cell r="V131">
            <v>2173100</v>
          </cell>
          <cell r="W131" t="str">
            <v>Sơn</v>
          </cell>
        </row>
        <row r="132">
          <cell r="A132">
            <v>128</v>
          </cell>
          <cell r="B132" t="str">
            <v>Trung tâm Ngôn ngữ và trao đổi học thuật D6-Đèn quạt</v>
          </cell>
          <cell r="C132" t="str">
            <v>TT Ngôn ngữ và trao đổi học thuật</v>
          </cell>
          <cell r="D132" t="str">
            <v>Phòng 201,202- D6</v>
          </cell>
          <cell r="E132">
            <v>36231722</v>
          </cell>
          <cell r="F132" t="str">
            <v>Vũ Hiền Phương</v>
          </cell>
          <cell r="G132" t="str">
            <v>0987439889</v>
          </cell>
          <cell r="H132" t="str">
            <v>D6</v>
          </cell>
          <cell r="J132">
            <v>8240</v>
          </cell>
          <cell r="K132" t="str">
            <v>1 pha</v>
          </cell>
          <cell r="L132" t="str">
            <v>Tầng 2</v>
          </cell>
          <cell r="M132" t="str">
            <v>TVĐT</v>
          </cell>
          <cell r="N132">
            <v>48</v>
          </cell>
          <cell r="O132">
            <v>10326</v>
          </cell>
          <cell r="P132">
            <v>10130</v>
          </cell>
          <cell r="Q132">
            <v>1</v>
          </cell>
          <cell r="R132">
            <v>196</v>
          </cell>
          <cell r="S132">
            <v>0</v>
          </cell>
          <cell r="T132">
            <v>196</v>
          </cell>
          <cell r="U132">
            <v>3505</v>
          </cell>
          <cell r="V132">
            <v>686980</v>
          </cell>
          <cell r="W132" t="str">
            <v>Sơn</v>
          </cell>
        </row>
        <row r="133">
          <cell r="A133">
            <v>129</v>
          </cell>
          <cell r="B133" t="str">
            <v>PTN Viện Kỹ thuật ĐK &amp; TĐH C6</v>
          </cell>
          <cell r="C133" t="str">
            <v>Viện Kỹ thuật ĐK &amp; TĐH</v>
          </cell>
          <cell r="D133" t="str">
            <v>C6- 101</v>
          </cell>
          <cell r="E133">
            <v>38683518</v>
          </cell>
          <cell r="F133" t="str">
            <v>Nguyễn Quang Địch</v>
          </cell>
          <cell r="G133" t="str">
            <v>0986329918</v>
          </cell>
          <cell r="H133" t="str">
            <v>C6</v>
          </cell>
          <cell r="K133" t="str">
            <v>3 pha</v>
          </cell>
          <cell r="L133" t="str">
            <v>C6 T2</v>
          </cell>
          <cell r="M133" t="str">
            <v>BK2</v>
          </cell>
          <cell r="N133">
            <v>50</v>
          </cell>
          <cell r="R133">
            <v>0</v>
          </cell>
          <cell r="S133">
            <v>0</v>
          </cell>
          <cell r="T133">
            <v>0</v>
          </cell>
          <cell r="U133">
            <v>3505</v>
          </cell>
          <cell r="V133">
            <v>0</v>
          </cell>
          <cell r="W133" t="str">
            <v>Biên</v>
          </cell>
        </row>
        <row r="134">
          <cell r="A134">
            <v>130</v>
          </cell>
          <cell r="B134" t="str">
            <v>Viện Kỹ thuật ĐK &amp; TĐH T2 (c tơ 2 chiều)</v>
          </cell>
          <cell r="C134" t="str">
            <v>Viện Kỹ thuật ĐK &amp; TĐH</v>
          </cell>
          <cell r="D134" t="str">
            <v>C1B tầng 2</v>
          </cell>
          <cell r="E134">
            <v>38683518</v>
          </cell>
          <cell r="F134" t="str">
            <v>Nguyễn Quang Địch</v>
          </cell>
          <cell r="G134" t="str">
            <v>0986329918</v>
          </cell>
          <cell r="H134" t="str">
            <v>C1B</v>
          </cell>
          <cell r="J134">
            <v>6085</v>
          </cell>
          <cell r="K134" t="str">
            <v>3 pha</v>
          </cell>
          <cell r="L134" t="str">
            <v>T2-C1B</v>
          </cell>
          <cell r="M134" t="str">
            <v>BK2</v>
          </cell>
          <cell r="N134">
            <v>64</v>
          </cell>
          <cell r="O134">
            <v>33244</v>
          </cell>
          <cell r="P134">
            <v>30901</v>
          </cell>
          <cell r="Q134">
            <v>1</v>
          </cell>
          <cell r="R134">
            <v>2343</v>
          </cell>
          <cell r="S134">
            <v>0</v>
          </cell>
          <cell r="T134">
            <v>2343</v>
          </cell>
          <cell r="U134">
            <v>3505</v>
          </cell>
          <cell r="V134">
            <v>8212215</v>
          </cell>
          <cell r="W134" t="str">
            <v>Biên</v>
          </cell>
        </row>
        <row r="135">
          <cell r="A135">
            <v>131</v>
          </cell>
          <cell r="B135" t="str">
            <v>Viện Kỹ thuật ĐK &amp; TĐH T3</v>
          </cell>
          <cell r="C135" t="str">
            <v>Viện Kỹ thuật ĐK &amp; TĐH</v>
          </cell>
          <cell r="D135" t="str">
            <v>C1B tầng 3</v>
          </cell>
          <cell r="E135">
            <v>38683518</v>
          </cell>
          <cell r="F135" t="str">
            <v>Nguyễn Quang Địch</v>
          </cell>
          <cell r="G135" t="str">
            <v>0986329918</v>
          </cell>
          <cell r="H135" t="str">
            <v>C1B</v>
          </cell>
          <cell r="J135">
            <v>4248</v>
          </cell>
          <cell r="K135" t="str">
            <v>3 pha</v>
          </cell>
          <cell r="L135" t="str">
            <v>T3-C1B</v>
          </cell>
          <cell r="M135" t="str">
            <v>BK2</v>
          </cell>
          <cell r="N135">
            <v>64</v>
          </cell>
          <cell r="O135">
            <v>130926</v>
          </cell>
          <cell r="P135">
            <v>128078</v>
          </cell>
          <cell r="Q135">
            <v>1</v>
          </cell>
          <cell r="R135">
            <v>2848</v>
          </cell>
          <cell r="S135">
            <v>0</v>
          </cell>
          <cell r="T135">
            <v>2848</v>
          </cell>
          <cell r="U135">
            <v>3505</v>
          </cell>
          <cell r="V135">
            <v>9982240</v>
          </cell>
          <cell r="W135" t="str">
            <v>Biên</v>
          </cell>
        </row>
        <row r="136">
          <cell r="A136">
            <v>132</v>
          </cell>
          <cell r="B136" t="str">
            <v>Viện Kỹ thuật ĐK &amp; TĐH ngõ 15</v>
          </cell>
          <cell r="C136" t="str">
            <v>Viện Kỹ thuật ĐK &amp; TĐH</v>
          </cell>
          <cell r="D136" t="str">
            <v xml:space="preserve">Số 8 ngõ 15 - TQB </v>
          </cell>
          <cell r="E136">
            <v>38683518</v>
          </cell>
          <cell r="F136" t="str">
            <v>Nguyễn Quang Địch</v>
          </cell>
          <cell r="G136" t="str">
            <v>0986329918</v>
          </cell>
          <cell r="H136" t="str">
            <v>Ngõ 15</v>
          </cell>
          <cell r="J136">
            <v>10462</v>
          </cell>
          <cell r="K136" t="str">
            <v>3 pha</v>
          </cell>
          <cell r="L136" t="str">
            <v>Tuủ trung gian B4</v>
          </cell>
          <cell r="M136" t="str">
            <v>KTX</v>
          </cell>
          <cell r="N136">
            <v>50</v>
          </cell>
          <cell r="Q136">
            <v>1</v>
          </cell>
          <cell r="R136">
            <v>0</v>
          </cell>
          <cell r="S136">
            <v>0</v>
          </cell>
          <cell r="T136">
            <v>0</v>
          </cell>
          <cell r="U136">
            <v>3505</v>
          </cell>
          <cell r="V136">
            <v>0</v>
          </cell>
          <cell r="W136" t="str">
            <v>Đông</v>
          </cell>
        </row>
        <row r="137">
          <cell r="A137">
            <v>133</v>
          </cell>
          <cell r="B137" t="str">
            <v>TT Cao su (t thụ)</v>
          </cell>
          <cell r="C137" t="str">
            <v>Trường Hóa và KHSS</v>
          </cell>
          <cell r="D137" t="str">
            <v>D7, D2A</v>
          </cell>
          <cell r="E137">
            <v>22153127</v>
          </cell>
          <cell r="F137" t="str">
            <v>Phan Trung Nghĩa</v>
          </cell>
          <cell r="G137" t="str">
            <v>0913512282- 0968090564</v>
          </cell>
          <cell r="J137" t="str">
            <v>3 công tơ</v>
          </cell>
          <cell r="M137" t="str">
            <v>TVĐT</v>
          </cell>
          <cell r="N137">
            <v>52</v>
          </cell>
          <cell r="O137">
            <v>6641</v>
          </cell>
          <cell r="P137">
            <v>0</v>
          </cell>
          <cell r="Q137">
            <v>1</v>
          </cell>
          <cell r="R137">
            <v>6641</v>
          </cell>
          <cell r="T137">
            <v>6641</v>
          </cell>
          <cell r="U137">
            <v>3505</v>
          </cell>
          <cell r="V137">
            <v>23276705</v>
          </cell>
          <cell r="W137" t="str">
            <v>A.T</v>
          </cell>
        </row>
        <row r="138">
          <cell r="A138">
            <v>134</v>
          </cell>
          <cell r="B138" t="str">
            <v>TT Dịch vụ và hỗ trợ BK.1/15</v>
          </cell>
          <cell r="C138" t="str">
            <v>TTDV và HT BK</v>
          </cell>
          <cell r="D138" t="str">
            <v>Trông xe ô tô ngõ 15 TQB</v>
          </cell>
          <cell r="F138" t="str">
            <v>Trần Thị Thu</v>
          </cell>
          <cell r="G138" t="str">
            <v>0978817568</v>
          </cell>
          <cell r="H138" t="str">
            <v>15 TQB</v>
          </cell>
          <cell r="J138">
            <v>3113</v>
          </cell>
          <cell r="K138" t="str">
            <v>1 pha</v>
          </cell>
          <cell r="M138" t="str">
            <v>KTX</v>
          </cell>
          <cell r="N138">
            <v>53</v>
          </cell>
          <cell r="O138">
            <v>17475</v>
          </cell>
          <cell r="P138">
            <v>16140</v>
          </cell>
          <cell r="Q138">
            <v>1</v>
          </cell>
          <cell r="R138">
            <v>1335</v>
          </cell>
          <cell r="S138">
            <v>0</v>
          </cell>
          <cell r="T138">
            <v>1335</v>
          </cell>
          <cell r="U138">
            <v>3505</v>
          </cell>
          <cell r="V138">
            <v>4679175</v>
          </cell>
          <cell r="W138" t="str">
            <v>Hoàng</v>
          </cell>
        </row>
        <row r="139">
          <cell r="A139">
            <v>135</v>
          </cell>
          <cell r="B139" t="str">
            <v>TT Dịch vụ và hỗ trợ BK.F (t thụ)</v>
          </cell>
          <cell r="C139" t="str">
            <v>TTDV và HT BK</v>
          </cell>
          <cell r="D139" t="str">
            <v xml:space="preserve">Trông xe ô tô nhà F </v>
          </cell>
          <cell r="F139" t="str">
            <v>Trần Thị Thu</v>
          </cell>
          <cell r="G139" t="str">
            <v>0978817568</v>
          </cell>
          <cell r="H139" t="str">
            <v>F</v>
          </cell>
          <cell r="J139" t="str">
            <v>6460, 1098</v>
          </cell>
          <cell r="K139" t="str">
            <v>1 pha</v>
          </cell>
          <cell r="M139" t="str">
            <v>B1</v>
          </cell>
          <cell r="N139">
            <v>53</v>
          </cell>
          <cell r="O139">
            <v>846</v>
          </cell>
          <cell r="P139">
            <v>0</v>
          </cell>
          <cell r="Q139">
            <v>1</v>
          </cell>
          <cell r="R139">
            <v>846</v>
          </cell>
          <cell r="S139">
            <v>0</v>
          </cell>
          <cell r="T139">
            <v>846</v>
          </cell>
          <cell r="U139">
            <v>3505</v>
          </cell>
          <cell r="V139">
            <v>2965230</v>
          </cell>
          <cell r="W139" t="str">
            <v>Đông</v>
          </cell>
        </row>
        <row r="140">
          <cell r="A140">
            <v>136</v>
          </cell>
          <cell r="B140" t="str">
            <v>TT Dịch vụ và hỗ trợ BK.B1</v>
          </cell>
          <cell r="C140" t="str">
            <v>TTDV và HT BK</v>
          </cell>
          <cell r="D140" t="str">
            <v>Trông xe ô tô B1</v>
          </cell>
          <cell r="F140" t="str">
            <v>Trần Thị Thu</v>
          </cell>
          <cell r="G140" t="str">
            <v>0978817568</v>
          </cell>
          <cell r="H140" t="str">
            <v>B1</v>
          </cell>
          <cell r="J140">
            <v>3927</v>
          </cell>
          <cell r="K140" t="str">
            <v>1 pha</v>
          </cell>
          <cell r="M140" t="str">
            <v>B1</v>
          </cell>
          <cell r="N140">
            <v>53</v>
          </cell>
          <cell r="O140">
            <v>29073</v>
          </cell>
          <cell r="P140">
            <v>28044</v>
          </cell>
          <cell r="Q140">
            <v>1</v>
          </cell>
          <cell r="R140">
            <v>1029</v>
          </cell>
          <cell r="S140">
            <v>0</v>
          </cell>
          <cell r="T140">
            <v>1029</v>
          </cell>
          <cell r="U140">
            <v>3505</v>
          </cell>
          <cell r="V140">
            <v>3606645</v>
          </cell>
          <cell r="W140" t="str">
            <v>Đông</v>
          </cell>
        </row>
        <row r="141">
          <cell r="A141">
            <v>137</v>
          </cell>
          <cell r="B141" t="str">
            <v>TT Dịch vụ và hỗ trợ BK.17</v>
          </cell>
          <cell r="C141" t="str">
            <v>TTDV và HT BK</v>
          </cell>
          <cell r="D141" t="str">
            <v>Trông xe ô tô nhà khách</v>
          </cell>
          <cell r="F141" t="str">
            <v>Trần Thị Thu</v>
          </cell>
          <cell r="G141" t="str">
            <v>0978817568</v>
          </cell>
          <cell r="H141" t="str">
            <v>Ngõ 17</v>
          </cell>
          <cell r="J141">
            <v>2673</v>
          </cell>
          <cell r="K141" t="str">
            <v>1 pha</v>
          </cell>
          <cell r="M141" t="str">
            <v>THCK</v>
          </cell>
          <cell r="N141">
            <v>53</v>
          </cell>
          <cell r="O141">
            <v>30311</v>
          </cell>
          <cell r="P141">
            <v>29702</v>
          </cell>
          <cell r="Q141">
            <v>1</v>
          </cell>
          <cell r="R141">
            <v>609</v>
          </cell>
          <cell r="S141">
            <v>0</v>
          </cell>
          <cell r="T141">
            <v>609</v>
          </cell>
          <cell r="U141">
            <v>3505</v>
          </cell>
          <cell r="V141">
            <v>2134545</v>
          </cell>
          <cell r="W141" t="str">
            <v>Đông</v>
          </cell>
        </row>
        <row r="142">
          <cell r="A142">
            <v>138</v>
          </cell>
          <cell r="B142" t="str">
            <v>TT Dịch vụ và hỗ trợ BK42</v>
          </cell>
          <cell r="C142" t="str">
            <v>TTDV và HT BK</v>
          </cell>
          <cell r="D142" t="str">
            <v>Trông xe ô tô ngõ 42</v>
          </cell>
          <cell r="F142" t="str">
            <v>Trần Thị Thu</v>
          </cell>
          <cell r="G142" t="str">
            <v>0978817568</v>
          </cell>
          <cell r="H142" t="str">
            <v>Ngõ 42</v>
          </cell>
          <cell r="J142">
            <v>4855</v>
          </cell>
          <cell r="K142" t="str">
            <v>1 pha</v>
          </cell>
          <cell r="M142" t="str">
            <v>THCK</v>
          </cell>
          <cell r="N142">
            <v>53</v>
          </cell>
          <cell r="O142">
            <v>57447</v>
          </cell>
          <cell r="P142">
            <v>57150</v>
          </cell>
          <cell r="Q142">
            <v>1</v>
          </cell>
          <cell r="R142">
            <v>297</v>
          </cell>
          <cell r="S142">
            <v>0</v>
          </cell>
          <cell r="T142">
            <v>297</v>
          </cell>
          <cell r="U142">
            <v>3505</v>
          </cell>
          <cell r="V142">
            <v>1040985</v>
          </cell>
          <cell r="W142" t="str">
            <v>Đông</v>
          </cell>
        </row>
        <row r="143">
          <cell r="A143">
            <v>139</v>
          </cell>
          <cell r="B143" t="str">
            <v>TT Dịch vụ và hỗ trợ BK.BB</v>
          </cell>
          <cell r="C143" t="str">
            <v>TTDV và HT BK</v>
          </cell>
          <cell r="D143" t="str">
            <v>Cổng Bảo vệ - Bể bơi BK</v>
          </cell>
          <cell r="F143" t="str">
            <v>Trần Thị Thu</v>
          </cell>
          <cell r="G143" t="str">
            <v>0978817568</v>
          </cell>
          <cell r="H143" t="str">
            <v>Bể bơi</v>
          </cell>
          <cell r="J143" t="str">
            <v>0651</v>
          </cell>
          <cell r="K143" t="str">
            <v>1 pha</v>
          </cell>
          <cell r="L143" t="str">
            <v xml:space="preserve"> Phòng trực</v>
          </cell>
          <cell r="M143" t="str">
            <v>B1</v>
          </cell>
          <cell r="N143">
            <v>53</v>
          </cell>
          <cell r="O143">
            <v>23494</v>
          </cell>
          <cell r="P143">
            <v>23290</v>
          </cell>
          <cell r="Q143">
            <v>1</v>
          </cell>
          <cell r="R143">
            <v>204</v>
          </cell>
          <cell r="S143">
            <v>0</v>
          </cell>
          <cell r="T143">
            <v>204</v>
          </cell>
          <cell r="U143">
            <v>3505</v>
          </cell>
          <cell r="V143">
            <v>715020</v>
          </cell>
          <cell r="W143" t="str">
            <v>Đông</v>
          </cell>
        </row>
        <row r="144">
          <cell r="A144">
            <v>140</v>
          </cell>
          <cell r="B144" t="str">
            <v>BK Holdings</v>
          </cell>
          <cell r="C144" t="str">
            <v>BK Holding</v>
          </cell>
          <cell r="D144" t="str">
            <v>Tầng 2 ĐN2 - A17 TQB</v>
          </cell>
          <cell r="E144" t="str">
            <v>02436230870</v>
          </cell>
          <cell r="F144" t="str">
            <v>BK Holdings</v>
          </cell>
          <cell r="G144" t="str">
            <v>0906123357</v>
          </cell>
          <cell r="H144" t="str">
            <v>A17</v>
          </cell>
          <cell r="J144" t="str">
            <v>5163</v>
          </cell>
          <cell r="K144" t="str">
            <v>3 pha</v>
          </cell>
          <cell r="L144" t="str">
            <v>Tủ ĐN2</v>
          </cell>
          <cell r="M144" t="str">
            <v>B1</v>
          </cell>
          <cell r="N144">
            <v>56</v>
          </cell>
          <cell r="O144">
            <v>173485</v>
          </cell>
          <cell r="P144">
            <v>171987</v>
          </cell>
          <cell r="Q144">
            <v>1</v>
          </cell>
          <cell r="R144">
            <v>1498</v>
          </cell>
          <cell r="S144">
            <v>0</v>
          </cell>
          <cell r="T144">
            <v>1498</v>
          </cell>
          <cell r="U144">
            <v>4169</v>
          </cell>
          <cell r="V144">
            <v>6245162</v>
          </cell>
          <cell r="W144" t="str">
            <v>Đông</v>
          </cell>
        </row>
        <row r="145">
          <cell r="A145">
            <v>141</v>
          </cell>
          <cell r="B145" t="str">
            <v>BK Holdings</v>
          </cell>
          <cell r="C145" t="str">
            <v>BK Holding</v>
          </cell>
          <cell r="D145" t="str">
            <v>Tầng 2 ĐN 2 - A17</v>
          </cell>
          <cell r="E145" t="str">
            <v>02436230870</v>
          </cell>
          <cell r="F145" t="str">
            <v>BK Holdings</v>
          </cell>
          <cell r="G145" t="str">
            <v>0906123357</v>
          </cell>
          <cell r="H145" t="str">
            <v>A17</v>
          </cell>
          <cell r="J145" t="str">
            <v>0757</v>
          </cell>
          <cell r="K145" t="str">
            <v>3 pha</v>
          </cell>
          <cell r="L145" t="str">
            <v>Tủ cầu thang T2</v>
          </cell>
          <cell r="M145" t="str">
            <v>B1</v>
          </cell>
          <cell r="N145">
            <v>56</v>
          </cell>
          <cell r="O145">
            <v>113103</v>
          </cell>
          <cell r="P145">
            <v>112230</v>
          </cell>
          <cell r="Q145">
            <v>1</v>
          </cell>
          <cell r="R145">
            <v>873</v>
          </cell>
          <cell r="S145">
            <v>0</v>
          </cell>
          <cell r="T145">
            <v>873</v>
          </cell>
          <cell r="U145">
            <v>4169</v>
          </cell>
          <cell r="V145">
            <v>3639537</v>
          </cell>
          <cell r="W145" t="str">
            <v>Đông</v>
          </cell>
        </row>
        <row r="146">
          <cell r="A146">
            <v>142</v>
          </cell>
          <cell r="B146" t="str">
            <v>BK Holdings</v>
          </cell>
          <cell r="C146" t="str">
            <v>BK Holding</v>
          </cell>
          <cell r="D146" t="str">
            <v>Tầng 3 ĐN2 -  A17</v>
          </cell>
          <cell r="E146" t="str">
            <v>02436230870</v>
          </cell>
          <cell r="F146" t="str">
            <v>BK Holdings</v>
          </cell>
          <cell r="G146" t="str">
            <v>0906123357</v>
          </cell>
          <cell r="H146" t="str">
            <v>A17</v>
          </cell>
          <cell r="J146" t="str">
            <v>9357</v>
          </cell>
          <cell r="K146" t="str">
            <v>3 pha</v>
          </cell>
          <cell r="L146" t="str">
            <v>Tủ ĐN2</v>
          </cell>
          <cell r="M146" t="str">
            <v>B1</v>
          </cell>
          <cell r="N146">
            <v>56</v>
          </cell>
          <cell r="O146">
            <v>656483</v>
          </cell>
          <cell r="P146">
            <v>647638</v>
          </cell>
          <cell r="Q146">
            <v>1</v>
          </cell>
          <cell r="R146">
            <v>8845</v>
          </cell>
          <cell r="S146">
            <v>0</v>
          </cell>
          <cell r="T146">
            <v>8845</v>
          </cell>
          <cell r="U146">
            <v>4169</v>
          </cell>
          <cell r="V146">
            <v>36874805</v>
          </cell>
          <cell r="W146" t="str">
            <v>Đông</v>
          </cell>
        </row>
        <row r="147">
          <cell r="A147">
            <v>143</v>
          </cell>
          <cell r="B147" t="str">
            <v>Cty CPĐT triển khai Dịch vụ CNTT &amp; VT BK HN</v>
          </cell>
          <cell r="C147" t="str">
            <v>Nguyễn Ngọc Tuấn</v>
          </cell>
          <cell r="D147" t="str">
            <v>Tầng 5 ĐN2 - A17</v>
          </cell>
          <cell r="E147">
            <v>36230870</v>
          </cell>
          <cell r="F147" t="str">
            <v>Nguyễn Ngọc Tuấn</v>
          </cell>
          <cell r="G147" t="str">
            <v>0973253788</v>
          </cell>
          <cell r="H147" t="str">
            <v>A17</v>
          </cell>
          <cell r="J147" t="str">
            <v>9497</v>
          </cell>
          <cell r="K147" t="str">
            <v>3 pha</v>
          </cell>
          <cell r="L147" t="str">
            <v>Tủ ĐN 2</v>
          </cell>
          <cell r="M147" t="str">
            <v>B1</v>
          </cell>
          <cell r="N147">
            <v>56</v>
          </cell>
          <cell r="O147">
            <v>728248</v>
          </cell>
          <cell r="P147">
            <v>721101</v>
          </cell>
          <cell r="Q147">
            <v>1</v>
          </cell>
          <cell r="R147">
            <v>7147</v>
          </cell>
          <cell r="S147">
            <v>0</v>
          </cell>
          <cell r="T147">
            <v>7147</v>
          </cell>
          <cell r="U147">
            <v>4169</v>
          </cell>
          <cell r="V147">
            <v>29795843</v>
          </cell>
          <cell r="W147" t="str">
            <v>Biên</v>
          </cell>
        </row>
        <row r="148">
          <cell r="A148">
            <v>144</v>
          </cell>
          <cell r="B148" t="str">
            <v>Cty CPĐT triển khai Dịch vụ CNTT &amp; VT BK HN</v>
          </cell>
          <cell r="C148" t="str">
            <v>Nguyễn Ngọc Tuấn</v>
          </cell>
          <cell r="D148" t="str">
            <v>Tầng 2 ĐN1- A17</v>
          </cell>
          <cell r="E148">
            <v>36230870</v>
          </cell>
          <cell r="F148" t="str">
            <v>Nguyễn Ngọc Tuấn</v>
          </cell>
          <cell r="G148" t="str">
            <v>0973253788</v>
          </cell>
          <cell r="H148" t="str">
            <v>A17</v>
          </cell>
          <cell r="J148">
            <v>9277</v>
          </cell>
          <cell r="K148" t="str">
            <v>3 pha</v>
          </cell>
          <cell r="L148" t="str">
            <v>Tủ ĐN2</v>
          </cell>
          <cell r="M148" t="str">
            <v>B1</v>
          </cell>
          <cell r="N148">
            <v>56</v>
          </cell>
          <cell r="O148">
            <v>355481</v>
          </cell>
          <cell r="P148">
            <v>351381</v>
          </cell>
          <cell r="Q148">
            <v>1</v>
          </cell>
          <cell r="R148">
            <v>4100</v>
          </cell>
          <cell r="S148">
            <v>0</v>
          </cell>
          <cell r="T148">
            <v>4100</v>
          </cell>
          <cell r="U148">
            <v>4169</v>
          </cell>
          <cell r="V148">
            <v>17092900</v>
          </cell>
          <cell r="W148" t="str">
            <v>Biên</v>
          </cell>
        </row>
        <row r="149">
          <cell r="A149">
            <v>145</v>
          </cell>
          <cell r="B149" t="str">
            <v>BK Holdings</v>
          </cell>
          <cell r="C149" t="str">
            <v>BK Holding</v>
          </cell>
          <cell r="D149" t="str">
            <v>Tầng 3 ĐN1 -  A17</v>
          </cell>
          <cell r="E149">
            <v>38683713</v>
          </cell>
          <cell r="F149" t="str">
            <v>BK Holdings</v>
          </cell>
          <cell r="G149" t="str">
            <v>0906123357</v>
          </cell>
          <cell r="H149" t="str">
            <v>A17</v>
          </cell>
          <cell r="J149">
            <v>9310</v>
          </cell>
          <cell r="K149" t="str">
            <v>1 pha</v>
          </cell>
          <cell r="L149" t="str">
            <v>Tủ ĐN2</v>
          </cell>
          <cell r="M149" t="str">
            <v>B1</v>
          </cell>
          <cell r="N149">
            <v>56</v>
          </cell>
          <cell r="O149">
            <v>479208</v>
          </cell>
          <cell r="P149">
            <v>472977</v>
          </cell>
          <cell r="Q149">
            <v>1</v>
          </cell>
          <cell r="R149">
            <v>6231</v>
          </cell>
          <cell r="S149">
            <v>0</v>
          </cell>
          <cell r="T149">
            <v>6231</v>
          </cell>
          <cell r="U149">
            <v>4169</v>
          </cell>
          <cell r="V149">
            <v>25977039</v>
          </cell>
          <cell r="W149" t="str">
            <v>Biên</v>
          </cell>
        </row>
        <row r="150">
          <cell r="A150">
            <v>146</v>
          </cell>
          <cell r="B150" t="str">
            <v>Công ty TNHH MTV tư vấn &amp; CGCN Bách Khoa</v>
          </cell>
          <cell r="C150" t="str">
            <v>BK Holding</v>
          </cell>
          <cell r="D150" t="str">
            <v xml:space="preserve">Số 5 ngõ 15 - TQB </v>
          </cell>
          <cell r="E150">
            <v>38692384</v>
          </cell>
          <cell r="F150" t="str">
            <v>Chị Thanh</v>
          </cell>
          <cell r="G150" t="str">
            <v>0988628266</v>
          </cell>
          <cell r="H150" t="str">
            <v>Ngõ 15</v>
          </cell>
          <cell r="J150" t="str">
            <v>2278</v>
          </cell>
          <cell r="K150" t="str">
            <v>3 pha</v>
          </cell>
          <cell r="L150" t="str">
            <v>Cầu thang</v>
          </cell>
          <cell r="M150" t="str">
            <v>KTX</v>
          </cell>
          <cell r="N150">
            <v>56</v>
          </cell>
          <cell r="O150">
            <v>78396</v>
          </cell>
          <cell r="P150">
            <v>78396</v>
          </cell>
          <cell r="Q150">
            <v>1</v>
          </cell>
          <cell r="R150">
            <v>0</v>
          </cell>
          <cell r="S150">
            <v>0</v>
          </cell>
          <cell r="T150">
            <v>0</v>
          </cell>
          <cell r="U150">
            <v>4169</v>
          </cell>
          <cell r="V150">
            <v>0</v>
          </cell>
          <cell r="W150" t="str">
            <v>Biên</v>
          </cell>
        </row>
        <row r="151">
          <cell r="A151">
            <v>147</v>
          </cell>
          <cell r="B151" t="str">
            <v>Công ty Cổ phần Cơ khí chính xác</v>
          </cell>
          <cell r="C151" t="str">
            <v>BK Holding</v>
          </cell>
          <cell r="D151" t="str">
            <v>Số 1 ngõ 15 TQB</v>
          </cell>
          <cell r="E151">
            <v>38692332</v>
          </cell>
          <cell r="F151" t="str">
            <v>Nguyễn Chí Hưng</v>
          </cell>
          <cell r="G151" t="str">
            <v>0974041888</v>
          </cell>
          <cell r="H151" t="str">
            <v>Ngõ 15</v>
          </cell>
          <cell r="J151">
            <v>6387</v>
          </cell>
          <cell r="K151" t="str">
            <v>3 pha</v>
          </cell>
          <cell r="L151" t="str">
            <v>Tủ tổng xưởng Hàn</v>
          </cell>
          <cell r="M151" t="str">
            <v>KTX</v>
          </cell>
          <cell r="N151">
            <v>56</v>
          </cell>
          <cell r="O151">
            <v>295285</v>
          </cell>
          <cell r="P151">
            <v>295285</v>
          </cell>
          <cell r="Q151">
            <v>1</v>
          </cell>
          <cell r="R151">
            <v>0</v>
          </cell>
          <cell r="S151">
            <v>0</v>
          </cell>
          <cell r="T151">
            <v>0</v>
          </cell>
          <cell r="U151">
            <v>4169</v>
          </cell>
          <cell r="V151">
            <v>0</v>
          </cell>
          <cell r="W151" t="str">
            <v>Sơn</v>
          </cell>
        </row>
        <row r="152">
          <cell r="A152">
            <v>148</v>
          </cell>
          <cell r="B152" t="str">
            <v>Công ty CP công nghệ vật liệu và thiết bị Bách Khoa HN</v>
          </cell>
          <cell r="C152" t="str">
            <v>BK Holding</v>
          </cell>
          <cell r="D152" t="str">
            <v xml:space="preserve">Số 7 ngõ 15 - TQB </v>
          </cell>
          <cell r="E152">
            <v>38682778</v>
          </cell>
          <cell r="F152" t="str">
            <v>C Hằng</v>
          </cell>
          <cell r="G152" t="str">
            <v>0345890588</v>
          </cell>
          <cell r="H152" t="str">
            <v>Ngõ 15</v>
          </cell>
          <cell r="J152" t="str">
            <v>40857</v>
          </cell>
          <cell r="K152" t="str">
            <v>3 pha</v>
          </cell>
          <cell r="L152" t="str">
            <v>Trạm B4BK</v>
          </cell>
          <cell r="M152" t="str">
            <v>KTX</v>
          </cell>
          <cell r="N152">
            <v>56</v>
          </cell>
          <cell r="O152">
            <v>157504</v>
          </cell>
          <cell r="P152">
            <v>156321</v>
          </cell>
          <cell r="Q152">
            <v>1</v>
          </cell>
          <cell r="R152">
            <v>1183</v>
          </cell>
          <cell r="S152">
            <v>0</v>
          </cell>
          <cell r="T152">
            <v>1183</v>
          </cell>
          <cell r="U152">
            <v>4169</v>
          </cell>
          <cell r="V152">
            <v>4931927</v>
          </cell>
          <cell r="W152" t="str">
            <v>Sơn</v>
          </cell>
        </row>
        <row r="153">
          <cell r="A153">
            <v>149</v>
          </cell>
          <cell r="B153" t="str">
            <v>Trường Cao Đẳng nghề BK -C4B</v>
          </cell>
          <cell r="C153" t="str">
            <v>BK Holding</v>
          </cell>
          <cell r="D153" t="str">
            <v>C4B</v>
          </cell>
          <cell r="E153">
            <v>38682917</v>
          </cell>
          <cell r="F153" t="str">
            <v>Nguyễn Khắc Kiểm</v>
          </cell>
          <cell r="G153" t="str">
            <v>0904173826</v>
          </cell>
          <cell r="H153" t="str">
            <v>C4B</v>
          </cell>
          <cell r="J153">
            <v>3259</v>
          </cell>
          <cell r="K153" t="str">
            <v>3 pha</v>
          </cell>
          <cell r="L153" t="str">
            <v>Trạm BK2</v>
          </cell>
          <cell r="M153" t="str">
            <v>BK2</v>
          </cell>
          <cell r="N153">
            <v>57</v>
          </cell>
          <cell r="O153">
            <v>15682</v>
          </cell>
          <cell r="P153">
            <v>15682</v>
          </cell>
          <cell r="Q153">
            <v>1</v>
          </cell>
          <cell r="R153">
            <v>0</v>
          </cell>
          <cell r="S153">
            <v>0</v>
          </cell>
          <cell r="T153">
            <v>0</v>
          </cell>
          <cell r="U153">
            <v>4169</v>
          </cell>
          <cell r="V153">
            <v>0</v>
          </cell>
          <cell r="W153" t="str">
            <v>Biên</v>
          </cell>
        </row>
        <row r="154">
          <cell r="A154">
            <v>150</v>
          </cell>
          <cell r="B154" t="str">
            <v>Trường Cao Đẳng nghề BK- 11 TQB</v>
          </cell>
          <cell r="C154" t="str">
            <v>BK Holding</v>
          </cell>
          <cell r="D154" t="str">
            <v>11 TQB</v>
          </cell>
          <cell r="E154">
            <v>38682917</v>
          </cell>
          <cell r="F154" t="str">
            <v>Nguyễn Khắc Kiểm</v>
          </cell>
          <cell r="G154" t="str">
            <v>0904173826</v>
          </cell>
          <cell r="H154" t="str">
            <v>11 TQB</v>
          </cell>
          <cell r="J154">
            <v>80030</v>
          </cell>
          <cell r="K154" t="str">
            <v>3 pha</v>
          </cell>
          <cell r="L154" t="str">
            <v>Trạm B1</v>
          </cell>
          <cell r="M154" t="str">
            <v>B1</v>
          </cell>
          <cell r="N154">
            <v>57</v>
          </cell>
          <cell r="O154">
            <v>88654</v>
          </cell>
          <cell r="P154">
            <v>85035</v>
          </cell>
          <cell r="Q154">
            <v>1</v>
          </cell>
          <cell r="R154">
            <v>3619</v>
          </cell>
          <cell r="S154">
            <v>0</v>
          </cell>
          <cell r="T154">
            <v>3619</v>
          </cell>
          <cell r="U154">
            <v>4169</v>
          </cell>
          <cell r="V154">
            <v>15087611</v>
          </cell>
          <cell r="W154" t="str">
            <v>Sơn</v>
          </cell>
        </row>
        <row r="155">
          <cell r="A155">
            <v>151</v>
          </cell>
          <cell r="B155" t="str">
            <v>Trường Cao Đẳng nghề BK - VP trường cũ</v>
          </cell>
          <cell r="C155" t="str">
            <v>BK Holding</v>
          </cell>
          <cell r="D155" t="str">
            <v>15 TQB</v>
          </cell>
          <cell r="E155">
            <v>38682917</v>
          </cell>
          <cell r="F155" t="str">
            <v>Nguyễn Khắc Kiểm</v>
          </cell>
          <cell r="G155" t="str">
            <v>0904173826</v>
          </cell>
          <cell r="H155" t="str">
            <v>15 TQB</v>
          </cell>
          <cell r="J155">
            <v>1124</v>
          </cell>
          <cell r="K155" t="str">
            <v>3 pha</v>
          </cell>
          <cell r="L155" t="str">
            <v xml:space="preserve">Cầu thang T3 </v>
          </cell>
          <cell r="M155" t="str">
            <v>KTX</v>
          </cell>
          <cell r="N155">
            <v>57</v>
          </cell>
          <cell r="O155">
            <v>115662</v>
          </cell>
          <cell r="P155">
            <v>107277</v>
          </cell>
          <cell r="Q155">
            <v>1</v>
          </cell>
          <cell r="R155">
            <v>8385</v>
          </cell>
          <cell r="S155">
            <v>0</v>
          </cell>
          <cell r="T155">
            <v>8385</v>
          </cell>
          <cell r="U155">
            <v>4169</v>
          </cell>
          <cell r="V155">
            <v>34957065</v>
          </cell>
          <cell r="W155" t="str">
            <v>Sơn</v>
          </cell>
        </row>
        <row r="156">
          <cell r="A156">
            <v>152</v>
          </cell>
          <cell r="B156" t="str">
            <v>Trường Cao Đẳng nghề BK - B4</v>
          </cell>
          <cell r="C156" t="str">
            <v>BK Holding</v>
          </cell>
          <cell r="D156" t="str">
            <v>Tầng 2 - B4</v>
          </cell>
          <cell r="E156">
            <v>38682917</v>
          </cell>
          <cell r="F156" t="str">
            <v>Nguyễn Khắc Kiểm</v>
          </cell>
          <cell r="G156" t="str">
            <v>0904173826</v>
          </cell>
          <cell r="H156" t="str">
            <v>B4</v>
          </cell>
          <cell r="J156" t="str">
            <v>3974</v>
          </cell>
          <cell r="K156" t="str">
            <v>1 pha</v>
          </cell>
          <cell r="L156" t="str">
            <v>T2 B4</v>
          </cell>
          <cell r="M156" t="str">
            <v>KTX</v>
          </cell>
          <cell r="N156">
            <v>57</v>
          </cell>
          <cell r="O156">
            <v>80171</v>
          </cell>
          <cell r="P156">
            <v>79556</v>
          </cell>
          <cell r="Q156">
            <v>1</v>
          </cell>
          <cell r="R156">
            <v>615</v>
          </cell>
          <cell r="S156">
            <v>0</v>
          </cell>
          <cell r="T156">
            <v>615</v>
          </cell>
          <cell r="U156">
            <v>4169</v>
          </cell>
          <cell r="V156">
            <v>2563935</v>
          </cell>
          <cell r="W156" t="str">
            <v>Sơn</v>
          </cell>
        </row>
        <row r="157">
          <cell r="A157">
            <v>153</v>
          </cell>
          <cell r="B157" t="str">
            <v>Trường Cao Đẳng nghề BK B4</v>
          </cell>
          <cell r="C157" t="str">
            <v>BK Holding</v>
          </cell>
          <cell r="D157" t="str">
            <v>Tầng 2 - B4</v>
          </cell>
          <cell r="E157">
            <v>38682917</v>
          </cell>
          <cell r="F157" t="str">
            <v>Nguyễn Khắc Kiểm</v>
          </cell>
          <cell r="G157" t="str">
            <v>0904173826</v>
          </cell>
          <cell r="H157" t="str">
            <v>B4</v>
          </cell>
          <cell r="J157" t="str">
            <v>0648</v>
          </cell>
          <cell r="K157" t="str">
            <v>3 pha</v>
          </cell>
          <cell r="L157" t="str">
            <v>T2 B4</v>
          </cell>
          <cell r="M157" t="str">
            <v>KTX</v>
          </cell>
          <cell r="N157">
            <v>57</v>
          </cell>
          <cell r="O157">
            <v>110664</v>
          </cell>
          <cell r="P157">
            <v>105678</v>
          </cell>
          <cell r="Q157">
            <v>1</v>
          </cell>
          <cell r="R157">
            <v>4986</v>
          </cell>
          <cell r="S157">
            <v>0</v>
          </cell>
          <cell r="T157">
            <v>4986</v>
          </cell>
          <cell r="U157">
            <v>4169</v>
          </cell>
          <cell r="V157">
            <v>20786634</v>
          </cell>
          <cell r="W157" t="str">
            <v>Sơn</v>
          </cell>
        </row>
        <row r="158">
          <cell r="A158">
            <v>154</v>
          </cell>
          <cell r="B158" t="str">
            <v>Trường Cao đẳng nghề BK - A17</v>
          </cell>
          <cell r="C158" t="str">
            <v>BK Holding</v>
          </cell>
          <cell r="D158" t="str">
            <v>A17 Tầng 4 ĐN 2</v>
          </cell>
          <cell r="E158">
            <v>38682917</v>
          </cell>
          <cell r="F158" t="str">
            <v>Nguyễn Khắc Kiểm</v>
          </cell>
          <cell r="G158" t="str">
            <v>0904173826</v>
          </cell>
          <cell r="H158" t="str">
            <v>A17</v>
          </cell>
          <cell r="J158" t="str">
            <v>5836</v>
          </cell>
          <cell r="K158" t="str">
            <v>3 pha</v>
          </cell>
          <cell r="L158" t="str">
            <v>Tủ ĐN2</v>
          </cell>
          <cell r="M158" t="str">
            <v>B1</v>
          </cell>
          <cell r="N158">
            <v>57</v>
          </cell>
          <cell r="O158">
            <v>153517</v>
          </cell>
          <cell r="P158">
            <v>148089</v>
          </cell>
          <cell r="Q158">
            <v>1</v>
          </cell>
          <cell r="R158">
            <v>5428</v>
          </cell>
          <cell r="S158">
            <v>0</v>
          </cell>
          <cell r="T158">
            <v>5428</v>
          </cell>
          <cell r="U158">
            <v>4169</v>
          </cell>
          <cell r="V158">
            <v>22629332</v>
          </cell>
          <cell r="W158" t="str">
            <v>Biên</v>
          </cell>
        </row>
        <row r="159">
          <cell r="A159">
            <v>155</v>
          </cell>
          <cell r="B159" t="str">
            <v>Trường Cao đẳng nghề BK A17</v>
          </cell>
          <cell r="C159" t="str">
            <v>BK Holding</v>
          </cell>
          <cell r="D159" t="str">
            <v>A17 tầng 4 ĐN1</v>
          </cell>
          <cell r="E159">
            <v>38682917</v>
          </cell>
          <cell r="F159" t="str">
            <v>Nguyễn Khắc Kiểm</v>
          </cell>
          <cell r="G159" t="str">
            <v>0904173826</v>
          </cell>
          <cell r="H159" t="str">
            <v>A17</v>
          </cell>
          <cell r="J159" t="str">
            <v>0651</v>
          </cell>
          <cell r="K159" t="str">
            <v>3 pha</v>
          </cell>
          <cell r="L159" t="str">
            <v>Tủ ĐN1</v>
          </cell>
          <cell r="M159" t="str">
            <v>B1</v>
          </cell>
          <cell r="N159">
            <v>57</v>
          </cell>
          <cell r="O159">
            <v>167065</v>
          </cell>
          <cell r="P159">
            <v>160364</v>
          </cell>
          <cell r="Q159">
            <v>1</v>
          </cell>
          <cell r="R159">
            <v>6701</v>
          </cell>
          <cell r="S159">
            <v>0</v>
          </cell>
          <cell r="T159">
            <v>6701</v>
          </cell>
          <cell r="U159">
            <v>4169</v>
          </cell>
          <cell r="V159">
            <v>27936469</v>
          </cell>
          <cell r="W159" t="str">
            <v>Biên</v>
          </cell>
        </row>
        <row r="160">
          <cell r="A160">
            <v>156</v>
          </cell>
          <cell r="B160" t="str">
            <v>Trường Cao đẳng nghề BK - A17</v>
          </cell>
          <cell r="C160" t="str">
            <v>BK Holding</v>
          </cell>
          <cell r="D160" t="str">
            <v>A17 Tầng 5 ĐN1</v>
          </cell>
          <cell r="F160" t="str">
            <v>Nguyễn Khắc Kiểm</v>
          </cell>
          <cell r="G160" t="str">
            <v>0904173826</v>
          </cell>
          <cell r="H160" t="str">
            <v>A17</v>
          </cell>
          <cell r="J160" t="str">
            <v>0488</v>
          </cell>
          <cell r="K160" t="str">
            <v>3 pha</v>
          </cell>
          <cell r="L160" t="str">
            <v>Tủ ĐN1</v>
          </cell>
          <cell r="M160" t="str">
            <v>B1</v>
          </cell>
          <cell r="N160">
            <v>57</v>
          </cell>
          <cell r="O160">
            <v>257083</v>
          </cell>
          <cell r="P160">
            <v>253992</v>
          </cell>
          <cell r="Q160">
            <v>1</v>
          </cell>
          <cell r="R160">
            <v>3091</v>
          </cell>
          <cell r="S160">
            <v>0</v>
          </cell>
          <cell r="T160">
            <v>3091</v>
          </cell>
          <cell r="U160">
            <v>4169</v>
          </cell>
          <cell r="V160">
            <v>12886379</v>
          </cell>
          <cell r="W160" t="str">
            <v>Biên</v>
          </cell>
        </row>
        <row r="161">
          <cell r="A161">
            <v>157</v>
          </cell>
          <cell r="B161" t="str">
            <v>Trường Cao đẳng nghề BK - Ngõ 17</v>
          </cell>
          <cell r="C161" t="str">
            <v>BK Holding</v>
          </cell>
          <cell r="D161" t="str">
            <v>Ngõ 17- TQB</v>
          </cell>
          <cell r="E161">
            <v>38682917</v>
          </cell>
          <cell r="F161" t="str">
            <v>Nguyễn Khắc Kiểm</v>
          </cell>
          <cell r="G161" t="str">
            <v>0904173826</v>
          </cell>
          <cell r="H161" t="str">
            <v>Ngõ 17</v>
          </cell>
          <cell r="J161" t="str">
            <v>3543</v>
          </cell>
          <cell r="K161" t="str">
            <v>3 pha</v>
          </cell>
          <cell r="L161" t="str">
            <v>Tầng 1</v>
          </cell>
          <cell r="M161" t="str">
            <v>THCK</v>
          </cell>
          <cell r="N161">
            <v>58</v>
          </cell>
          <cell r="O161">
            <v>153422</v>
          </cell>
          <cell r="P161">
            <v>149162</v>
          </cell>
          <cell r="Q161">
            <v>1</v>
          </cell>
          <cell r="R161">
            <v>4260</v>
          </cell>
          <cell r="S161">
            <v>0</v>
          </cell>
          <cell r="T161">
            <v>4260</v>
          </cell>
          <cell r="U161">
            <v>4169</v>
          </cell>
          <cell r="V161">
            <v>17759940</v>
          </cell>
          <cell r="W161" t="str">
            <v>Biên</v>
          </cell>
        </row>
        <row r="162">
          <cell r="A162">
            <v>158</v>
          </cell>
          <cell r="B162" t="str">
            <v>Trường Cao đẳng nghề BK - Nhà B</v>
          </cell>
          <cell r="C162" t="str">
            <v>BK Holding</v>
          </cell>
          <cell r="D162" t="str">
            <v>Nhà B, Xưởng TH Ô tô</v>
          </cell>
          <cell r="E162">
            <v>38682917</v>
          </cell>
          <cell r="F162" t="str">
            <v>Nguyễn Khắc Kiểm</v>
          </cell>
          <cell r="G162" t="str">
            <v>0904173826</v>
          </cell>
          <cell r="H162" t="str">
            <v>B</v>
          </cell>
          <cell r="J162" t="str">
            <v>0674</v>
          </cell>
          <cell r="K162" t="str">
            <v>1 pha</v>
          </cell>
          <cell r="L162" t="str">
            <v>Tầng 1</v>
          </cell>
          <cell r="M162" t="str">
            <v>THCK</v>
          </cell>
          <cell r="N162">
            <v>58</v>
          </cell>
          <cell r="O162">
            <v>36265</v>
          </cell>
          <cell r="P162">
            <v>34765</v>
          </cell>
          <cell r="Q162">
            <v>1</v>
          </cell>
          <cell r="R162">
            <v>1500</v>
          </cell>
          <cell r="S162">
            <v>0</v>
          </cell>
          <cell r="T162">
            <v>1500</v>
          </cell>
          <cell r="U162">
            <v>4169</v>
          </cell>
          <cell r="V162">
            <v>6253500</v>
          </cell>
          <cell r="W162" t="str">
            <v>Đông</v>
          </cell>
        </row>
        <row r="163">
          <cell r="A163">
            <v>159</v>
          </cell>
          <cell r="B163" t="str">
            <v>Trường Cao đẳng nghề BK-xưởng Hàn B4 (a/s)</v>
          </cell>
          <cell r="C163" t="str">
            <v>BK Holding</v>
          </cell>
          <cell r="D163" t="str">
            <v>Tầng 1 sau B4</v>
          </cell>
          <cell r="E163">
            <v>38682917</v>
          </cell>
          <cell r="F163" t="str">
            <v>Nguyễn Khắc Kiểm</v>
          </cell>
          <cell r="G163" t="str">
            <v>0904173826</v>
          </cell>
          <cell r="H163" t="str">
            <v>B4</v>
          </cell>
          <cell r="J163">
            <v>1489</v>
          </cell>
          <cell r="K163" t="str">
            <v>1 pha</v>
          </cell>
          <cell r="L163" t="str">
            <v>T2 B4</v>
          </cell>
          <cell r="M163" t="str">
            <v>KTX</v>
          </cell>
          <cell r="N163">
            <v>58</v>
          </cell>
          <cell r="O163">
            <v>8820</v>
          </cell>
          <cell r="P163">
            <v>8820</v>
          </cell>
          <cell r="Q163">
            <v>1</v>
          </cell>
          <cell r="R163">
            <v>0</v>
          </cell>
          <cell r="S163">
            <v>0</v>
          </cell>
          <cell r="T163">
            <v>0</v>
          </cell>
          <cell r="U163">
            <v>4169</v>
          </cell>
          <cell r="V163">
            <v>0</v>
          </cell>
          <cell r="W163" t="str">
            <v>Đông</v>
          </cell>
        </row>
        <row r="164">
          <cell r="A164">
            <v>160</v>
          </cell>
          <cell r="B164" t="str">
            <v>Trường Cao đẳng nghề BK-xưởng Hàn B4</v>
          </cell>
          <cell r="C164" t="str">
            <v>BK Holding</v>
          </cell>
          <cell r="D164" t="str">
            <v>Tầng 1 sau B4</v>
          </cell>
          <cell r="E164">
            <v>38682917</v>
          </cell>
          <cell r="F164" t="str">
            <v>Nguyễn Khắc Kiểm</v>
          </cell>
          <cell r="G164" t="str">
            <v>0904173826</v>
          </cell>
          <cell r="H164" t="str">
            <v>B4</v>
          </cell>
          <cell r="J164">
            <v>5823</v>
          </cell>
          <cell r="K164" t="str">
            <v>3 pha</v>
          </cell>
          <cell r="L164" t="str">
            <v>Xưởng hàn</v>
          </cell>
          <cell r="M164" t="str">
            <v>KTX</v>
          </cell>
          <cell r="N164">
            <v>58</v>
          </cell>
          <cell r="O164">
            <v>11044</v>
          </cell>
          <cell r="P164">
            <v>9208</v>
          </cell>
          <cell r="Q164">
            <v>1</v>
          </cell>
          <cell r="R164">
            <v>1836</v>
          </cell>
          <cell r="S164">
            <v>0</v>
          </cell>
          <cell r="T164">
            <v>1836</v>
          </cell>
          <cell r="U164">
            <v>4169</v>
          </cell>
          <cell r="V164">
            <v>7654284</v>
          </cell>
          <cell r="W164" t="str">
            <v>Đông</v>
          </cell>
        </row>
        <row r="165">
          <cell r="A165">
            <v>161</v>
          </cell>
          <cell r="B165" t="str">
            <v>Trường Cao đẳng nghề - nhà A</v>
          </cell>
          <cell r="C165" t="str">
            <v>BK Holding</v>
          </cell>
          <cell r="D165" t="str">
            <v xml:space="preserve">Tầng 1 Nhà A - Phố Nguyễn Hiền  </v>
          </cell>
          <cell r="E165">
            <v>38682917</v>
          </cell>
          <cell r="F165" t="str">
            <v>Nguyễn Khắc Kiểm</v>
          </cell>
          <cell r="G165" t="str">
            <v>0904173826</v>
          </cell>
          <cell r="H165" t="str">
            <v>A</v>
          </cell>
          <cell r="J165" t="str">
            <v>3756</v>
          </cell>
          <cell r="K165" t="str">
            <v>3 pha</v>
          </cell>
          <cell r="L165" t="str">
            <v>Tầng 1</v>
          </cell>
          <cell r="M165" t="str">
            <v>VVL</v>
          </cell>
          <cell r="N165">
            <v>51</v>
          </cell>
          <cell r="O165">
            <v>148492</v>
          </cell>
          <cell r="P165">
            <v>147885</v>
          </cell>
          <cell r="Q165">
            <v>1</v>
          </cell>
          <cell r="R165">
            <v>607</v>
          </cell>
          <cell r="S165">
            <v>0</v>
          </cell>
          <cell r="T165">
            <v>607</v>
          </cell>
          <cell r="U165">
            <v>3505</v>
          </cell>
          <cell r="V165">
            <v>2127535</v>
          </cell>
          <cell r="W165" t="str">
            <v>Đông</v>
          </cell>
        </row>
        <row r="166">
          <cell r="A166">
            <v>162</v>
          </cell>
          <cell r="B166" t="str">
            <v>Trường Cao đẳng nghề - nhà A</v>
          </cell>
          <cell r="C166" t="str">
            <v>BK Holding</v>
          </cell>
          <cell r="D166" t="str">
            <v>T hầm, nhà A - Phố Ng  Hiền</v>
          </cell>
          <cell r="E166">
            <v>38682917</v>
          </cell>
          <cell r="F166" t="str">
            <v>Nguyễn Khắc Kiểm</v>
          </cell>
          <cell r="G166" t="str">
            <v>0904173826</v>
          </cell>
          <cell r="H166" t="str">
            <v>A</v>
          </cell>
          <cell r="J166">
            <v>2029</v>
          </cell>
          <cell r="K166" t="str">
            <v>3 pha</v>
          </cell>
          <cell r="L166" t="str">
            <v>Tầng 2</v>
          </cell>
          <cell r="M166" t="str">
            <v>VVL</v>
          </cell>
          <cell r="N166">
            <v>51</v>
          </cell>
          <cell r="O166">
            <v>28824</v>
          </cell>
          <cell r="P166">
            <v>28517</v>
          </cell>
          <cell r="Q166">
            <v>1</v>
          </cell>
          <cell r="R166">
            <v>307</v>
          </cell>
          <cell r="S166">
            <v>0</v>
          </cell>
          <cell r="T166">
            <v>307</v>
          </cell>
          <cell r="U166">
            <v>3505</v>
          </cell>
          <cell r="V166">
            <v>1076035</v>
          </cell>
          <cell r="W166" t="str">
            <v>Đông</v>
          </cell>
        </row>
        <row r="167">
          <cell r="A167">
            <v>163</v>
          </cell>
          <cell r="B167" t="str">
            <v xml:space="preserve">Trường Cao đẳng nghề </v>
          </cell>
          <cell r="C167" t="str">
            <v>BK Holding</v>
          </cell>
          <cell r="D167" t="str">
            <v>Tầng 2,3 Nhà A- Phố Nguyễn Hiền</v>
          </cell>
          <cell r="E167">
            <v>38682917</v>
          </cell>
          <cell r="F167" t="str">
            <v>Nguyễn Khắc Kiểm</v>
          </cell>
          <cell r="G167" t="str">
            <v>0904173826</v>
          </cell>
          <cell r="H167" t="str">
            <v>A</v>
          </cell>
          <cell r="J167" t="str">
            <v>4091</v>
          </cell>
          <cell r="K167" t="str">
            <v>3 pha</v>
          </cell>
          <cell r="L167" t="str">
            <v>Tầng 2</v>
          </cell>
          <cell r="M167" t="str">
            <v>VVL</v>
          </cell>
          <cell r="N167">
            <v>51</v>
          </cell>
          <cell r="O167">
            <v>112427</v>
          </cell>
          <cell r="P167">
            <v>109727</v>
          </cell>
          <cell r="Q167">
            <v>1</v>
          </cell>
          <cell r="R167">
            <v>2700</v>
          </cell>
          <cell r="S167">
            <v>0</v>
          </cell>
          <cell r="T167">
            <v>2700</v>
          </cell>
          <cell r="U167">
            <v>3505</v>
          </cell>
          <cell r="V167">
            <v>9463500</v>
          </cell>
          <cell r="W167" t="str">
            <v>Đông</v>
          </cell>
        </row>
        <row r="168">
          <cell r="A168">
            <v>164</v>
          </cell>
          <cell r="B168" t="str">
            <v>Trường THCS và THPT Tạ Quang Bửu</v>
          </cell>
          <cell r="C168" t="str">
            <v>BK Holding</v>
          </cell>
          <cell r="D168" t="str">
            <v xml:space="preserve">Nhà TC </v>
          </cell>
          <cell r="F168" t="str">
            <v>Nguyễn Trung Dũng</v>
          </cell>
          <cell r="G168" t="str">
            <v>0906123357</v>
          </cell>
          <cell r="H168" t="str">
            <v>TC</v>
          </cell>
          <cell r="J168">
            <v>2130</v>
          </cell>
          <cell r="K168" t="str">
            <v>3 pha</v>
          </cell>
          <cell r="L168" t="str">
            <v>Cầu thang TC</v>
          </cell>
          <cell r="M168" t="str">
            <v>THCK</v>
          </cell>
          <cell r="N168">
            <v>59</v>
          </cell>
          <cell r="O168">
            <v>159839</v>
          </cell>
          <cell r="P168">
            <v>158344</v>
          </cell>
          <cell r="Q168">
            <v>1</v>
          </cell>
          <cell r="R168">
            <v>1495</v>
          </cell>
          <cell r="S168">
            <v>0</v>
          </cell>
          <cell r="T168">
            <v>1495</v>
          </cell>
          <cell r="U168">
            <v>3505</v>
          </cell>
          <cell r="V168">
            <v>5239975</v>
          </cell>
          <cell r="W168" t="str">
            <v>Đông</v>
          </cell>
        </row>
        <row r="169">
          <cell r="A169">
            <v>165</v>
          </cell>
          <cell r="B169" t="str">
            <v>Trường THCS và THPT Tạ Quang Bửu</v>
          </cell>
          <cell r="C169" t="str">
            <v>BK Holding</v>
          </cell>
          <cell r="D169" t="str">
            <v>Nhà C- Viện ĐTLT</v>
          </cell>
          <cell r="F169" t="str">
            <v>Nguyễn Trung Dũng</v>
          </cell>
          <cell r="G169" t="str">
            <v>0906123357</v>
          </cell>
          <cell r="H169" t="str">
            <v>TC</v>
          </cell>
          <cell r="J169">
            <v>4607</v>
          </cell>
          <cell r="K169" t="str">
            <v>3 pha</v>
          </cell>
          <cell r="L169" t="str">
            <v>Sân để xe</v>
          </cell>
          <cell r="M169" t="str">
            <v>THCK</v>
          </cell>
          <cell r="N169">
            <v>59</v>
          </cell>
          <cell r="O169">
            <v>161147</v>
          </cell>
          <cell r="P169">
            <v>159905</v>
          </cell>
          <cell r="Q169">
            <v>1</v>
          </cell>
          <cell r="R169">
            <v>1242</v>
          </cell>
          <cell r="S169">
            <v>0</v>
          </cell>
          <cell r="T169">
            <v>1242</v>
          </cell>
          <cell r="U169">
            <v>3505</v>
          </cell>
          <cell r="V169">
            <v>4353210</v>
          </cell>
          <cell r="W169" t="str">
            <v>Đông</v>
          </cell>
        </row>
        <row r="170">
          <cell r="A170">
            <v>166</v>
          </cell>
          <cell r="B170" t="str">
            <v>PTN Xây dựng C3-ĐHXD</v>
          </cell>
          <cell r="C170" t="str">
            <v>Trường ĐHXD</v>
          </cell>
          <cell r="D170" t="str">
            <v>C3 tầng 1</v>
          </cell>
          <cell r="E170">
            <v>38692555</v>
          </cell>
          <cell r="F170" t="str">
            <v>A Hiếu</v>
          </cell>
          <cell r="G170" t="str">
            <v>0988630459</v>
          </cell>
          <cell r="H170" t="str">
            <v>C3</v>
          </cell>
          <cell r="J170" t="str">
            <v>0041</v>
          </cell>
          <cell r="K170" t="str">
            <v>3 pha</v>
          </cell>
          <cell r="L170" t="str">
            <v>Trạm BK2</v>
          </cell>
          <cell r="M170" t="str">
            <v>BK2</v>
          </cell>
          <cell r="N170">
            <v>60</v>
          </cell>
          <cell r="O170">
            <v>6528</v>
          </cell>
          <cell r="P170">
            <v>6482</v>
          </cell>
          <cell r="Q170">
            <v>40</v>
          </cell>
          <cell r="R170">
            <v>1840</v>
          </cell>
          <cell r="S170">
            <v>0</v>
          </cell>
          <cell r="T170">
            <v>1840</v>
          </cell>
          <cell r="U170">
            <v>4169</v>
          </cell>
          <cell r="V170">
            <v>7670960</v>
          </cell>
          <cell r="W170" t="str">
            <v>Biên</v>
          </cell>
        </row>
        <row r="171">
          <cell r="A171">
            <v>167</v>
          </cell>
          <cell r="B171" t="str">
            <v>PTN Công trình Thủy C6-ĐHXD</v>
          </cell>
          <cell r="C171" t="str">
            <v>Trường ĐHXD</v>
          </cell>
          <cell r="D171" t="str">
            <v>C6</v>
          </cell>
          <cell r="E171">
            <v>38691420</v>
          </cell>
          <cell r="F171" t="str">
            <v>Nguyễn Mạnh Tám</v>
          </cell>
          <cell r="G171" t="str">
            <v>0906850866</v>
          </cell>
          <cell r="H171" t="str">
            <v>C6</v>
          </cell>
          <cell r="J171" t="str">
            <v>2706</v>
          </cell>
          <cell r="K171" t="str">
            <v>1 pha</v>
          </cell>
          <cell r="L171" t="str">
            <v>C6</v>
          </cell>
          <cell r="M171" t="str">
            <v>ĐCĐT</v>
          </cell>
          <cell r="N171">
            <v>60</v>
          </cell>
          <cell r="O171">
            <v>41955</v>
          </cell>
          <cell r="P171">
            <v>41823</v>
          </cell>
          <cell r="Q171">
            <v>1</v>
          </cell>
          <cell r="R171">
            <v>132</v>
          </cell>
          <cell r="S171">
            <v>0</v>
          </cell>
          <cell r="T171">
            <v>132</v>
          </cell>
          <cell r="U171">
            <v>4169</v>
          </cell>
          <cell r="V171">
            <v>550308</v>
          </cell>
          <cell r="W171" t="str">
            <v>Biên</v>
          </cell>
        </row>
        <row r="172">
          <cell r="A172">
            <v>168</v>
          </cell>
          <cell r="B172" t="str">
            <v>PTN - Đại học Mỏ địa chất C5</v>
          </cell>
          <cell r="C172" t="str">
            <v>Trường ĐH Mỏ địa chất</v>
          </cell>
          <cell r="D172" t="str">
            <v>C5</v>
          </cell>
          <cell r="E172">
            <v>38681888</v>
          </cell>
          <cell r="F172" t="str">
            <v>Tạ Văn Minh</v>
          </cell>
          <cell r="G172" t="str">
            <v>02438681888</v>
          </cell>
          <cell r="H172" t="str">
            <v>C5</v>
          </cell>
          <cell r="J172" t="str">
            <v>4708</v>
          </cell>
          <cell r="K172" t="str">
            <v>3 pha</v>
          </cell>
          <cell r="L172" t="str">
            <v>Tầng 1</v>
          </cell>
          <cell r="M172" t="str">
            <v>BK2</v>
          </cell>
          <cell r="N172">
            <v>60</v>
          </cell>
          <cell r="O172">
            <v>279814</v>
          </cell>
          <cell r="P172">
            <v>277861</v>
          </cell>
          <cell r="Q172">
            <v>1</v>
          </cell>
          <cell r="R172">
            <v>1953</v>
          </cell>
          <cell r="S172">
            <v>0</v>
          </cell>
          <cell r="T172">
            <v>1953</v>
          </cell>
          <cell r="U172">
            <v>4169</v>
          </cell>
          <cell r="V172">
            <v>8142057</v>
          </cell>
          <cell r="W172" t="str">
            <v>Biên</v>
          </cell>
        </row>
        <row r="173">
          <cell r="A173">
            <v>169</v>
          </cell>
          <cell r="B173" t="str">
            <v xml:space="preserve">TT nghiên cứu địa kỹ thuật Đh Mỏ </v>
          </cell>
          <cell r="C173" t="str">
            <v>Trường ĐH Mỏ địa chất</v>
          </cell>
          <cell r="D173" t="str">
            <v>C5</v>
          </cell>
          <cell r="F173" t="str">
            <v>C Nhung</v>
          </cell>
          <cell r="G173" t="str">
            <v>0978423004</v>
          </cell>
          <cell r="H173" t="str">
            <v>C5</v>
          </cell>
          <cell r="J173">
            <v>4973</v>
          </cell>
          <cell r="K173" t="str">
            <v>3 pha</v>
          </cell>
          <cell r="L173" t="str">
            <v>Tầng 1</v>
          </cell>
          <cell r="M173" t="str">
            <v>BK2</v>
          </cell>
          <cell r="N173">
            <v>60</v>
          </cell>
          <cell r="O173">
            <v>155747</v>
          </cell>
          <cell r="P173">
            <v>154421</v>
          </cell>
          <cell r="Q173">
            <v>1</v>
          </cell>
          <cell r="R173">
            <v>1326</v>
          </cell>
          <cell r="S173">
            <v>0</v>
          </cell>
          <cell r="T173">
            <v>1326</v>
          </cell>
          <cell r="U173">
            <v>4169</v>
          </cell>
          <cell r="V173">
            <v>5528094</v>
          </cell>
          <cell r="W173" t="str">
            <v>Biên</v>
          </cell>
        </row>
        <row r="174">
          <cell r="A174">
            <v>170</v>
          </cell>
          <cell r="B174" t="str">
            <v>Ông Hướng - ĐH văn phòng BQL sân</v>
          </cell>
          <cell r="C174" t="str">
            <v>HĐKT</v>
          </cell>
          <cell r="D174" t="str">
            <v>KĐA - SVĐ</v>
          </cell>
          <cell r="F174" t="str">
            <v>Hoàng Văn Hướng</v>
          </cell>
          <cell r="G174" t="str">
            <v>0912223464</v>
          </cell>
          <cell r="H174" t="str">
            <v>SVĐ</v>
          </cell>
          <cell r="J174">
            <v>6266</v>
          </cell>
          <cell r="K174" t="str">
            <v>1 pha</v>
          </cell>
          <cell r="L174" t="str">
            <v>KĐ A- SVĐ</v>
          </cell>
          <cell r="M174" t="str">
            <v>SVĐ</v>
          </cell>
          <cell r="N174">
            <v>61</v>
          </cell>
          <cell r="O174">
            <v>39536</v>
          </cell>
          <cell r="P174">
            <v>38171</v>
          </cell>
          <cell r="Q174">
            <v>1</v>
          </cell>
          <cell r="R174">
            <v>1365</v>
          </cell>
          <cell r="S174">
            <v>0</v>
          </cell>
          <cell r="T174">
            <v>1365</v>
          </cell>
          <cell r="U174">
            <v>4169</v>
          </cell>
          <cell r="V174">
            <v>5690685</v>
          </cell>
          <cell r="W174" t="str">
            <v>Đông</v>
          </cell>
        </row>
        <row r="175">
          <cell r="A175">
            <v>171</v>
          </cell>
          <cell r="B175" t="str">
            <v xml:space="preserve">Ông Hướng - Phòng tập A2 </v>
          </cell>
          <cell r="C175" t="str">
            <v>HĐKT</v>
          </cell>
          <cell r="D175" t="str">
            <v xml:space="preserve"> KĐA- SVĐ</v>
          </cell>
          <cell r="F175" t="str">
            <v>Hoàng Văn Hướng</v>
          </cell>
          <cell r="G175" t="str">
            <v>0912223464</v>
          </cell>
          <cell r="H175" t="str">
            <v>SVĐ</v>
          </cell>
          <cell r="J175" t="str">
            <v>5688</v>
          </cell>
          <cell r="K175" t="str">
            <v>1 pha</v>
          </cell>
          <cell r="L175" t="str">
            <v>KĐ A- SVĐ</v>
          </cell>
          <cell r="M175" t="str">
            <v>SVĐ</v>
          </cell>
          <cell r="N175">
            <v>61</v>
          </cell>
          <cell r="O175">
            <v>97279</v>
          </cell>
          <cell r="P175">
            <v>96937</v>
          </cell>
          <cell r="Q175">
            <v>1</v>
          </cell>
          <cell r="R175">
            <v>342</v>
          </cell>
          <cell r="S175">
            <v>0</v>
          </cell>
          <cell r="T175">
            <v>342</v>
          </cell>
          <cell r="U175">
            <v>4169</v>
          </cell>
          <cell r="V175">
            <v>1425798</v>
          </cell>
          <cell r="W175" t="str">
            <v>Đông</v>
          </cell>
        </row>
        <row r="176">
          <cell r="A176">
            <v>172</v>
          </cell>
          <cell r="B176" t="str">
            <v>Ông Hướng - Đèn chiếu sân bóng nhỏ - SVĐ</v>
          </cell>
          <cell r="C176" t="str">
            <v>HĐKT</v>
          </cell>
          <cell r="D176" t="str">
            <v xml:space="preserve"> Sân 5 - SVĐ</v>
          </cell>
          <cell r="F176" t="str">
            <v>Hoàng Văn Hướng</v>
          </cell>
          <cell r="G176" t="str">
            <v>0912223464</v>
          </cell>
          <cell r="H176" t="str">
            <v>SVĐ</v>
          </cell>
          <cell r="J176" t="str">
            <v>8419</v>
          </cell>
          <cell r="K176" t="str">
            <v>1 pha</v>
          </cell>
          <cell r="L176" t="str">
            <v>KĐ A- SVĐ</v>
          </cell>
          <cell r="M176" t="str">
            <v>SVĐ</v>
          </cell>
          <cell r="N176">
            <v>61</v>
          </cell>
          <cell r="O176">
            <v>38685</v>
          </cell>
          <cell r="P176">
            <v>38625</v>
          </cell>
          <cell r="Q176">
            <v>1</v>
          </cell>
          <cell r="R176">
            <v>60</v>
          </cell>
          <cell r="S176">
            <v>0</v>
          </cell>
          <cell r="T176">
            <v>60</v>
          </cell>
          <cell r="U176">
            <v>4169</v>
          </cell>
          <cell r="V176">
            <v>250140</v>
          </cell>
          <cell r="W176" t="str">
            <v>Sơn</v>
          </cell>
        </row>
        <row r="177">
          <cell r="A177">
            <v>173</v>
          </cell>
          <cell r="B177" t="str">
            <v xml:space="preserve">Ông Hướng - phòng tập A1 Bi-a </v>
          </cell>
          <cell r="C177" t="str">
            <v>HĐKT</v>
          </cell>
          <cell r="D177" t="str">
            <v xml:space="preserve"> KĐA- SVĐ</v>
          </cell>
          <cell r="F177" t="str">
            <v>Hoàng Văn Hướng</v>
          </cell>
          <cell r="G177" t="str">
            <v>0912223464</v>
          </cell>
          <cell r="H177" t="str">
            <v>SVĐ</v>
          </cell>
          <cell r="J177" t="str">
            <v>3476</v>
          </cell>
          <cell r="K177" t="str">
            <v>1 pha</v>
          </cell>
          <cell r="L177" t="str">
            <v>KĐ A- SVĐ</v>
          </cell>
          <cell r="M177" t="str">
            <v>SVĐ</v>
          </cell>
          <cell r="N177">
            <v>61</v>
          </cell>
          <cell r="O177">
            <v>59189</v>
          </cell>
          <cell r="P177">
            <v>57373</v>
          </cell>
          <cell r="Q177">
            <v>1</v>
          </cell>
          <cell r="R177">
            <v>1816</v>
          </cell>
          <cell r="S177">
            <v>0</v>
          </cell>
          <cell r="T177">
            <v>1816</v>
          </cell>
          <cell r="U177">
            <v>4169</v>
          </cell>
          <cell r="V177">
            <v>7570904</v>
          </cell>
          <cell r="W177" t="str">
            <v>Sơn</v>
          </cell>
        </row>
        <row r="178">
          <cell r="A178">
            <v>174</v>
          </cell>
          <cell r="B178" t="str">
            <v>Ông Hướng-Phòng tập A3</v>
          </cell>
          <cell r="C178" t="str">
            <v>HĐKT</v>
          </cell>
          <cell r="D178" t="str">
            <v>KĐA -SVĐ</v>
          </cell>
          <cell r="F178" t="str">
            <v>Hoàng Văn Hướng</v>
          </cell>
          <cell r="G178" t="str">
            <v>0912223464</v>
          </cell>
          <cell r="H178" t="str">
            <v>SVĐ</v>
          </cell>
          <cell r="J178" t="str">
            <v>0357</v>
          </cell>
          <cell r="K178" t="str">
            <v>1 pha</v>
          </cell>
          <cell r="L178" t="str">
            <v>KĐ A- SVĐ</v>
          </cell>
          <cell r="M178" t="str">
            <v>SVĐ</v>
          </cell>
          <cell r="N178">
            <v>61</v>
          </cell>
          <cell r="O178">
            <v>44717</v>
          </cell>
          <cell r="P178">
            <v>44583</v>
          </cell>
          <cell r="Q178">
            <v>1</v>
          </cell>
          <cell r="R178">
            <v>134</v>
          </cell>
          <cell r="S178">
            <v>0</v>
          </cell>
          <cell r="T178">
            <v>134</v>
          </cell>
          <cell r="U178">
            <v>4169</v>
          </cell>
          <cell r="V178">
            <v>558646</v>
          </cell>
          <cell r="W178" t="str">
            <v>Sơn</v>
          </cell>
        </row>
        <row r="179">
          <cell r="A179">
            <v>175</v>
          </cell>
          <cell r="B179" t="str">
            <v>Ông Hướng - Căng tin KĐA</v>
          </cell>
          <cell r="C179" t="str">
            <v>HĐKT</v>
          </cell>
          <cell r="D179" t="str">
            <v>KĐA - SVĐ</v>
          </cell>
          <cell r="F179" t="str">
            <v>Hoàng Văn Hướng</v>
          </cell>
          <cell r="G179" t="str">
            <v>0912223464</v>
          </cell>
          <cell r="H179" t="str">
            <v>SVĐ</v>
          </cell>
          <cell r="J179">
            <v>3478</v>
          </cell>
          <cell r="K179" t="str">
            <v>1 pha</v>
          </cell>
          <cell r="L179" t="str">
            <v>KĐ A- SVĐ</v>
          </cell>
          <cell r="M179" t="str">
            <v>SVĐ</v>
          </cell>
          <cell r="N179">
            <v>61</v>
          </cell>
          <cell r="O179">
            <v>9816</v>
          </cell>
          <cell r="P179">
            <v>8919</v>
          </cell>
          <cell r="Q179">
            <v>1</v>
          </cell>
          <cell r="R179">
            <v>897</v>
          </cell>
          <cell r="S179">
            <v>0</v>
          </cell>
          <cell r="T179">
            <v>897</v>
          </cell>
          <cell r="U179">
            <v>4169</v>
          </cell>
          <cell r="V179">
            <v>3739593</v>
          </cell>
          <cell r="W179" t="str">
            <v>Sơn</v>
          </cell>
        </row>
        <row r="180">
          <cell r="A180">
            <v>176</v>
          </cell>
          <cell r="B180" t="str">
            <v>Ông Hướng - Cụm văn phòng BQL sân</v>
          </cell>
          <cell r="C180" t="str">
            <v>HĐKT</v>
          </cell>
          <cell r="D180" t="str">
            <v>KĐA - SVĐ</v>
          </cell>
          <cell r="F180" t="str">
            <v>Hoàng Văn Hướng</v>
          </cell>
          <cell r="G180" t="str">
            <v>0912223464</v>
          </cell>
          <cell r="H180" t="str">
            <v>SVĐ</v>
          </cell>
          <cell r="J180">
            <v>2679</v>
          </cell>
          <cell r="K180" t="str">
            <v>1 pha</v>
          </cell>
          <cell r="L180" t="str">
            <v>KĐ A- SVĐ</v>
          </cell>
          <cell r="M180" t="str">
            <v>SVĐ</v>
          </cell>
          <cell r="N180">
            <v>61</v>
          </cell>
          <cell r="O180">
            <v>20395</v>
          </cell>
          <cell r="P180">
            <v>19724</v>
          </cell>
          <cell r="Q180">
            <v>1</v>
          </cell>
          <cell r="R180">
            <v>671</v>
          </cell>
          <cell r="S180">
            <v>0</v>
          </cell>
          <cell r="T180">
            <v>671</v>
          </cell>
          <cell r="U180">
            <v>4169</v>
          </cell>
          <cell r="V180">
            <v>2797399</v>
          </cell>
          <cell r="W180" t="str">
            <v>Sơn</v>
          </cell>
        </row>
        <row r="181">
          <cell r="A181">
            <v>177</v>
          </cell>
          <cell r="B181" t="str">
            <v>Ông Hướng - Chiếu sáng Sân tập bóng chuyền, bóng rổ cũ</v>
          </cell>
          <cell r="C181" t="str">
            <v>HĐKT</v>
          </cell>
          <cell r="D181" t="str">
            <v>SVĐ Bách Khoa</v>
          </cell>
          <cell r="F181" t="str">
            <v>Hoàng Văn Hướng</v>
          </cell>
          <cell r="G181" t="str">
            <v>0912223464</v>
          </cell>
          <cell r="H181" t="str">
            <v>SVĐ</v>
          </cell>
          <cell r="K181" t="str">
            <v>1 pha</v>
          </cell>
          <cell r="L181" t="str">
            <v>Trạm SVĐ</v>
          </cell>
          <cell r="M181" t="str">
            <v>SVĐ</v>
          </cell>
          <cell r="N181">
            <v>61</v>
          </cell>
          <cell r="O181">
            <v>0</v>
          </cell>
          <cell r="P181">
            <v>0</v>
          </cell>
          <cell r="Q181">
            <v>1</v>
          </cell>
          <cell r="R181">
            <v>0</v>
          </cell>
          <cell r="S181">
            <v>0</v>
          </cell>
          <cell r="T181">
            <v>0</v>
          </cell>
          <cell r="U181">
            <v>4169</v>
          </cell>
          <cell r="V181">
            <v>0</v>
          </cell>
          <cell r="W181" t="str">
            <v>Sơn</v>
          </cell>
        </row>
        <row r="182">
          <cell r="A182">
            <v>178</v>
          </cell>
          <cell r="B182" t="str">
            <v>Ông Hướng - 4 cột đèn lớn SVĐ</v>
          </cell>
          <cell r="C182" t="str">
            <v>HĐKT</v>
          </cell>
          <cell r="F182" t="str">
            <v>Hoàng Văn Hướng</v>
          </cell>
          <cell r="G182" t="str">
            <v>0912223464</v>
          </cell>
          <cell r="H182" t="str">
            <v>SVĐ</v>
          </cell>
          <cell r="J182">
            <v>5960</v>
          </cell>
          <cell r="K182" t="str">
            <v>3 pha</v>
          </cell>
          <cell r="L182" t="str">
            <v>TBA SVĐ</v>
          </cell>
          <cell r="M182" t="str">
            <v>SVĐ</v>
          </cell>
          <cell r="N182">
            <v>61</v>
          </cell>
          <cell r="O182">
            <v>176145</v>
          </cell>
          <cell r="P182">
            <v>173037</v>
          </cell>
          <cell r="Q182">
            <v>1</v>
          </cell>
          <cell r="R182">
            <v>3108</v>
          </cell>
          <cell r="S182">
            <v>0</v>
          </cell>
          <cell r="T182">
            <v>3108</v>
          </cell>
          <cell r="U182">
            <v>3505</v>
          </cell>
          <cell r="V182">
            <v>10893540</v>
          </cell>
          <cell r="W182" t="str">
            <v>Sơn</v>
          </cell>
        </row>
        <row r="183">
          <cell r="A183">
            <v>179</v>
          </cell>
          <cell r="B183" t="str">
            <v>Ông Hướng - Sân bóng KTX B9</v>
          </cell>
          <cell r="C183" t="str">
            <v>HĐKT</v>
          </cell>
          <cell r="D183" t="str">
            <v>Sân bóng KTX B9</v>
          </cell>
          <cell r="F183" t="str">
            <v>Hoàng Văn Hướng</v>
          </cell>
          <cell r="G183" t="str">
            <v>0912223464</v>
          </cell>
          <cell r="H183" t="str">
            <v>B9</v>
          </cell>
          <cell r="J183">
            <v>6352</v>
          </cell>
          <cell r="K183" t="str">
            <v>3 pha</v>
          </cell>
          <cell r="L183" t="str">
            <v>TBA KTX</v>
          </cell>
          <cell r="M183" t="str">
            <v>KTX</v>
          </cell>
          <cell r="N183">
            <v>61</v>
          </cell>
          <cell r="O183">
            <v>129854</v>
          </cell>
          <cell r="P183">
            <v>129005</v>
          </cell>
          <cell r="Q183">
            <v>1</v>
          </cell>
          <cell r="R183">
            <v>849</v>
          </cell>
          <cell r="S183">
            <v>0</v>
          </cell>
          <cell r="T183">
            <v>849</v>
          </cell>
          <cell r="U183">
            <v>3505</v>
          </cell>
          <cell r="V183">
            <v>2975745</v>
          </cell>
          <cell r="W183" t="str">
            <v>Biên</v>
          </cell>
        </row>
        <row r="184">
          <cell r="A184">
            <v>180</v>
          </cell>
          <cell r="B184" t="str">
            <v>Ô Hướng - YOGA1 NTĐ</v>
          </cell>
          <cell r="C184" t="str">
            <v>HĐKT</v>
          </cell>
          <cell r="D184" t="str">
            <v>Nhà thi đấu</v>
          </cell>
          <cell r="F184" t="str">
            <v>Hoàng Văn Hướng</v>
          </cell>
          <cell r="G184" t="str">
            <v>0912223464</v>
          </cell>
          <cell r="H184" t="str">
            <v>NTĐ</v>
          </cell>
          <cell r="J184">
            <v>8467</v>
          </cell>
          <cell r="L184" t="str">
            <v>PKTĐNTĐ</v>
          </cell>
          <cell r="M184" t="str">
            <v>SVĐ</v>
          </cell>
          <cell r="N184">
            <v>64</v>
          </cell>
          <cell r="O184">
            <v>52727</v>
          </cell>
          <cell r="P184">
            <v>51883</v>
          </cell>
          <cell r="Q184">
            <v>1</v>
          </cell>
          <cell r="R184">
            <v>844</v>
          </cell>
          <cell r="S184">
            <v>0</v>
          </cell>
          <cell r="T184">
            <v>844</v>
          </cell>
          <cell r="U184">
            <v>4169</v>
          </cell>
          <cell r="V184">
            <v>3518636</v>
          </cell>
          <cell r="W184" t="str">
            <v>Đông</v>
          </cell>
        </row>
        <row r="185">
          <cell r="A185">
            <v>181</v>
          </cell>
          <cell r="B185" t="str">
            <v>Ô Hướng - Sàn tập NTĐ</v>
          </cell>
          <cell r="C185" t="str">
            <v>HĐKT</v>
          </cell>
          <cell r="D185" t="str">
            <v>Nhà thi đấu</v>
          </cell>
          <cell r="F185" t="str">
            <v>Hoàng Văn Hướng</v>
          </cell>
          <cell r="G185" t="str">
            <v>0912223464</v>
          </cell>
          <cell r="H185" t="str">
            <v>NTĐ</v>
          </cell>
          <cell r="J185">
            <v>20465</v>
          </cell>
          <cell r="K185" t="str">
            <v>3 pha</v>
          </cell>
          <cell r="L185" t="str">
            <v>Tủ tổng cạnh cửa</v>
          </cell>
          <cell r="M185" t="str">
            <v>SVĐ</v>
          </cell>
          <cell r="N185">
            <v>64</v>
          </cell>
          <cell r="O185">
            <v>106542</v>
          </cell>
          <cell r="P185">
            <v>102521</v>
          </cell>
          <cell r="Q185">
            <v>1</v>
          </cell>
          <cell r="R185">
            <v>4021</v>
          </cell>
          <cell r="S185">
            <v>2011</v>
          </cell>
          <cell r="T185">
            <v>2010</v>
          </cell>
          <cell r="U185">
            <v>4169</v>
          </cell>
          <cell r="V185">
            <v>8379690</v>
          </cell>
          <cell r="W185" t="str">
            <v>Đông</v>
          </cell>
        </row>
        <row r="186">
          <cell r="A186">
            <v>182</v>
          </cell>
          <cell r="B186" t="str">
            <v>Ô Hướng Café + bi-a T2 NTĐ</v>
          </cell>
          <cell r="C186" t="str">
            <v>HĐKT</v>
          </cell>
          <cell r="D186" t="str">
            <v>Nhà thi đấu</v>
          </cell>
          <cell r="F186" t="str">
            <v>Hoàng Văn Hướng</v>
          </cell>
          <cell r="G186" t="str">
            <v>0912223464</v>
          </cell>
          <cell r="H186" t="str">
            <v>NTĐ</v>
          </cell>
          <cell r="J186">
            <v>4722</v>
          </cell>
          <cell r="L186" t="str">
            <v>Buồng KTĐ</v>
          </cell>
          <cell r="M186" t="str">
            <v>SVĐ</v>
          </cell>
          <cell r="N186">
            <v>64</v>
          </cell>
          <cell r="O186">
            <v>31792</v>
          </cell>
          <cell r="P186">
            <v>30667</v>
          </cell>
          <cell r="Q186">
            <v>1</v>
          </cell>
          <cell r="R186">
            <v>1125</v>
          </cell>
          <cell r="S186">
            <v>0</v>
          </cell>
          <cell r="T186">
            <v>1125</v>
          </cell>
          <cell r="U186">
            <v>4169</v>
          </cell>
          <cell r="V186">
            <v>4690125</v>
          </cell>
          <cell r="W186" t="str">
            <v>Đông</v>
          </cell>
        </row>
        <row r="187">
          <cell r="A187">
            <v>183</v>
          </cell>
          <cell r="B187" t="str">
            <v>Ô Hướng - YOGA2 NTĐ</v>
          </cell>
          <cell r="C187" t="str">
            <v>HĐKT</v>
          </cell>
          <cell r="D187" t="str">
            <v>Nhà thi đấu</v>
          </cell>
          <cell r="F187" t="str">
            <v>Hoàng Văn Hướng</v>
          </cell>
          <cell r="G187" t="str">
            <v>0912223464</v>
          </cell>
          <cell r="H187" t="str">
            <v>NTĐ</v>
          </cell>
          <cell r="J187">
            <v>6988</v>
          </cell>
          <cell r="L187" t="str">
            <v>PKTĐNTĐ</v>
          </cell>
          <cell r="M187" t="str">
            <v>SVĐ</v>
          </cell>
          <cell r="N187">
            <v>64</v>
          </cell>
          <cell r="O187">
            <v>33115</v>
          </cell>
          <cell r="P187">
            <v>32768</v>
          </cell>
          <cell r="Q187">
            <v>1</v>
          </cell>
          <cell r="R187">
            <v>347</v>
          </cell>
          <cell r="S187">
            <v>0</v>
          </cell>
          <cell r="T187">
            <v>347</v>
          </cell>
          <cell r="U187">
            <v>4169</v>
          </cell>
          <cell r="V187">
            <v>1446643</v>
          </cell>
          <cell r="W187" t="str">
            <v>Đông</v>
          </cell>
        </row>
        <row r="188">
          <cell r="A188">
            <v>184</v>
          </cell>
          <cell r="B188" t="str">
            <v>Ô Hướng - Phòng tập tầng 2 Bể bơi</v>
          </cell>
          <cell r="C188" t="str">
            <v>HĐKT</v>
          </cell>
          <cell r="D188" t="str">
            <v xml:space="preserve">T2 Bể bơi BK </v>
          </cell>
          <cell r="F188" t="str">
            <v>Hoàng Văn Hướng</v>
          </cell>
          <cell r="G188" t="str">
            <v>0912223464</v>
          </cell>
          <cell r="H188" t="str">
            <v>BB</v>
          </cell>
          <cell r="J188">
            <v>7444</v>
          </cell>
          <cell r="K188" t="str">
            <v>3 pha</v>
          </cell>
          <cell r="L188" t="str">
            <v>T1 cầu thang</v>
          </cell>
          <cell r="M188" t="str">
            <v>B1</v>
          </cell>
          <cell r="N188">
            <v>64</v>
          </cell>
          <cell r="O188">
            <v>28651</v>
          </cell>
          <cell r="P188">
            <v>28078</v>
          </cell>
          <cell r="Q188">
            <v>1</v>
          </cell>
          <cell r="R188">
            <v>573</v>
          </cell>
          <cell r="S188">
            <v>0</v>
          </cell>
          <cell r="T188">
            <v>573</v>
          </cell>
          <cell r="U188">
            <v>4169</v>
          </cell>
          <cell r="V188">
            <v>2388837</v>
          </cell>
          <cell r="W188" t="str">
            <v>Đông</v>
          </cell>
        </row>
        <row r="189">
          <cell r="A189">
            <v>185</v>
          </cell>
          <cell r="B189" t="str">
            <v xml:space="preserve">Ô Hướng - ĐH vp BQL NTĐ </v>
          </cell>
          <cell r="C189" t="str">
            <v>HĐKT</v>
          </cell>
          <cell r="D189" t="str">
            <v>Nhà thi đấu</v>
          </cell>
          <cell r="F189" t="str">
            <v>Hoàng Văn Hướng</v>
          </cell>
          <cell r="G189" t="str">
            <v>0912223464</v>
          </cell>
          <cell r="H189" t="str">
            <v>NTĐ</v>
          </cell>
          <cell r="J189">
            <v>8246</v>
          </cell>
          <cell r="L189" t="str">
            <v>Buồng KTĐ</v>
          </cell>
          <cell r="M189" t="str">
            <v>SVĐ</v>
          </cell>
          <cell r="N189">
            <v>64</v>
          </cell>
          <cell r="O189">
            <v>7695</v>
          </cell>
          <cell r="P189">
            <v>7363</v>
          </cell>
          <cell r="Q189">
            <v>1</v>
          </cell>
          <cell r="R189">
            <v>332</v>
          </cell>
          <cell r="S189">
            <v>0</v>
          </cell>
          <cell r="T189">
            <v>332</v>
          </cell>
          <cell r="U189">
            <v>4169</v>
          </cell>
          <cell r="V189">
            <v>1384108</v>
          </cell>
          <cell r="W189" t="str">
            <v>Đông</v>
          </cell>
        </row>
        <row r="190">
          <cell r="A190">
            <v>186</v>
          </cell>
          <cell r="B190" t="str">
            <v>Ô Hướng - Quầy bán đồ thể thao ngõ 42</v>
          </cell>
          <cell r="C190" t="str">
            <v>HĐKT</v>
          </cell>
          <cell r="D190" t="str">
            <v>Ngõ 42 TQB</v>
          </cell>
          <cell r="F190" t="str">
            <v>Hoàng Văn Hướng</v>
          </cell>
          <cell r="G190" t="str">
            <v>0912223464</v>
          </cell>
          <cell r="H190" t="str">
            <v>NTĐ</v>
          </cell>
          <cell r="J190">
            <v>7684</v>
          </cell>
          <cell r="L190" t="str">
            <v>Tủ tổng sân</v>
          </cell>
          <cell r="M190" t="str">
            <v>THCK</v>
          </cell>
          <cell r="N190">
            <v>64</v>
          </cell>
          <cell r="O190">
            <v>9051</v>
          </cell>
          <cell r="P190">
            <v>9004</v>
          </cell>
          <cell r="Q190">
            <v>1</v>
          </cell>
          <cell r="R190">
            <v>47</v>
          </cell>
          <cell r="S190">
            <v>0</v>
          </cell>
          <cell r="T190">
            <v>47</v>
          </cell>
          <cell r="U190">
            <v>4169</v>
          </cell>
          <cell r="V190">
            <v>195943</v>
          </cell>
          <cell r="W190" t="str">
            <v>Đông</v>
          </cell>
        </row>
        <row r="191">
          <cell r="A191">
            <v>187</v>
          </cell>
          <cell r="B191" t="str">
            <v>Ô Hướng - Sân Tennis ngõ 42</v>
          </cell>
          <cell r="C191" t="str">
            <v>HĐKT</v>
          </cell>
          <cell r="D191" t="str">
            <v>Ngõ 42 TQB</v>
          </cell>
          <cell r="F191" t="str">
            <v>Hoàng Văn Hướng</v>
          </cell>
          <cell r="G191" t="str">
            <v>0912223464</v>
          </cell>
          <cell r="H191" t="str">
            <v>NTĐ</v>
          </cell>
          <cell r="J191">
            <v>4240</v>
          </cell>
          <cell r="L191" t="str">
            <v>Tủ tổng sân</v>
          </cell>
          <cell r="M191" t="str">
            <v>THCK</v>
          </cell>
          <cell r="N191">
            <v>64</v>
          </cell>
          <cell r="O191">
            <v>137382</v>
          </cell>
          <cell r="P191">
            <v>136103</v>
          </cell>
          <cell r="Q191">
            <v>1</v>
          </cell>
          <cell r="R191">
            <v>1279</v>
          </cell>
          <cell r="S191">
            <v>384</v>
          </cell>
          <cell r="T191">
            <v>895</v>
          </cell>
          <cell r="U191">
            <v>4169</v>
          </cell>
          <cell r="V191">
            <v>3731255</v>
          </cell>
          <cell r="W191" t="str">
            <v>Đông</v>
          </cell>
        </row>
        <row r="192">
          <cell r="A192">
            <v>188</v>
          </cell>
          <cell r="B192" t="str">
            <v> Ô Hướng Phòng âm thanh NTĐ</v>
          </cell>
          <cell r="C192" t="str">
            <v>HĐKT</v>
          </cell>
          <cell r="D192" t="str">
            <v>Nhà thi đấu</v>
          </cell>
          <cell r="F192" t="str">
            <v>Hoàng Văn Hướng</v>
          </cell>
          <cell r="G192" t="str">
            <v>0912223464</v>
          </cell>
          <cell r="H192" t="str">
            <v>NTĐ</v>
          </cell>
          <cell r="J192">
            <v>6120</v>
          </cell>
          <cell r="L192" t="str">
            <v>Buồng KTĐ</v>
          </cell>
          <cell r="M192" t="str">
            <v>SVĐ</v>
          </cell>
          <cell r="N192">
            <v>64</v>
          </cell>
          <cell r="Q192">
            <v>1</v>
          </cell>
          <cell r="R192">
            <v>0</v>
          </cell>
          <cell r="S192">
            <v>0</v>
          </cell>
          <cell r="T192">
            <v>0</v>
          </cell>
          <cell r="U192">
            <v>4169</v>
          </cell>
          <cell r="V192">
            <v>0</v>
          </cell>
          <cell r="W192" t="str">
            <v>Đông</v>
          </cell>
        </row>
        <row r="193">
          <cell r="A193">
            <v>189</v>
          </cell>
          <cell r="B193" t="str">
            <v xml:space="preserve"> Ô Hướng - chiếu sáng phụ + máy bơm </v>
          </cell>
          <cell r="C193" t="str">
            <v>HĐKT</v>
          </cell>
          <cell r="D193" t="str">
            <v>Nhà thi đấu</v>
          </cell>
          <cell r="F193" t="str">
            <v>Hoàng Văn Hướng</v>
          </cell>
          <cell r="G193" t="str">
            <v>0912223464</v>
          </cell>
          <cell r="H193" t="str">
            <v>NTĐ</v>
          </cell>
          <cell r="J193">
            <v>1473</v>
          </cell>
          <cell r="K193" t="str">
            <v>3 pha</v>
          </cell>
          <cell r="L193" t="str">
            <v>Buồng KTĐ</v>
          </cell>
          <cell r="M193" t="str">
            <v>SVĐ</v>
          </cell>
          <cell r="N193">
            <v>64</v>
          </cell>
          <cell r="O193">
            <v>489647</v>
          </cell>
          <cell r="P193">
            <v>488569</v>
          </cell>
          <cell r="Q193">
            <v>1</v>
          </cell>
          <cell r="R193">
            <v>1078</v>
          </cell>
          <cell r="S193">
            <v>539</v>
          </cell>
          <cell r="T193">
            <v>539</v>
          </cell>
          <cell r="U193">
            <v>4169</v>
          </cell>
          <cell r="V193">
            <v>2247091</v>
          </cell>
          <cell r="W193" t="str">
            <v>Đông</v>
          </cell>
        </row>
        <row r="194">
          <cell r="A194">
            <v>190</v>
          </cell>
          <cell r="B194" t="str">
            <v>Phòng giao dịch BIDV A17</v>
          </cell>
          <cell r="C194" t="str">
            <v>Ngân hàng TMCP Đầu tư và Phát triển CN Hà Thành</v>
          </cell>
          <cell r="D194" t="str">
            <v xml:space="preserve">Lô 5,6 tầng 1- A17 </v>
          </cell>
          <cell r="E194">
            <v>38683907</v>
          </cell>
          <cell r="F194" t="str">
            <v>Chị Tú</v>
          </cell>
          <cell r="G194" t="str">
            <v>082906666</v>
          </cell>
          <cell r="H194" t="str">
            <v>A17</v>
          </cell>
          <cell r="J194">
            <v>9278</v>
          </cell>
          <cell r="K194" t="str">
            <v>1 pha</v>
          </cell>
          <cell r="L194" t="str">
            <v>Tủ ĐN1</v>
          </cell>
          <cell r="M194" t="str">
            <v>B1</v>
          </cell>
          <cell r="N194">
            <v>65</v>
          </cell>
          <cell r="O194">
            <v>228688</v>
          </cell>
          <cell r="P194">
            <v>226340</v>
          </cell>
          <cell r="Q194">
            <v>1</v>
          </cell>
          <cell r="R194">
            <v>2348</v>
          </cell>
          <cell r="S194">
            <v>0</v>
          </cell>
          <cell r="T194">
            <v>2348</v>
          </cell>
          <cell r="U194">
            <v>4169</v>
          </cell>
          <cell r="V194">
            <v>9788812</v>
          </cell>
          <cell r="W194" t="str">
            <v>Biên</v>
          </cell>
        </row>
        <row r="195">
          <cell r="A195">
            <v>191</v>
          </cell>
          <cell r="B195" t="str">
            <v>ATM BIDV chi nhánh Hà Thành</v>
          </cell>
          <cell r="C195" t="str">
            <v>BIDV - CN Hà Thành</v>
          </cell>
          <cell r="D195" t="str">
            <v>ATM - D3</v>
          </cell>
          <cell r="E195">
            <v>38683907</v>
          </cell>
          <cell r="F195" t="str">
            <v>Chị Tú</v>
          </cell>
          <cell r="G195" t="str">
            <v>082906666</v>
          </cell>
          <cell r="H195" t="str">
            <v>D3</v>
          </cell>
          <cell r="J195">
            <v>4829</v>
          </cell>
          <cell r="K195" t="str">
            <v>1 pha</v>
          </cell>
          <cell r="L195" t="str">
            <v>Tổng D3</v>
          </cell>
          <cell r="M195" t="str">
            <v>ĐLK</v>
          </cell>
          <cell r="N195">
            <v>65</v>
          </cell>
          <cell r="O195">
            <v>25150</v>
          </cell>
          <cell r="P195">
            <v>24903</v>
          </cell>
          <cell r="Q195">
            <v>1</v>
          </cell>
          <cell r="R195">
            <v>247</v>
          </cell>
          <cell r="S195">
            <v>0</v>
          </cell>
          <cell r="T195">
            <v>247</v>
          </cell>
          <cell r="U195">
            <v>4169</v>
          </cell>
          <cell r="V195">
            <v>1029743</v>
          </cell>
          <cell r="W195" t="str">
            <v>Hoàng</v>
          </cell>
        </row>
        <row r="196">
          <cell r="A196">
            <v>192</v>
          </cell>
          <cell r="B196" t="str">
            <v>Phòng giao dịch ViettinBank A17</v>
          </cell>
          <cell r="C196" t="str">
            <v>Viettinbank- Chi nhánh HBT</v>
          </cell>
          <cell r="D196" t="str">
            <v xml:space="preserve">Lô 7,8 tầng 1- A17 </v>
          </cell>
          <cell r="E196" t="str">
            <v>38693467</v>
          </cell>
          <cell r="F196" t="str">
            <v>A Trung</v>
          </cell>
          <cell r="G196" t="str">
            <v>0903297878</v>
          </cell>
          <cell r="H196" t="str">
            <v>A17</v>
          </cell>
          <cell r="J196" t="str">
            <v>1731</v>
          </cell>
          <cell r="K196" t="str">
            <v>1 pha</v>
          </cell>
          <cell r="L196" t="str">
            <v>Tủ ĐN2</v>
          </cell>
          <cell r="M196" t="str">
            <v>B1</v>
          </cell>
          <cell r="N196">
            <v>65</v>
          </cell>
          <cell r="O196">
            <v>272595</v>
          </cell>
          <cell r="P196">
            <v>269671</v>
          </cell>
          <cell r="Q196">
            <v>1</v>
          </cell>
          <cell r="R196">
            <v>2924</v>
          </cell>
          <cell r="S196">
            <v>0</v>
          </cell>
          <cell r="T196">
            <v>2924</v>
          </cell>
          <cell r="U196">
            <v>4169</v>
          </cell>
          <cell r="V196">
            <v>12190156</v>
          </cell>
          <cell r="W196" t="str">
            <v>Biên</v>
          </cell>
        </row>
        <row r="197">
          <cell r="A197">
            <v>193</v>
          </cell>
          <cell r="B197" t="str">
            <v>ATM Ngân hàng ViettinBank</v>
          </cell>
          <cell r="C197" t="str">
            <v>Viettinbank - Chi nhánh HBT</v>
          </cell>
          <cell r="D197" t="str">
            <v>ATM - D3</v>
          </cell>
          <cell r="E197" t="str">
            <v>02438693467</v>
          </cell>
          <cell r="F197" t="str">
            <v>A Trung</v>
          </cell>
          <cell r="G197" t="str">
            <v>0903297878</v>
          </cell>
          <cell r="H197" t="str">
            <v>D3</v>
          </cell>
          <cell r="J197">
            <v>50952</v>
          </cell>
          <cell r="K197" t="str">
            <v>1 pha</v>
          </cell>
          <cell r="L197" t="str">
            <v>Tổng D3</v>
          </cell>
          <cell r="M197" t="str">
            <v>ĐLK</v>
          </cell>
          <cell r="N197">
            <v>65</v>
          </cell>
          <cell r="O197">
            <v>11280</v>
          </cell>
          <cell r="P197">
            <v>10770</v>
          </cell>
          <cell r="Q197">
            <v>1</v>
          </cell>
          <cell r="R197">
            <v>510</v>
          </cell>
          <cell r="S197">
            <v>0</v>
          </cell>
          <cell r="T197">
            <v>510</v>
          </cell>
          <cell r="U197">
            <v>4169</v>
          </cell>
          <cell r="V197">
            <v>2126190</v>
          </cell>
          <cell r="W197" t="str">
            <v>Hoàng</v>
          </cell>
        </row>
        <row r="198">
          <cell r="A198">
            <v>194</v>
          </cell>
          <cell r="B198" t="str">
            <v>ATM Agribank chi nhánh Thủ đô</v>
          </cell>
          <cell r="C198" t="str">
            <v>Agribank chi nhánh Thủ Đô</v>
          </cell>
          <cell r="D198" t="str">
            <v>ATM - D3</v>
          </cell>
          <cell r="E198">
            <v>39447683</v>
          </cell>
          <cell r="F198" t="str">
            <v>Nguyễn Thùy Nhung</v>
          </cell>
          <cell r="G198" t="str">
            <v>0987265632</v>
          </cell>
          <cell r="H198" t="str">
            <v>D3</v>
          </cell>
          <cell r="J198">
            <v>6156</v>
          </cell>
          <cell r="K198" t="str">
            <v>1 pha</v>
          </cell>
          <cell r="L198" t="str">
            <v>D3</v>
          </cell>
          <cell r="M198" t="str">
            <v>ĐLK</v>
          </cell>
          <cell r="N198">
            <v>65</v>
          </cell>
          <cell r="O198">
            <v>14198</v>
          </cell>
          <cell r="P198">
            <v>13968</v>
          </cell>
          <cell r="Q198">
            <v>1</v>
          </cell>
          <cell r="R198">
            <v>230</v>
          </cell>
          <cell r="S198">
            <v>0</v>
          </cell>
          <cell r="T198">
            <v>230</v>
          </cell>
          <cell r="U198">
            <v>4169</v>
          </cell>
          <cell r="V198">
            <v>958870</v>
          </cell>
          <cell r="W198" t="str">
            <v>Hoàng</v>
          </cell>
        </row>
        <row r="199">
          <cell r="A199">
            <v>195</v>
          </cell>
          <cell r="B199" t="str">
            <v>TT mạng lưới MobiFone  B1</v>
          </cell>
          <cell r="C199" t="str">
            <v>MobiFone</v>
          </cell>
          <cell r="D199" t="str">
            <v>BTS B1 tầng 10</v>
          </cell>
          <cell r="F199" t="str">
            <v>chị Hải</v>
          </cell>
          <cell r="G199" t="str">
            <v>0904251166</v>
          </cell>
          <cell r="H199" t="str">
            <v>B1</v>
          </cell>
          <cell r="J199">
            <v>2360</v>
          </cell>
          <cell r="K199" t="str">
            <v>1 pha</v>
          </cell>
          <cell r="L199" t="str">
            <v>B1 T10</v>
          </cell>
          <cell r="M199" t="str">
            <v>B1</v>
          </cell>
          <cell r="N199">
            <v>95</v>
          </cell>
          <cell r="O199">
            <v>82800</v>
          </cell>
          <cell r="P199">
            <v>80493</v>
          </cell>
          <cell r="Q199">
            <v>1</v>
          </cell>
          <cell r="R199">
            <v>2307</v>
          </cell>
          <cell r="S199">
            <v>0</v>
          </cell>
          <cell r="T199">
            <v>2307</v>
          </cell>
          <cell r="U199">
            <v>4169</v>
          </cell>
          <cell r="V199">
            <v>9617883</v>
          </cell>
          <cell r="W199" t="str">
            <v>Đông</v>
          </cell>
        </row>
        <row r="200">
          <cell r="A200">
            <v>196</v>
          </cell>
          <cell r="B200" t="str">
            <v>TT mạng lưới MobiFone D4</v>
          </cell>
          <cell r="C200" t="str">
            <v>MobiFone</v>
          </cell>
          <cell r="D200" t="str">
            <v>BTS tầng mái nhà D4</v>
          </cell>
          <cell r="F200" t="str">
            <v>chị Hải</v>
          </cell>
          <cell r="G200" t="str">
            <v>0904251166</v>
          </cell>
          <cell r="H200" t="str">
            <v>D4</v>
          </cell>
          <cell r="J200">
            <v>1861</v>
          </cell>
          <cell r="K200" t="str">
            <v>1 pha</v>
          </cell>
          <cell r="L200" t="str">
            <v>D4 T1</v>
          </cell>
          <cell r="M200" t="str">
            <v>TVĐT</v>
          </cell>
          <cell r="N200">
            <v>95</v>
          </cell>
          <cell r="O200">
            <v>51268</v>
          </cell>
          <cell r="P200">
            <v>48457</v>
          </cell>
          <cell r="Q200">
            <v>1</v>
          </cell>
          <cell r="R200">
            <v>2811</v>
          </cell>
          <cell r="S200">
            <v>0</v>
          </cell>
          <cell r="T200">
            <v>2811</v>
          </cell>
          <cell r="U200">
            <v>4169</v>
          </cell>
          <cell r="V200">
            <v>11719059</v>
          </cell>
          <cell r="W200" t="str">
            <v>Sơn</v>
          </cell>
        </row>
        <row r="201">
          <cell r="A201">
            <v>197</v>
          </cell>
          <cell r="B201" t="str">
            <v>Công ty cổ phần viễn thông Đông Đô</v>
          </cell>
          <cell r="C201" t="str">
            <v>Công ty CP viễn thông Đông Đô</v>
          </cell>
          <cell r="D201" t="str">
            <v>BTS tầng mái TVĐT</v>
          </cell>
          <cell r="F201" t="str">
            <v>Chị Nhung</v>
          </cell>
          <cell r="G201" t="str">
            <v>0936042348</v>
          </cell>
          <cell r="H201" t="str">
            <v>TVĐT</v>
          </cell>
          <cell r="J201">
            <v>4413</v>
          </cell>
          <cell r="K201" t="str">
            <v>1 pha</v>
          </cell>
          <cell r="L201" t="str">
            <v>TV T10</v>
          </cell>
          <cell r="M201" t="str">
            <v>TVĐT</v>
          </cell>
          <cell r="N201">
            <v>95</v>
          </cell>
          <cell r="O201">
            <v>37974</v>
          </cell>
          <cell r="P201">
            <v>33701</v>
          </cell>
          <cell r="Q201">
            <v>1</v>
          </cell>
          <cell r="R201">
            <v>4273</v>
          </cell>
          <cell r="S201">
            <v>0</v>
          </cell>
          <cell r="T201">
            <v>4273</v>
          </cell>
          <cell r="U201">
            <v>4169</v>
          </cell>
          <cell r="V201">
            <v>17814137</v>
          </cell>
          <cell r="W201" t="str">
            <v>Hoàng</v>
          </cell>
        </row>
        <row r="202">
          <cell r="A202">
            <v>198</v>
          </cell>
          <cell r="B202" t="str">
            <v xml:space="preserve">Phòng GD Viettel - cổng Parabol 
</v>
          </cell>
          <cell r="C202" t="str">
            <v>Công ty TNHH MTV dịch vụ và thương mại viettelpost</v>
          </cell>
          <cell r="D202" t="str">
            <v>Toà nhà N2, KM số 2, Đại lộ Thăng long, phường Mễ trì, quận Nam từ liêm, Thành phố Hà Nội, Việt Nam</v>
          </cell>
          <cell r="F202" t="str">
            <v>Công ty TNHH MTV dịch vụ và thương mại viettelpost</v>
          </cell>
          <cell r="G202" t="str">
            <v>0963723666</v>
          </cell>
          <cell r="J202">
            <v>13833</v>
          </cell>
          <cell r="K202" t="str">
            <v>1 pha</v>
          </cell>
          <cell r="L202" t="str">
            <v>PKTĐ D4 T1</v>
          </cell>
          <cell r="M202" t="str">
            <v>TVĐT</v>
          </cell>
          <cell r="N202">
            <v>67</v>
          </cell>
          <cell r="O202">
            <v>71148</v>
          </cell>
          <cell r="P202">
            <v>68944</v>
          </cell>
          <cell r="Q202">
            <v>1</v>
          </cell>
          <cell r="R202">
            <v>2204</v>
          </cell>
          <cell r="S202">
            <v>0</v>
          </cell>
          <cell r="T202">
            <v>2204</v>
          </cell>
          <cell r="U202">
            <v>4169</v>
          </cell>
          <cell r="V202">
            <v>9188476</v>
          </cell>
          <cell r="W202" t="str">
            <v>Sơn</v>
          </cell>
        </row>
        <row r="203">
          <cell r="A203">
            <v>199</v>
          </cell>
          <cell r="B203" t="str">
            <v>Công ty Phú Thái</v>
          </cell>
          <cell r="C203" t="str">
            <v>Công ty Phú Thái</v>
          </cell>
          <cell r="D203" t="str">
            <v>BTS Viettel tầng mái C7</v>
          </cell>
          <cell r="F203" t="str">
            <v>Chị Minh Hạnh</v>
          </cell>
          <cell r="G203" t="str">
            <v>0966283388</v>
          </cell>
          <cell r="H203" t="str">
            <v>C7</v>
          </cell>
          <cell r="J203">
            <v>5846</v>
          </cell>
          <cell r="L203" t="str">
            <v>KTĐ M8</v>
          </cell>
          <cell r="M203" t="str">
            <v>C7</v>
          </cell>
          <cell r="N203">
            <v>67</v>
          </cell>
          <cell r="O203">
            <v>2985</v>
          </cell>
          <cell r="P203">
            <v>2740</v>
          </cell>
          <cell r="Q203">
            <v>1</v>
          </cell>
          <cell r="R203">
            <v>245</v>
          </cell>
          <cell r="S203">
            <v>0</v>
          </cell>
          <cell r="T203">
            <v>245</v>
          </cell>
          <cell r="U203">
            <v>4169</v>
          </cell>
          <cell r="V203">
            <v>1021405</v>
          </cell>
          <cell r="W203" t="str">
            <v>Biên</v>
          </cell>
        </row>
        <row r="204">
          <cell r="A204">
            <v>200</v>
          </cell>
          <cell r="B204" t="str">
            <v>Công ty Phú Thái</v>
          </cell>
          <cell r="C204" t="str">
            <v>Công ty Phú Thái</v>
          </cell>
          <cell r="D204" t="str">
            <v>BTS Viettel tầng mái C7</v>
          </cell>
          <cell r="F204" t="str">
            <v>Chị Minh Hạnh</v>
          </cell>
          <cell r="G204" t="str">
            <v>0966283388</v>
          </cell>
          <cell r="H204" t="str">
            <v>C7</v>
          </cell>
          <cell r="J204">
            <v>5558</v>
          </cell>
          <cell r="K204" t="str">
            <v>1 pha</v>
          </cell>
          <cell r="L204" t="str">
            <v>KTĐ E8</v>
          </cell>
          <cell r="M204" t="str">
            <v>C7</v>
          </cell>
          <cell r="N204">
            <v>67</v>
          </cell>
          <cell r="O204">
            <v>8772</v>
          </cell>
          <cell r="P204">
            <v>8048</v>
          </cell>
          <cell r="Q204">
            <v>1</v>
          </cell>
          <cell r="R204">
            <v>724</v>
          </cell>
          <cell r="S204">
            <v>0</v>
          </cell>
          <cell r="T204">
            <v>724</v>
          </cell>
          <cell r="U204">
            <v>4169</v>
          </cell>
          <cell r="V204">
            <v>3018356</v>
          </cell>
          <cell r="W204" t="str">
            <v>Biên</v>
          </cell>
        </row>
        <row r="205">
          <cell r="A205">
            <v>201</v>
          </cell>
          <cell r="B205" t="str">
            <v>Công ty TNHH TMDVTH Đức Anh</v>
          </cell>
          <cell r="C205" t="str">
            <v>Công ty TNHH TMDVTH Đức Anh</v>
          </cell>
          <cell r="D205" t="str">
            <v>BTS Viettel tầng mái C4</v>
          </cell>
          <cell r="F205" t="str">
            <v>Anh Liêm</v>
          </cell>
          <cell r="G205" t="str">
            <v>0966669596</v>
          </cell>
          <cell r="H205" t="str">
            <v>C4</v>
          </cell>
          <cell r="J205">
            <v>8057</v>
          </cell>
          <cell r="K205" t="str">
            <v>1 pha</v>
          </cell>
          <cell r="L205" t="str">
            <v>Trạm BK2</v>
          </cell>
          <cell r="M205" t="str">
            <v>BK2</v>
          </cell>
          <cell r="N205">
            <v>67</v>
          </cell>
          <cell r="O205">
            <v>35671</v>
          </cell>
          <cell r="P205">
            <v>33721</v>
          </cell>
          <cell r="Q205">
            <v>1</v>
          </cell>
          <cell r="R205">
            <v>1950</v>
          </cell>
          <cell r="S205">
            <v>0</v>
          </cell>
          <cell r="T205">
            <v>1950</v>
          </cell>
          <cell r="U205">
            <v>4169</v>
          </cell>
          <cell r="V205">
            <v>8129550</v>
          </cell>
          <cell r="W205" t="str">
            <v>Biên</v>
          </cell>
        </row>
        <row r="206">
          <cell r="A206">
            <v>202</v>
          </cell>
          <cell r="B206" t="str">
            <v>Công ty Phú Thái</v>
          </cell>
          <cell r="C206" t="str">
            <v>Công ty Phú Thái</v>
          </cell>
          <cell r="D206" t="str">
            <v>BTS Viettel tầng mái D6</v>
          </cell>
          <cell r="F206" t="str">
            <v>Chị Minh Hạnh</v>
          </cell>
          <cell r="G206" t="str">
            <v>0966283388</v>
          </cell>
          <cell r="H206" t="str">
            <v>D6</v>
          </cell>
          <cell r="J206">
            <v>9962</v>
          </cell>
          <cell r="K206" t="str">
            <v>1 pha</v>
          </cell>
          <cell r="L206" t="str">
            <v>D6 T1</v>
          </cell>
          <cell r="M206" t="str">
            <v>TVĐT</v>
          </cell>
          <cell r="N206">
            <v>68</v>
          </cell>
          <cell r="O206">
            <v>9693</v>
          </cell>
          <cell r="P206">
            <v>6484</v>
          </cell>
          <cell r="Q206">
            <v>1</v>
          </cell>
          <cell r="R206">
            <v>3209</v>
          </cell>
          <cell r="S206">
            <v>0</v>
          </cell>
          <cell r="T206">
            <v>3209</v>
          </cell>
          <cell r="U206">
            <v>4169</v>
          </cell>
          <cell r="V206">
            <v>13378321</v>
          </cell>
          <cell r="W206" t="str">
            <v>Sơn</v>
          </cell>
        </row>
        <row r="207">
          <cell r="A207">
            <v>203</v>
          </cell>
          <cell r="B207" t="str">
            <v>Công ty Viettel - Cột KTX</v>
          </cell>
          <cell r="C207" t="str">
            <v>Công ty Viettel</v>
          </cell>
          <cell r="D207" t="str">
            <v xml:space="preserve">BTS tầng mái B10 </v>
          </cell>
          <cell r="F207" t="str">
            <v>Trương Quang Dương</v>
          </cell>
          <cell r="G207" t="str">
            <v>0332563666</v>
          </cell>
          <cell r="H207" t="str">
            <v>B10</v>
          </cell>
          <cell r="J207">
            <v>5829</v>
          </cell>
          <cell r="M207" t="str">
            <v>KTX</v>
          </cell>
          <cell r="N207">
            <v>68</v>
          </cell>
          <cell r="O207">
            <v>73382</v>
          </cell>
          <cell r="P207">
            <v>73382</v>
          </cell>
          <cell r="Q207">
            <v>1</v>
          </cell>
          <cell r="R207">
            <v>0</v>
          </cell>
          <cell r="S207">
            <v>0</v>
          </cell>
          <cell r="T207">
            <v>0</v>
          </cell>
          <cell r="U207">
            <v>4169</v>
          </cell>
          <cell r="V207">
            <v>0</v>
          </cell>
          <cell r="W207" t="str">
            <v>A.T</v>
          </cell>
        </row>
        <row r="208">
          <cell r="A208">
            <v>204</v>
          </cell>
          <cell r="B208" t="str">
            <v xml:space="preserve">Công ty Viettel - Cột B1 </v>
          </cell>
          <cell r="C208" t="str">
            <v>Công ty Viettel</v>
          </cell>
          <cell r="D208" t="str">
            <v>BTS tầng mái B1</v>
          </cell>
          <cell r="F208" t="str">
            <v>Phạm Văn Cương</v>
          </cell>
          <cell r="G208" t="str">
            <v>0975715666</v>
          </cell>
          <cell r="H208" t="str">
            <v>B1</v>
          </cell>
          <cell r="J208">
            <v>3855</v>
          </cell>
          <cell r="L208" t="str">
            <v>Tầng 10</v>
          </cell>
          <cell r="M208" t="str">
            <v>B1</v>
          </cell>
          <cell r="N208">
            <v>68</v>
          </cell>
          <cell r="O208">
            <v>9120</v>
          </cell>
          <cell r="P208">
            <v>9120</v>
          </cell>
          <cell r="Q208">
            <v>1</v>
          </cell>
          <cell r="R208">
            <v>0</v>
          </cell>
          <cell r="S208">
            <v>0</v>
          </cell>
          <cell r="T208">
            <v>0</v>
          </cell>
          <cell r="U208">
            <v>4169</v>
          </cell>
          <cell r="V208">
            <v>0</v>
          </cell>
          <cell r="W208" t="str">
            <v>A.T</v>
          </cell>
        </row>
        <row r="209">
          <cell r="A209">
            <v>205</v>
          </cell>
          <cell r="B209" t="str">
            <v xml:space="preserve">Công ty Viettel Cột TVĐT </v>
          </cell>
          <cell r="C209" t="str">
            <v>Công ty Viettel</v>
          </cell>
          <cell r="D209" t="str">
            <v>BTS tầng mái TVĐT</v>
          </cell>
          <cell r="F209" t="str">
            <v>Trương Quang Dương</v>
          </cell>
          <cell r="G209" t="str">
            <v>0332563666</v>
          </cell>
          <cell r="H209" t="str">
            <v>TVĐT</v>
          </cell>
          <cell r="J209">
            <v>4824</v>
          </cell>
          <cell r="M209" t="str">
            <v>TVĐT</v>
          </cell>
          <cell r="N209">
            <v>68</v>
          </cell>
          <cell r="O209">
            <v>69960</v>
          </cell>
          <cell r="P209">
            <v>69960</v>
          </cell>
          <cell r="Q209">
            <v>1</v>
          </cell>
          <cell r="R209">
            <v>0</v>
          </cell>
          <cell r="S209">
            <v>0</v>
          </cell>
          <cell r="T209">
            <v>0</v>
          </cell>
          <cell r="U209">
            <v>4169</v>
          </cell>
          <cell r="V209">
            <v>0</v>
          </cell>
          <cell r="W209" t="str">
            <v>A.T</v>
          </cell>
        </row>
        <row r="210">
          <cell r="A210">
            <v>206</v>
          </cell>
          <cell r="B210" t="str">
            <v>Công ty Viettel - Cột D8</v>
          </cell>
          <cell r="C210" t="str">
            <v>Công ty Viettel</v>
          </cell>
          <cell r="D210" t="str">
            <v>BTS tầng mái nhà D8</v>
          </cell>
          <cell r="F210" t="str">
            <v>Phạm Văn Cương</v>
          </cell>
          <cell r="G210" t="str">
            <v>0975715666</v>
          </cell>
          <cell r="H210" t="str">
            <v>D8</v>
          </cell>
          <cell r="J210">
            <v>3749</v>
          </cell>
          <cell r="K210" t="str">
            <v>1 pha</v>
          </cell>
          <cell r="L210" t="str">
            <v>Tầng 11</v>
          </cell>
          <cell r="M210" t="str">
            <v>BK2</v>
          </cell>
          <cell r="N210">
            <v>68</v>
          </cell>
          <cell r="O210">
            <v>10975</v>
          </cell>
          <cell r="P210">
            <v>10975</v>
          </cell>
          <cell r="Q210">
            <v>1</v>
          </cell>
          <cell r="R210">
            <v>0</v>
          </cell>
          <cell r="S210">
            <v>0</v>
          </cell>
          <cell r="T210">
            <v>0</v>
          </cell>
          <cell r="U210">
            <v>4169</v>
          </cell>
          <cell r="V210">
            <v>0</v>
          </cell>
          <cell r="W210" t="str">
            <v>A.T</v>
          </cell>
        </row>
        <row r="211">
          <cell r="A211">
            <v>207</v>
          </cell>
          <cell r="B211" t="str">
            <v>Công ty TNHH TMDVTH Đức Anh</v>
          </cell>
          <cell r="C211" t="str">
            <v>Công ty TNHH TMDVTH Đức Anh</v>
          </cell>
          <cell r="D211" t="str">
            <v>BTS Viettel tầng mái D5</v>
          </cell>
          <cell r="F211" t="str">
            <v>Anh Liêm</v>
          </cell>
          <cell r="G211" t="str">
            <v>0966669596</v>
          </cell>
          <cell r="H211" t="str">
            <v>D5</v>
          </cell>
          <cell r="J211">
            <v>1761</v>
          </cell>
          <cell r="K211" t="str">
            <v>1 pha</v>
          </cell>
          <cell r="L211" t="str">
            <v>Trạm BK2</v>
          </cell>
          <cell r="M211" t="str">
            <v>ĐLK</v>
          </cell>
          <cell r="N211">
            <v>68</v>
          </cell>
          <cell r="O211">
            <v>9087</v>
          </cell>
          <cell r="P211">
            <v>8274</v>
          </cell>
          <cell r="Q211">
            <v>1</v>
          </cell>
          <cell r="R211">
            <v>813</v>
          </cell>
          <cell r="S211">
            <v>0</v>
          </cell>
          <cell r="T211">
            <v>813</v>
          </cell>
          <cell r="U211">
            <v>4169</v>
          </cell>
          <cell r="V211">
            <v>3389397</v>
          </cell>
          <cell r="W211" t="str">
            <v>Hoàng</v>
          </cell>
        </row>
        <row r="212">
          <cell r="A212">
            <v>208</v>
          </cell>
          <cell r="B212" t="str">
            <v>Máy bán hàng Trường Hưng (t thụ)</v>
          </cell>
          <cell r="C212" t="str">
            <v>Cty CP vật tư Trường Hưng</v>
          </cell>
          <cell r="D212" t="str">
            <v>9 máy bán hàng C7, D3, D9, D8, TV, F, TC</v>
          </cell>
          <cell r="F212" t="str">
            <v>Nguyễn Việt Hưng</v>
          </cell>
          <cell r="G212" t="str">
            <v>0987936113</v>
          </cell>
          <cell r="J212" t="str">
            <v>3323, 0101,0218,0229, 1135.3535.0957</v>
          </cell>
          <cell r="K212" t="str">
            <v>1 pha</v>
          </cell>
          <cell r="M212" t="str">
            <v>D8</v>
          </cell>
          <cell r="N212">
            <v>69</v>
          </cell>
          <cell r="O212">
            <v>2760</v>
          </cell>
          <cell r="P212">
            <v>0</v>
          </cell>
          <cell r="Q212">
            <v>1</v>
          </cell>
          <cell r="R212">
            <v>2760</v>
          </cell>
          <cell r="S212">
            <v>0</v>
          </cell>
          <cell r="T212">
            <v>2760</v>
          </cell>
          <cell r="U212">
            <v>4169</v>
          </cell>
          <cell r="V212">
            <v>11506440</v>
          </cell>
          <cell r="W212" t="str">
            <v>Sơn</v>
          </cell>
        </row>
        <row r="213">
          <cell r="A213">
            <v>209</v>
          </cell>
          <cell r="B213" t="str">
            <v xml:space="preserve"> Công ty CP CN Vending Machine VN (t thụ)</v>
          </cell>
          <cell r="C213" t="str">
            <v>Cty CP CN Vending Machine VN</v>
          </cell>
          <cell r="D213" t="str">
            <v>4 máy bán hàng C10, D3, D6</v>
          </cell>
          <cell r="G213" t="str">
            <v>19004690</v>
          </cell>
          <cell r="J213" t="str">
            <v>7378, 9068,
,0086,,0183</v>
          </cell>
          <cell r="K213" t="str">
            <v>1 pha</v>
          </cell>
          <cell r="M213" t="str">
            <v>ĐLK</v>
          </cell>
          <cell r="N213">
            <v>70</v>
          </cell>
          <cell r="O213">
            <v>553</v>
          </cell>
          <cell r="P213">
            <v>0</v>
          </cell>
          <cell r="Q213">
            <v>1</v>
          </cell>
          <cell r="R213">
            <v>553</v>
          </cell>
          <cell r="S213">
            <v>0</v>
          </cell>
          <cell r="T213">
            <v>553</v>
          </cell>
          <cell r="U213">
            <v>4169</v>
          </cell>
          <cell r="V213">
            <v>2305457</v>
          </cell>
          <cell r="W213" t="str">
            <v>A.T</v>
          </cell>
        </row>
        <row r="214">
          <cell r="A214">
            <v>210</v>
          </cell>
          <cell r="B214" t="str">
            <v>Máy bán cà phê tự động (t thụ 4 máy)</v>
          </cell>
          <cell r="D214" t="str">
            <v>Sảnh D3, Sảnh TV, tầng 4 TV</v>
          </cell>
          <cell r="F214" t="str">
            <v>C. Mai</v>
          </cell>
          <cell r="G214" t="str">
            <v>0984592468</v>
          </cell>
          <cell r="J214" t="str">
            <v>7206, 7210</v>
          </cell>
          <cell r="K214" t="str">
            <v>1 pha</v>
          </cell>
          <cell r="M214" t="str">
            <v>TVĐT</v>
          </cell>
          <cell r="N214">
            <v>71</v>
          </cell>
          <cell r="O214">
            <v>1180</v>
          </cell>
          <cell r="P214">
            <v>0</v>
          </cell>
          <cell r="Q214">
            <v>1</v>
          </cell>
          <cell r="R214">
            <v>1180</v>
          </cell>
          <cell r="S214">
            <v>0</v>
          </cell>
          <cell r="T214">
            <v>1180</v>
          </cell>
          <cell r="U214">
            <v>4169</v>
          </cell>
          <cell r="V214">
            <v>4919420</v>
          </cell>
          <cell r="W214" t="str">
            <v>A.T</v>
          </cell>
        </row>
        <row r="215">
          <cell r="A215">
            <v>211</v>
          </cell>
          <cell r="B215" t="str">
            <v>Công ty CP dữ liệu số IHUB - Tủ gửi đồ</v>
          </cell>
          <cell r="C215" t="str">
            <v>Công ty CP dữ liệu số IHUB</v>
          </cell>
          <cell r="D215" t="str">
            <v>Tủ gửi đồ cổng KTX</v>
          </cell>
          <cell r="F215" t="str">
            <v xml:space="preserve"> Bảo Trân</v>
          </cell>
          <cell r="G215" t="str">
            <v>0914415742</v>
          </cell>
          <cell r="J215">
            <v>9735</v>
          </cell>
          <cell r="K215" t="str">
            <v>1 pha</v>
          </cell>
          <cell r="L215" t="str">
            <v>T1 số 10 TQB</v>
          </cell>
          <cell r="M215" t="str">
            <v>C7</v>
          </cell>
          <cell r="N215">
            <v>72</v>
          </cell>
          <cell r="O215">
            <v>757</v>
          </cell>
          <cell r="P215">
            <v>633</v>
          </cell>
          <cell r="Q215">
            <v>1</v>
          </cell>
          <cell r="R215">
            <v>124</v>
          </cell>
          <cell r="S215">
            <v>0</v>
          </cell>
          <cell r="T215">
            <v>124</v>
          </cell>
          <cell r="U215">
            <v>4169</v>
          </cell>
          <cell r="V215">
            <v>516956</v>
          </cell>
          <cell r="W215" t="str">
            <v>Biên</v>
          </cell>
        </row>
        <row r="216">
          <cell r="A216">
            <v>212</v>
          </cell>
          <cell r="B216" t="str">
            <v xml:space="preserve">Tạp chí Tự động hóa </v>
          </cell>
          <cell r="D216" t="str">
            <v>TV 803</v>
          </cell>
          <cell r="F216" t="str">
            <v>chị Giang</v>
          </cell>
          <cell r="G216" t="str">
            <v>0962365030</v>
          </cell>
          <cell r="H216" t="str">
            <v>TVĐT</v>
          </cell>
          <cell r="J216">
            <v>6957</v>
          </cell>
          <cell r="K216" t="str">
            <v>1 pha</v>
          </cell>
          <cell r="M216" t="str">
            <v>TVĐT</v>
          </cell>
          <cell r="N216">
            <v>72</v>
          </cell>
          <cell r="O216">
            <v>220</v>
          </cell>
          <cell r="P216">
            <v>62</v>
          </cell>
          <cell r="Q216">
            <v>1</v>
          </cell>
          <cell r="R216">
            <v>158</v>
          </cell>
          <cell r="S216">
            <v>0</v>
          </cell>
          <cell r="T216">
            <v>158</v>
          </cell>
          <cell r="U216">
            <v>4169</v>
          </cell>
          <cell r="V216">
            <v>658702</v>
          </cell>
          <cell r="W216" t="str">
            <v>Hoàng</v>
          </cell>
        </row>
        <row r="217">
          <cell r="A217">
            <v>213</v>
          </cell>
          <cell r="B217" t="str">
            <v>Tạp chí Tự động hóa - Đ hòa</v>
          </cell>
          <cell r="D217" t="str">
            <v>TV 803</v>
          </cell>
          <cell r="F217" t="str">
            <v>chị Giang</v>
          </cell>
          <cell r="G217" t="str">
            <v>0962365030</v>
          </cell>
          <cell r="H217" t="str">
            <v>TVĐT</v>
          </cell>
          <cell r="J217">
            <v>1984</v>
          </cell>
          <cell r="K217" t="str">
            <v>1 pha</v>
          </cell>
          <cell r="M217" t="str">
            <v>TVĐT</v>
          </cell>
          <cell r="N217">
            <v>72</v>
          </cell>
          <cell r="O217">
            <v>459</v>
          </cell>
          <cell r="P217">
            <v>99</v>
          </cell>
          <cell r="Q217">
            <v>1</v>
          </cell>
          <cell r="R217">
            <v>360</v>
          </cell>
          <cell r="S217">
            <v>0</v>
          </cell>
          <cell r="T217">
            <v>360</v>
          </cell>
          <cell r="U217">
            <v>4169</v>
          </cell>
          <cell r="V217">
            <v>1500840</v>
          </cell>
          <cell r="W217" t="str">
            <v>Hoàng</v>
          </cell>
        </row>
        <row r="218">
          <cell r="A218">
            <v>214</v>
          </cell>
          <cell r="B218" t="str">
            <v>TT mạng lưới MobiFone miền Bắc</v>
          </cell>
          <cell r="C218" t="str">
            <v>MobiFone</v>
          </cell>
          <cell r="D218" t="str">
            <v>BTS Tầng mái B10 KTX</v>
          </cell>
          <cell r="F218" t="str">
            <v>chị Hải</v>
          </cell>
          <cell r="G218" t="str">
            <v>0904251166</v>
          </cell>
          <cell r="H218" t="str">
            <v>B10</v>
          </cell>
          <cell r="J218">
            <v>9221</v>
          </cell>
          <cell r="K218" t="str">
            <v>1 pha</v>
          </cell>
          <cell r="L218" t="str">
            <v xml:space="preserve">T1 B10 </v>
          </cell>
          <cell r="M218" t="str">
            <v>KTX</v>
          </cell>
          <cell r="N218" t="str">
            <v>KTX</v>
          </cell>
          <cell r="O218">
            <v>51583</v>
          </cell>
          <cell r="P218">
            <v>51583</v>
          </cell>
          <cell r="Q218">
            <v>1</v>
          </cell>
          <cell r="R218">
            <v>0</v>
          </cell>
          <cell r="S218">
            <v>0</v>
          </cell>
          <cell r="T218">
            <v>0</v>
          </cell>
          <cell r="U218">
            <v>4169</v>
          </cell>
          <cell r="V218">
            <v>0</v>
          </cell>
          <cell r="W218" t="str">
            <v>A.L</v>
          </cell>
        </row>
        <row r="219">
          <cell r="A219">
            <v>215</v>
          </cell>
          <cell r="B219" t="str">
            <v>TT mạng lưới MobiFone miền Bắc</v>
          </cell>
          <cell r="C219" t="str">
            <v>MobiFone</v>
          </cell>
          <cell r="D219" t="str">
            <v xml:space="preserve">BTS Tầng mái B7 KTX </v>
          </cell>
          <cell r="F219" t="str">
            <v>chị Hải</v>
          </cell>
          <cell r="G219" t="str">
            <v>0904251166</v>
          </cell>
          <cell r="H219" t="str">
            <v>B7</v>
          </cell>
          <cell r="J219">
            <v>1736</v>
          </cell>
          <cell r="K219" t="str">
            <v>1 pha</v>
          </cell>
          <cell r="L219" t="str">
            <v>T1 B7</v>
          </cell>
          <cell r="M219" t="str">
            <v>KTX</v>
          </cell>
          <cell r="N219" t="str">
            <v>KTX</v>
          </cell>
          <cell r="O219">
            <v>91531</v>
          </cell>
          <cell r="P219">
            <v>91531</v>
          </cell>
          <cell r="Q219">
            <v>1</v>
          </cell>
          <cell r="R219">
            <v>0</v>
          </cell>
          <cell r="S219">
            <v>0</v>
          </cell>
          <cell r="T219">
            <v>0</v>
          </cell>
          <cell r="U219">
            <v>4169</v>
          </cell>
          <cell r="V219">
            <v>0</v>
          </cell>
          <cell r="W219" t="str">
            <v>A.L</v>
          </cell>
        </row>
        <row r="220">
          <cell r="A220">
            <v>216</v>
          </cell>
          <cell r="B220" t="str">
            <v>Cột viễn thông Vinaphone</v>
          </cell>
          <cell r="C220" t="str">
            <v>Công ty Vinaphone</v>
          </cell>
          <cell r="D220" t="str">
            <v>BTS tầng mái B10 KTX</v>
          </cell>
          <cell r="E220" t="str">
            <v>0912069998</v>
          </cell>
          <cell r="F220" t="str">
            <v>Ng Quốc Huy</v>
          </cell>
          <cell r="G220" t="str">
            <v>0904811081</v>
          </cell>
          <cell r="H220" t="str">
            <v>B10</v>
          </cell>
          <cell r="J220">
            <v>3750</v>
          </cell>
          <cell r="K220" t="str">
            <v>1 pha</v>
          </cell>
          <cell r="L220" t="str">
            <v xml:space="preserve">T1 B10 </v>
          </cell>
          <cell r="M220" t="str">
            <v>KTX</v>
          </cell>
          <cell r="N220" t="str">
            <v>KTX</v>
          </cell>
          <cell r="O220">
            <v>31847</v>
          </cell>
          <cell r="P220">
            <v>31847</v>
          </cell>
          <cell r="Q220">
            <v>1</v>
          </cell>
          <cell r="R220">
            <v>0</v>
          </cell>
          <cell r="S220">
            <v>0</v>
          </cell>
          <cell r="T220">
            <v>0</v>
          </cell>
          <cell r="U220">
            <v>4169</v>
          </cell>
          <cell r="V220">
            <v>0</v>
          </cell>
          <cell r="W220" t="str">
            <v>A.L</v>
          </cell>
        </row>
        <row r="221">
          <cell r="A221">
            <v>217</v>
          </cell>
          <cell r="B221" t="str">
            <v>Thi công sửa nhà T</v>
          </cell>
          <cell r="C221" t="str">
            <v>Công ty CP Hòa Phú</v>
          </cell>
          <cell r="E221" t="str">
            <v>0962509096</v>
          </cell>
          <cell r="F221" t="str">
            <v>A Bình</v>
          </cell>
          <cell r="G221" t="str">
            <v>0847684960</v>
          </cell>
          <cell r="H221" t="str">
            <v>T</v>
          </cell>
          <cell r="J221">
            <v>6553</v>
          </cell>
          <cell r="K221" t="str">
            <v>1 pha</v>
          </cell>
          <cell r="L221" t="str">
            <v>Trạm THCK</v>
          </cell>
          <cell r="M221" t="str">
            <v>THCK</v>
          </cell>
          <cell r="Q221">
            <v>1</v>
          </cell>
          <cell r="R221">
            <v>0</v>
          </cell>
          <cell r="S221">
            <v>0</v>
          </cell>
          <cell r="T221">
            <v>0</v>
          </cell>
          <cell r="U221">
            <v>4169</v>
          </cell>
          <cell r="V221">
            <v>0</v>
          </cell>
          <cell r="W221" t="str">
            <v>Đông</v>
          </cell>
        </row>
        <row r="222">
          <cell r="A222">
            <v>218</v>
          </cell>
          <cell r="B222" t="str">
            <v>PTN xúc tác VĐ</v>
          </cell>
          <cell r="F222" t="str">
            <v>Chị L M Thắng</v>
          </cell>
          <cell r="H222" t="str">
            <v>D8</v>
          </cell>
          <cell r="V222">
            <v>0</v>
          </cell>
          <cell r="W222" t="str">
            <v>Sơn</v>
          </cell>
        </row>
        <row r="223">
          <cell r="A223">
            <v>219</v>
          </cell>
          <cell r="B223" t="str">
            <v>Thi công sửa nhà C9</v>
          </cell>
        </row>
        <row r="224">
          <cell r="A224">
            <v>220</v>
          </cell>
          <cell r="B224" t="str">
            <v>Thi công sửa nhà D4</v>
          </cell>
        </row>
        <row r="225">
          <cell r="A225">
            <v>221</v>
          </cell>
          <cell r="B225" t="str">
            <v>Thi công sửa nhà  TV</v>
          </cell>
        </row>
        <row r="226">
          <cell r="A226">
            <v>222</v>
          </cell>
          <cell r="B226" t="str">
            <v>Thi công sửa nhà D4, B1, TV</v>
          </cell>
        </row>
        <row r="227">
          <cell r="C227" t="str">
            <v>Cộng:</v>
          </cell>
          <cell r="R227">
            <v>738236</v>
          </cell>
          <cell r="S227">
            <v>8948</v>
          </cell>
          <cell r="T227">
            <v>399994</v>
          </cell>
          <cell r="V227">
            <v>1507355636</v>
          </cell>
        </row>
        <row r="228">
          <cell r="T228" t="str">
            <v>Hà Nội, ngày 9 tháng 7 năm 2025</v>
          </cell>
        </row>
        <row r="229">
          <cell r="T229" t="str">
            <v xml:space="preserve">                        Người lập</v>
          </cell>
        </row>
      </sheetData>
      <sheetData sheetId="4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008000"/>
        </a:solidFill>
        <a:ln w="9525">
          <a:solidFill>
            <a:srgbClr val="000000"/>
          </a:solidFill>
          <a:round/>
          <a:headEnd/>
          <a:tailEnd/>
        </a:ln>
      </a:spPr>
      <a:bodyPr vertOverflow="clip" wrap="square" lIns="27432" tIns="22860" rIns="27432" bIns="0" anchor="t" upright="1"/>
      <a:lstStyle>
        <a:defPPr algn="ctr" rtl="0">
          <a:defRPr sz="1000" b="1" i="0" u="none" strike="noStrike" baseline="0">
            <a:solidFill>
              <a:srgbClr val="FFFFFF"/>
            </a:solidFill>
            <a:latin typeface="Arial"/>
            <a:cs typeface="Arial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C391-502A-41BE-934B-6986BE343090}">
  <dimension ref="A1:K27"/>
  <sheetViews>
    <sheetView showGridLines="0" showZeros="0" tabSelected="1" workbookViewId="0">
      <selection activeCell="D23" sqref="D23"/>
    </sheetView>
  </sheetViews>
  <sheetFormatPr defaultColWidth="7.140625" defaultRowHeight="12.75" x14ac:dyDescent="0.2"/>
  <cols>
    <col min="1" max="1" width="4.7109375" style="1" customWidth="1"/>
    <col min="2" max="3" width="10.42578125" style="1" customWidth="1"/>
    <col min="4" max="4" width="7.28515625" style="1" customWidth="1"/>
    <col min="5" max="5" width="10" style="1" customWidth="1"/>
    <col min="6" max="6" width="12" style="1" customWidth="1"/>
    <col min="7" max="7" width="8.28515625" style="1" customWidth="1"/>
    <col min="8" max="8" width="13.140625" style="1" customWidth="1"/>
    <col min="9" max="9" width="24.7109375" style="1" customWidth="1"/>
    <col min="10" max="16384" width="7.140625" style="1"/>
  </cols>
  <sheetData>
    <row r="1" spans="1:11" ht="14.25" x14ac:dyDescent="0.2">
      <c r="A1" s="61" t="s">
        <v>17</v>
      </c>
      <c r="B1" s="61"/>
      <c r="C1" s="61"/>
      <c r="D1" s="61"/>
      <c r="E1" s="61"/>
      <c r="F1" s="60" t="s">
        <v>16</v>
      </c>
      <c r="G1" s="60"/>
      <c r="H1" s="60"/>
      <c r="I1" s="60"/>
      <c r="J1" s="59"/>
      <c r="K1" s="59"/>
    </row>
    <row r="2" spans="1:11" ht="15" x14ac:dyDescent="0.2">
      <c r="A2" s="58" t="s">
        <v>2</v>
      </c>
      <c r="B2" s="58"/>
      <c r="C2" s="58"/>
      <c r="D2" s="58"/>
      <c r="E2" s="58"/>
      <c r="F2" s="57" t="s">
        <v>15</v>
      </c>
      <c r="G2" s="57"/>
      <c r="H2" s="57"/>
      <c r="I2" s="57"/>
      <c r="J2" s="54"/>
      <c r="K2" s="54"/>
    </row>
    <row r="3" spans="1:11" ht="15" x14ac:dyDescent="0.2">
      <c r="A3" s="56"/>
      <c r="B3" s="56"/>
      <c r="C3" s="56"/>
      <c r="D3" s="56"/>
      <c r="E3" s="56"/>
      <c r="F3" s="55"/>
      <c r="G3" s="55"/>
      <c r="H3" s="55"/>
      <c r="I3" s="55"/>
      <c r="J3" s="54"/>
      <c r="K3" s="54"/>
    </row>
    <row r="4" spans="1:11" ht="15" x14ac:dyDescent="0.25">
      <c r="A4" s="46"/>
      <c r="B4" s="46"/>
      <c r="C4" s="46"/>
      <c r="D4" s="46"/>
      <c r="E4" s="46"/>
      <c r="F4" s="46"/>
      <c r="G4" s="46"/>
      <c r="H4" s="46"/>
      <c r="I4" s="52" t="str">
        <f>CONCATENATE("Số phiếu: ",VLOOKUP(I6,[1]Data!A:W,1,0))</f>
        <v>Số phiếu: 206</v>
      </c>
    </row>
    <row r="5" spans="1:11" ht="15.75" x14ac:dyDescent="0.25">
      <c r="A5" s="53" t="str">
        <f>CONCATENATE("Kính gửi: ",VLOOKUP(I6,[1]Data!A:W,2,0))</f>
        <v>Kính gửi: Công ty Viettel - Cột D8</v>
      </c>
      <c r="B5" s="3"/>
      <c r="C5" s="3"/>
      <c r="D5" s="3"/>
      <c r="E5" s="3"/>
      <c r="F5" s="3"/>
      <c r="G5" s="3"/>
      <c r="H5" s="3"/>
      <c r="I5" s="3"/>
      <c r="J5" s="49"/>
      <c r="K5" s="49"/>
    </row>
    <row r="6" spans="1:11" ht="14.25" x14ac:dyDescent="0.2">
      <c r="A6" s="51"/>
      <c r="B6" s="52"/>
      <c r="C6" s="51"/>
      <c r="D6" s="51"/>
      <c r="E6" s="51"/>
      <c r="F6" s="51"/>
      <c r="G6" s="51"/>
      <c r="H6" s="51"/>
      <c r="I6" s="50">
        <f>'[1]In phieu thu'!C6</f>
        <v>206</v>
      </c>
      <c r="J6" s="49"/>
      <c r="K6" s="49"/>
    </row>
    <row r="7" spans="1:11" s="46" customFormat="1" ht="15" x14ac:dyDescent="0.25">
      <c r="A7" s="45" t="str">
        <f>CONCATENATE("Địa chỉ hộ tiêu thụ: ",VLOOKUP(I6,[1]Data!A:W,4,0),".")</f>
        <v>Địa chỉ hộ tiêu thụ: BTS tầng mái nhà D8.</v>
      </c>
      <c r="C7" s="48"/>
      <c r="I7" s="47" t="str">
        <f>CONCATENATE("Điện thoại: ",VLOOKUP(I6,[1]Data!A:W,5,0),".")</f>
        <v>Điện thoại: .</v>
      </c>
    </row>
    <row r="8" spans="1:11" s="46" customFormat="1" ht="15" x14ac:dyDescent="0.25">
      <c r="A8" s="45" t="str">
        <f>CONCATENATE("Đại diện: ",VLOOKUP(I6,[1]Data!A:W,6,0),".")</f>
        <v>Đại diện: Phạm Văn Cương.</v>
      </c>
      <c r="I8" s="47" t="str">
        <f>CONCATENATE("Điện thoại: ",VLOOKUP(I6,[1]Data!A:W,7,0),".")</f>
        <v>Điện thoại: 0975715666.</v>
      </c>
    </row>
    <row r="9" spans="1:11" ht="15" x14ac:dyDescent="0.25">
      <c r="A9" s="45"/>
    </row>
    <row r="10" spans="1:11" ht="14.25" customHeight="1" x14ac:dyDescent="0.2">
      <c r="A10" s="42" t="s">
        <v>14</v>
      </c>
      <c r="B10" s="42" t="s">
        <v>13</v>
      </c>
      <c r="C10" s="42" t="s">
        <v>12</v>
      </c>
      <c r="D10" s="42" t="s">
        <v>11</v>
      </c>
      <c r="E10" s="43" t="s">
        <v>10</v>
      </c>
      <c r="F10" s="42" t="s">
        <v>9</v>
      </c>
      <c r="G10" s="42" t="s">
        <v>8</v>
      </c>
      <c r="H10" s="42" t="s">
        <v>7</v>
      </c>
      <c r="I10" s="44" t="str">
        <f>CONCATENATE("Số công tơ: ",VLOOKUP(I6,[1]Data!A:W,10,0),".")</f>
        <v>Số công tơ: 3749.</v>
      </c>
      <c r="J10" s="40"/>
      <c r="K10" s="40"/>
    </row>
    <row r="11" spans="1:11" ht="14.25" customHeight="1" x14ac:dyDescent="0.2">
      <c r="A11" s="42"/>
      <c r="B11" s="42"/>
      <c r="C11" s="42"/>
      <c r="D11" s="42"/>
      <c r="E11" s="43"/>
      <c r="F11" s="42"/>
      <c r="G11" s="42"/>
      <c r="H11" s="42"/>
      <c r="I11" s="41"/>
      <c r="J11" s="40"/>
      <c r="K11" s="40"/>
    </row>
    <row r="12" spans="1:11" x14ac:dyDescent="0.2">
      <c r="A12" s="42"/>
      <c r="B12" s="42"/>
      <c r="C12" s="42"/>
      <c r="D12" s="42"/>
      <c r="E12" s="43"/>
      <c r="F12" s="42"/>
      <c r="G12" s="42"/>
      <c r="H12" s="42"/>
      <c r="I12" s="41"/>
      <c r="J12" s="40"/>
      <c r="K12" s="40"/>
    </row>
    <row r="13" spans="1:11" ht="14.25" customHeight="1" x14ac:dyDescent="0.2">
      <c r="A13" s="39">
        <v>1</v>
      </c>
      <c r="B13" s="38">
        <f>VLOOKUP(I6,[1]Data!A:W,15,0)</f>
        <v>10975</v>
      </c>
      <c r="C13" s="38">
        <f>VLOOKUP(I6,[1]Data!A:W,16,0)</f>
        <v>10975</v>
      </c>
      <c r="D13" s="37">
        <f>VLOOKUP(I6,[1]Data!A:W,17,0)</f>
        <v>1</v>
      </c>
      <c r="E13" s="37">
        <f>(B13-C13)*D13</f>
        <v>0</v>
      </c>
      <c r="F13" s="36">
        <f>VLOOKUP(I6,[1]Data!A:W,19,0)</f>
        <v>0</v>
      </c>
      <c r="G13" s="36">
        <f>VLOOKUP(I6,[1]Data!A:W,21,0)</f>
        <v>4169</v>
      </c>
      <c r="H13" s="36">
        <f>IF((E13-F13)&gt;0,(E13-F13)*G13,0)</f>
        <v>0</v>
      </c>
      <c r="I13" s="31" t="str">
        <f>CONCATENATE("Vị trí đặt: ",VLOOKUP(I6,[1]Data!A:W,12,0),".")</f>
        <v>Vị trí đặt: Tầng 11.</v>
      </c>
      <c r="J13" s="8"/>
      <c r="K13" s="8"/>
    </row>
    <row r="14" spans="1:11" ht="15" x14ac:dyDescent="0.2">
      <c r="A14" s="34"/>
      <c r="B14" s="35"/>
      <c r="C14" s="35"/>
      <c r="D14" s="34"/>
      <c r="E14" s="33"/>
      <c r="F14" s="32"/>
      <c r="G14" s="32"/>
      <c r="H14" s="32"/>
      <c r="I14" s="31"/>
      <c r="J14" s="8"/>
      <c r="K14" s="8"/>
    </row>
    <row r="15" spans="1:11" ht="15" x14ac:dyDescent="0.2">
      <c r="A15" s="30"/>
      <c r="B15" s="29"/>
      <c r="C15" s="29"/>
      <c r="D15" s="28"/>
      <c r="E15" s="27"/>
      <c r="F15" s="29"/>
      <c r="G15" s="24"/>
      <c r="H15" s="24"/>
      <c r="I15" s="23" t="str">
        <f>CONCATENATE("TBA: ",VLOOKUP(I6,[1]Data!A:W,13,0),".")</f>
        <v>TBA: BK2.</v>
      </c>
      <c r="J15" s="8"/>
      <c r="K15" s="8"/>
    </row>
    <row r="16" spans="1:11" ht="15" x14ac:dyDescent="0.2">
      <c r="A16" s="30"/>
      <c r="B16" s="29"/>
      <c r="C16" s="29"/>
      <c r="D16" s="28"/>
      <c r="E16" s="27"/>
      <c r="F16" s="26"/>
      <c r="G16" s="24"/>
      <c r="H16" s="24"/>
      <c r="I16" s="23" t="str">
        <f>CONCATENATE("Mã sổ: ",VLOOKUP(I6,[1]Data!A:W,8,0),".")</f>
        <v>Mã sổ: D8.</v>
      </c>
      <c r="J16" s="8"/>
      <c r="K16" s="8"/>
    </row>
    <row r="17" spans="1:11" ht="15" x14ac:dyDescent="0.2">
      <c r="A17" s="30"/>
      <c r="B17" s="29"/>
      <c r="C17" s="28"/>
      <c r="D17" s="28"/>
      <c r="E17" s="27"/>
      <c r="F17" s="26"/>
      <c r="G17" s="25"/>
      <c r="H17" s="24"/>
      <c r="I17" s="23" t="str">
        <f>CONCATENATE("Trang: ",VLOOKUP(I6,[1]Data!A:W,9,0),".")</f>
        <v>Trang: .</v>
      </c>
      <c r="J17" s="8"/>
      <c r="K17" s="8"/>
    </row>
    <row r="18" spans="1:11" ht="14.25" x14ac:dyDescent="0.2">
      <c r="A18" s="22"/>
      <c r="B18" s="21"/>
      <c r="C18" s="20"/>
      <c r="D18" s="20"/>
      <c r="E18" s="19"/>
      <c r="F18" s="18"/>
      <c r="G18" s="17" t="s">
        <v>6</v>
      </c>
      <c r="H18" s="16">
        <f>SUM(H13:H17)</f>
        <v>0</v>
      </c>
      <c r="I18" s="15" t="s">
        <v>5</v>
      </c>
      <c r="J18" s="8"/>
      <c r="K18" s="8"/>
    </row>
    <row r="19" spans="1:11" ht="14.25" x14ac:dyDescent="0.2">
      <c r="A19" s="14" t="e">
        <f ca="1">CONCATENATE("Bằng chữ: ",doi_font(doichu(H18)),"./.")</f>
        <v>#NAME?</v>
      </c>
      <c r="B19" s="13"/>
      <c r="C19" s="13"/>
      <c r="D19" s="13"/>
      <c r="E19" s="13"/>
      <c r="F19" s="13"/>
      <c r="G19" s="13"/>
      <c r="H19" s="12"/>
      <c r="I19" s="11" t="s">
        <v>4</v>
      </c>
      <c r="J19" s="8"/>
      <c r="K19" s="8"/>
    </row>
    <row r="20" spans="1:11" ht="6.75" customHeight="1" x14ac:dyDescent="0.2">
      <c r="A20" s="10"/>
      <c r="C20" s="4"/>
    </row>
    <row r="21" spans="1:11" s="8" customFormat="1" ht="15.75" x14ac:dyDescent="0.2">
      <c r="A21" s="7"/>
      <c r="B21" s="7"/>
      <c r="C21" s="7"/>
      <c r="D21" s="7"/>
      <c r="E21" s="7"/>
      <c r="H21" s="9" t="s">
        <v>3</v>
      </c>
      <c r="I21" s="9"/>
    </row>
    <row r="22" spans="1:11" s="5" customFormat="1" ht="15" x14ac:dyDescent="0.2">
      <c r="A22" s="7" t="s">
        <v>2</v>
      </c>
      <c r="B22" s="7"/>
      <c r="C22" s="7"/>
      <c r="D22" s="7"/>
      <c r="E22" s="7"/>
      <c r="F22" s="6"/>
      <c r="G22" s="6"/>
      <c r="H22" s="7" t="s">
        <v>1</v>
      </c>
      <c r="I22" s="7"/>
      <c r="J22" s="6"/>
      <c r="K22" s="6"/>
    </row>
    <row r="23" spans="1:11" x14ac:dyDescent="0.2">
      <c r="C23" s="4"/>
    </row>
    <row r="24" spans="1:11" ht="12" customHeight="1" x14ac:dyDescent="0.2"/>
    <row r="27" spans="1:11" ht="15.75" x14ac:dyDescent="0.25">
      <c r="A27" s="3"/>
      <c r="B27" s="3"/>
      <c r="C27" s="3"/>
      <c r="D27" s="3"/>
      <c r="E27" s="3"/>
      <c r="H27" s="2" t="s">
        <v>0</v>
      </c>
      <c r="I27" s="2"/>
    </row>
  </sheetData>
  <sheetProtection formatCells="0" formatColumns="0" formatRows="0" insertColumns="0" insertRows="0" insertHyperlinks="0" deleteColumns="0" deleteRows="0" sort="0" autoFilter="0" pivotTables="0"/>
  <mergeCells count="23">
    <mergeCell ref="I10:I12"/>
    <mergeCell ref="A5:I5"/>
    <mergeCell ref="A3:E3"/>
    <mergeCell ref="A10:A12"/>
    <mergeCell ref="H10:H12"/>
    <mergeCell ref="A1:E1"/>
    <mergeCell ref="F1:I1"/>
    <mergeCell ref="C10:C12"/>
    <mergeCell ref="E10:E12"/>
    <mergeCell ref="A2:E2"/>
    <mergeCell ref="F2:I2"/>
    <mergeCell ref="F10:F12"/>
    <mergeCell ref="D10:D12"/>
    <mergeCell ref="I13:I14"/>
    <mergeCell ref="A27:E27"/>
    <mergeCell ref="H27:I27"/>
    <mergeCell ref="G10:G12"/>
    <mergeCell ref="H21:I21"/>
    <mergeCell ref="H22:I22"/>
    <mergeCell ref="A19:H19"/>
    <mergeCell ref="B10:B12"/>
    <mergeCell ref="A21:E21"/>
    <mergeCell ref="A22:E22"/>
  </mergeCells>
  <printOptions horizontalCentered="1"/>
  <pageMargins left="0.2" right="0.2" top="0.25" bottom="0.25" header="0" footer="0"/>
  <pageSetup paperSize="1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Mẫu phiếu thông báo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</dc:creator>
  <cp:lastModifiedBy>Nam</cp:lastModifiedBy>
  <dcterms:created xsi:type="dcterms:W3CDTF">2025-12-06T06:01:46Z</dcterms:created>
  <dcterms:modified xsi:type="dcterms:W3CDTF">2025-12-06T06:02:02Z</dcterms:modified>
</cp:coreProperties>
</file>