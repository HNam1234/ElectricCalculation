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usteduvn-my.sharepoint.com/personal/van_nguyenngoc_hust_edu_vn/Documents/Duan2025/Tổng hợp thu chi tiền điện/"/>
    </mc:Choice>
  </mc:AlternateContent>
  <xr:revisionPtr revIDLastSave="0" documentId="8_{BBE87AD8-7E88-4384-AF62-B9E7735D037E}" xr6:coauthVersionLast="47" xr6:coauthVersionMax="47" xr10:uidLastSave="{00000000-0000-0000-0000-000000000000}"/>
  <bookViews>
    <workbookView xWindow="-120" yWindow="-120" windowWidth="29040" windowHeight="15720" tabRatio="620" activeTab="4" xr2:uid="{A497420B-4E94-47EB-AB90-6FC811E94958}"/>
  </bookViews>
  <sheets>
    <sheet name="In phieu thu" sheetId="1" r:id="rId1"/>
    <sheet name="Bảng kê" sheetId="22" r:id="rId2"/>
    <sheet name="Mẫu phiếu thông báo" sheetId="4" r:id="rId3"/>
    <sheet name="Phiếu thông báo" sheetId="5" r:id="rId4"/>
    <sheet name="Data" sheetId="9" r:id="rId5"/>
    <sheet name="Ban  in so" sheetId="23" r:id="rId6"/>
    <sheet name="Chart2" sheetId="29" r:id="rId7"/>
    <sheet name="Chart1" sheetId="14" r:id="rId8"/>
    <sheet name="Trường Cơ khí" sheetId="24" r:id="rId9"/>
    <sheet name="Trường Điện - Điện tử" sheetId="25" r:id="rId10"/>
    <sheet name="Trường CNTT " sheetId="26" r:id="rId11"/>
    <sheet name="Trường Hóa &amp; KHSS" sheetId="27" r:id="rId12"/>
    <sheet name="Trường Vật liệu" sheetId="28" r:id="rId13"/>
  </sheets>
  <definedNames>
    <definedName name="_xlnm._FilterDatabase" localSheetId="1" hidden="1">'Bảng kê'!$A$3:$Y$141</definedName>
    <definedName name="_xlnm._FilterDatabase" localSheetId="4" hidden="1">Data!$A$3:$W$229</definedName>
    <definedName name="A">'Mẫu phiếu thông báo'!$A$3</definedName>
    <definedName name="MaKH" localSheetId="4">Data!#REF!</definedName>
    <definedName name="MaKH">'In phieu thu'!#REF!</definedName>
    <definedName name="_xlnm.Print_Titles" localSheetId="4">Data!$3:$3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7" i="9" l="1"/>
  <c r="T217" i="9" s="1"/>
  <c r="V217" i="9" s="1"/>
  <c r="R216" i="9"/>
  <c r="T216" i="9" s="1"/>
  <c r="V216" i="9" s="1"/>
  <c r="R45" i="9"/>
  <c r="R108" i="9"/>
  <c r="T108" i="9" s="1"/>
  <c r="V108" i="9" s="1"/>
  <c r="R64" i="9"/>
  <c r="T64" i="9" s="1"/>
  <c r="V64" i="9" s="1"/>
  <c r="R215" i="9"/>
  <c r="T215" i="9" s="1"/>
  <c r="V215" i="9" s="1"/>
  <c r="R136" i="22"/>
  <c r="T136" i="22"/>
  <c r="V136" i="22" s="1"/>
  <c r="R135" i="22"/>
  <c r="T135" i="22" s="1"/>
  <c r="V135" i="22" s="1"/>
  <c r="R134" i="22"/>
  <c r="T134" i="22"/>
  <c r="V134" i="22" s="1"/>
  <c r="R133" i="22"/>
  <c r="T133" i="22" s="1"/>
  <c r="V133" i="22" s="1"/>
  <c r="R132" i="22"/>
  <c r="T132" i="22"/>
  <c r="V132" i="22" s="1"/>
  <c r="R131" i="22"/>
  <c r="T131" i="22" s="1"/>
  <c r="V131" i="22" s="1"/>
  <c r="R130" i="22"/>
  <c r="T130" i="22"/>
  <c r="V130" i="22" s="1"/>
  <c r="R129" i="22"/>
  <c r="T129" i="22" s="1"/>
  <c r="V129" i="22"/>
  <c r="R128" i="22"/>
  <c r="T128" i="22"/>
  <c r="V128" i="22" s="1"/>
  <c r="R127" i="22"/>
  <c r="T127" i="22" s="1"/>
  <c r="V127" i="22" s="1"/>
  <c r="R126" i="22"/>
  <c r="T126" i="22"/>
  <c r="V126" i="22" s="1"/>
  <c r="R125" i="22"/>
  <c r="T125" i="22" s="1"/>
  <c r="V125" i="22" s="1"/>
  <c r="R124" i="22"/>
  <c r="T124" i="22"/>
  <c r="V124" i="22" s="1"/>
  <c r="R123" i="22"/>
  <c r="T123" i="22" s="1"/>
  <c r="V123" i="22" s="1"/>
  <c r="R122" i="22"/>
  <c r="T122" i="22"/>
  <c r="V122" i="22" s="1"/>
  <c r="R121" i="22"/>
  <c r="T121" i="22" s="1"/>
  <c r="V121" i="22"/>
  <c r="R120" i="22"/>
  <c r="T120" i="22"/>
  <c r="V120" i="22" s="1"/>
  <c r="R119" i="22"/>
  <c r="T119" i="22" s="1"/>
  <c r="V119" i="22" s="1"/>
  <c r="R118" i="22"/>
  <c r="T118" i="22"/>
  <c r="V118" i="22" s="1"/>
  <c r="R117" i="22"/>
  <c r="T117" i="22" s="1"/>
  <c r="V117" i="22" s="1"/>
  <c r="R116" i="22"/>
  <c r="T116" i="22"/>
  <c r="V116" i="22" s="1"/>
  <c r="R115" i="22"/>
  <c r="T115" i="22" s="1"/>
  <c r="V115" i="22" s="1"/>
  <c r="R114" i="22"/>
  <c r="T114" i="22"/>
  <c r="V114" i="22" s="1"/>
  <c r="R113" i="22"/>
  <c r="T113" i="22" s="1"/>
  <c r="V113" i="22"/>
  <c r="R112" i="22"/>
  <c r="S112" i="22"/>
  <c r="T112" i="22" s="1"/>
  <c r="V112" i="22" s="1"/>
  <c r="R111" i="22"/>
  <c r="S111" i="22"/>
  <c r="T111" i="22" s="1"/>
  <c r="V111" i="22" s="1"/>
  <c r="R110" i="22"/>
  <c r="T110" i="22"/>
  <c r="V110" i="22" s="1"/>
  <c r="R109" i="22"/>
  <c r="T109" i="22" s="1"/>
  <c r="V109" i="22" s="1"/>
  <c r="R108" i="22"/>
  <c r="T108" i="22"/>
  <c r="V108" i="22" s="1"/>
  <c r="R107" i="22"/>
  <c r="T107" i="22" s="1"/>
  <c r="V107" i="22" s="1"/>
  <c r="R106" i="22"/>
  <c r="S106" i="22"/>
  <c r="R105" i="22"/>
  <c r="T105" i="22"/>
  <c r="V105" i="22" s="1"/>
  <c r="R104" i="22"/>
  <c r="T104" i="22" s="1"/>
  <c r="V104" i="22" s="1"/>
  <c r="R103" i="22"/>
  <c r="T103" i="22"/>
  <c r="V103" i="22" s="1"/>
  <c r="R102" i="22"/>
  <c r="T102" i="22" s="1"/>
  <c r="V102" i="22" s="1"/>
  <c r="R101" i="22"/>
  <c r="T101" i="22"/>
  <c r="V101" i="22" s="1"/>
  <c r="R100" i="22"/>
  <c r="T100" i="22" s="1"/>
  <c r="V100" i="22" s="1"/>
  <c r="R99" i="22"/>
  <c r="T99" i="22"/>
  <c r="V99" i="22" s="1"/>
  <c r="R98" i="22"/>
  <c r="T98" i="22" s="1"/>
  <c r="V98" i="22" s="1"/>
  <c r="R97" i="22"/>
  <c r="T97" i="22"/>
  <c r="V97" i="22" s="1"/>
  <c r="R96" i="22"/>
  <c r="T96" i="22" s="1"/>
  <c r="V96" i="22" s="1"/>
  <c r="R95" i="22"/>
  <c r="T95" i="22"/>
  <c r="V95" i="22" s="1"/>
  <c r="R94" i="22"/>
  <c r="T94" i="22" s="1"/>
  <c r="V94" i="22" s="1"/>
  <c r="R93" i="22"/>
  <c r="T93" i="22"/>
  <c r="V93" i="22" s="1"/>
  <c r="R92" i="22"/>
  <c r="T92" i="22" s="1"/>
  <c r="V92" i="22"/>
  <c r="R91" i="22"/>
  <c r="T91" i="22"/>
  <c r="V91" i="22" s="1"/>
  <c r="R90" i="22"/>
  <c r="T90" i="22" s="1"/>
  <c r="V90" i="22" s="1"/>
  <c r="R89" i="22"/>
  <c r="T89" i="22"/>
  <c r="V89" i="22" s="1"/>
  <c r="R88" i="22"/>
  <c r="T88" i="22" s="1"/>
  <c r="V88" i="22" s="1"/>
  <c r="R87" i="22"/>
  <c r="T87" i="22"/>
  <c r="V87" i="22" s="1"/>
  <c r="R86" i="22"/>
  <c r="T86" i="22" s="1"/>
  <c r="V86" i="22" s="1"/>
  <c r="R85" i="22"/>
  <c r="T85" i="22"/>
  <c r="V85" i="22" s="1"/>
  <c r="R84" i="22"/>
  <c r="T84" i="22" s="1"/>
  <c r="V84" i="22" s="1"/>
  <c r="R83" i="22"/>
  <c r="T83" i="22"/>
  <c r="V83" i="22" s="1"/>
  <c r="R82" i="22"/>
  <c r="T82" i="22" s="1"/>
  <c r="V82" i="22" s="1"/>
  <c r="R81" i="22"/>
  <c r="T81" i="22"/>
  <c r="V81" i="22" s="1"/>
  <c r="R80" i="22"/>
  <c r="T80" i="22" s="1"/>
  <c r="V80" i="22" s="1"/>
  <c r="R79" i="22"/>
  <c r="T79" i="22"/>
  <c r="V79" i="22" s="1"/>
  <c r="R78" i="22"/>
  <c r="T78" i="22" s="1"/>
  <c r="V78" i="22" s="1"/>
  <c r="R77" i="22"/>
  <c r="T77" i="22"/>
  <c r="V77" i="22" s="1"/>
  <c r="R76" i="22"/>
  <c r="T76" i="22" s="1"/>
  <c r="V76" i="22"/>
  <c r="R75" i="22"/>
  <c r="T75" i="22"/>
  <c r="V75" i="22" s="1"/>
  <c r="R74" i="22"/>
  <c r="T74" i="22" s="1"/>
  <c r="V74" i="22" s="1"/>
  <c r="R73" i="22"/>
  <c r="T73" i="22"/>
  <c r="V73" i="22" s="1"/>
  <c r="R72" i="22"/>
  <c r="T72" i="22" s="1"/>
  <c r="V72" i="22" s="1"/>
  <c r="R71" i="22"/>
  <c r="T71" i="22"/>
  <c r="V71" i="22" s="1"/>
  <c r="R70" i="22"/>
  <c r="T70" i="22" s="1"/>
  <c r="V70" i="22" s="1"/>
  <c r="R69" i="22"/>
  <c r="T69" i="22"/>
  <c r="V69" i="22" s="1"/>
  <c r="R68" i="22"/>
  <c r="T68" i="22" s="1"/>
  <c r="V68" i="22" s="1"/>
  <c r="R67" i="22"/>
  <c r="T67" i="22"/>
  <c r="V67" i="22" s="1"/>
  <c r="R66" i="22"/>
  <c r="T66" i="22" s="1"/>
  <c r="V66" i="22" s="1"/>
  <c r="R65" i="22"/>
  <c r="T65" i="22"/>
  <c r="V65" i="22" s="1"/>
  <c r="R64" i="22"/>
  <c r="T64" i="22" s="1"/>
  <c r="V64" i="22" s="1"/>
  <c r="R63" i="22"/>
  <c r="T63" i="22"/>
  <c r="V63" i="22" s="1"/>
  <c r="R62" i="22"/>
  <c r="T62" i="22" s="1"/>
  <c r="V62" i="22" s="1"/>
  <c r="R61" i="22"/>
  <c r="T61" i="22"/>
  <c r="V61" i="22" s="1"/>
  <c r="R60" i="22"/>
  <c r="T60" i="22" s="1"/>
  <c r="V60" i="22"/>
  <c r="R59" i="22"/>
  <c r="T59" i="22"/>
  <c r="V59" i="22" s="1"/>
  <c r="R58" i="22"/>
  <c r="T58" i="22" s="1"/>
  <c r="V58" i="22" s="1"/>
  <c r="R57" i="22"/>
  <c r="T57" i="22"/>
  <c r="R56" i="22"/>
  <c r="T56" i="22"/>
  <c r="V56" i="22" s="1"/>
  <c r="R55" i="22"/>
  <c r="T55" i="22" s="1"/>
  <c r="V55" i="22" s="1"/>
  <c r="R54" i="22"/>
  <c r="T54" i="22"/>
  <c r="V54" i="22" s="1"/>
  <c r="R53" i="22"/>
  <c r="T53" i="22" s="1"/>
  <c r="V53" i="22" s="1"/>
  <c r="R52" i="22"/>
  <c r="T52" i="22"/>
  <c r="V52" i="22" s="1"/>
  <c r="R51" i="22"/>
  <c r="T51" i="22" s="1"/>
  <c r="V51" i="22" s="1"/>
  <c r="R50" i="22"/>
  <c r="T50" i="22"/>
  <c r="V50" i="22" s="1"/>
  <c r="R49" i="22"/>
  <c r="T49" i="22" s="1"/>
  <c r="V49" i="22"/>
  <c r="R48" i="22"/>
  <c r="T48" i="22"/>
  <c r="V48" i="22" s="1"/>
  <c r="R47" i="22"/>
  <c r="T47" i="22" s="1"/>
  <c r="V47" i="22" s="1"/>
  <c r="R46" i="22"/>
  <c r="T46" i="22"/>
  <c r="V46" i="22" s="1"/>
  <c r="R45" i="22"/>
  <c r="T45" i="22" s="1"/>
  <c r="V45" i="22" s="1"/>
  <c r="R44" i="22"/>
  <c r="T44" i="22"/>
  <c r="V44" i="22" s="1"/>
  <c r="R43" i="22"/>
  <c r="T43" i="22" s="1"/>
  <c r="V43" i="22" s="1"/>
  <c r="R42" i="22"/>
  <c r="T42" i="22"/>
  <c r="V42" i="22" s="1"/>
  <c r="R41" i="22"/>
  <c r="T41" i="22" s="1"/>
  <c r="V41" i="22" s="1"/>
  <c r="R40" i="22"/>
  <c r="T40" i="22"/>
  <c r="V40" i="22" s="1"/>
  <c r="R39" i="22"/>
  <c r="T39" i="22" s="1"/>
  <c r="V39" i="22" s="1"/>
  <c r="R38" i="22"/>
  <c r="T38" i="22"/>
  <c r="V38" i="22" s="1"/>
  <c r="R37" i="22"/>
  <c r="T37" i="22" s="1"/>
  <c r="V37" i="22" s="1"/>
  <c r="R36" i="22"/>
  <c r="T36" i="22"/>
  <c r="V36" i="22" s="1"/>
  <c r="R35" i="22"/>
  <c r="T35" i="22" s="1"/>
  <c r="V35" i="22" s="1"/>
  <c r="R34" i="22"/>
  <c r="T34" i="22"/>
  <c r="V34" i="22" s="1"/>
  <c r="R33" i="22"/>
  <c r="T33" i="22" s="1"/>
  <c r="V33" i="22"/>
  <c r="R32" i="22"/>
  <c r="T32" i="22"/>
  <c r="V32" i="22" s="1"/>
  <c r="R31" i="22"/>
  <c r="T31" i="22" s="1"/>
  <c r="V31" i="22" s="1"/>
  <c r="R30" i="22"/>
  <c r="T30" i="22"/>
  <c r="V30" i="22" s="1"/>
  <c r="R29" i="22"/>
  <c r="T29" i="22" s="1"/>
  <c r="V29" i="22" s="1"/>
  <c r="R28" i="22"/>
  <c r="T28" i="22"/>
  <c r="V28" i="22" s="1"/>
  <c r="R27" i="22"/>
  <c r="T27" i="22" s="1"/>
  <c r="V27" i="22" s="1"/>
  <c r="R26" i="22"/>
  <c r="T26" i="22"/>
  <c r="V26" i="22" s="1"/>
  <c r="R25" i="22"/>
  <c r="T25" i="22" s="1"/>
  <c r="V25" i="22" s="1"/>
  <c r="R24" i="22"/>
  <c r="T24" i="22"/>
  <c r="V24" i="22" s="1"/>
  <c r="R23" i="22"/>
  <c r="T23" i="22" s="1"/>
  <c r="V23" i="22" s="1"/>
  <c r="R22" i="22"/>
  <c r="T22" i="22"/>
  <c r="V22" i="22" s="1"/>
  <c r="R21" i="22"/>
  <c r="T21" i="22" s="1"/>
  <c r="V21" i="22" s="1"/>
  <c r="R20" i="22"/>
  <c r="T20" i="22"/>
  <c r="V20" i="22" s="1"/>
  <c r="R19" i="22"/>
  <c r="T19" i="22" s="1"/>
  <c r="V19" i="22" s="1"/>
  <c r="R18" i="22"/>
  <c r="T18" i="22"/>
  <c r="V18" i="22" s="1"/>
  <c r="R17" i="22"/>
  <c r="T17" i="22" s="1"/>
  <c r="V17" i="22"/>
  <c r="R16" i="22"/>
  <c r="T16" i="22"/>
  <c r="V16" i="22" s="1"/>
  <c r="R15" i="22"/>
  <c r="T15" i="22" s="1"/>
  <c r="V15" i="22" s="1"/>
  <c r="R14" i="22"/>
  <c r="T14" i="22"/>
  <c r="V14" i="22" s="1"/>
  <c r="R13" i="22"/>
  <c r="T13" i="22" s="1"/>
  <c r="V13" i="22" s="1"/>
  <c r="R12" i="22"/>
  <c r="T12" i="22"/>
  <c r="V12" i="22" s="1"/>
  <c r="R11" i="22"/>
  <c r="T11" i="22" s="1"/>
  <c r="V11" i="22" s="1"/>
  <c r="R10" i="22"/>
  <c r="T10" i="22"/>
  <c r="V10" i="22" s="1"/>
  <c r="R9" i="22"/>
  <c r="T9" i="22" s="1"/>
  <c r="V9" i="22" s="1"/>
  <c r="R8" i="22"/>
  <c r="T8" i="22"/>
  <c r="V8" i="22" s="1"/>
  <c r="R7" i="22"/>
  <c r="T7" i="22" s="1"/>
  <c r="V7" i="22" s="1"/>
  <c r="R6" i="22"/>
  <c r="R5" i="22"/>
  <c r="T5" i="22" s="1"/>
  <c r="T139" i="22" s="1"/>
  <c r="R212" i="9"/>
  <c r="T212" i="9" s="1"/>
  <c r="V212" i="9" s="1"/>
  <c r="R211" i="9"/>
  <c r="T211" i="9" s="1"/>
  <c r="V211" i="9" s="1"/>
  <c r="R26" i="9"/>
  <c r="T26" i="9" s="1"/>
  <c r="V26" i="9" s="1"/>
  <c r="R221" i="9"/>
  <c r="T221" i="9" s="1"/>
  <c r="V221" i="9" s="1"/>
  <c r="V222" i="9"/>
  <c r="R55" i="9"/>
  <c r="T55" i="9" s="1"/>
  <c r="V55" i="9" s="1"/>
  <c r="R63" i="9"/>
  <c r="T63" i="9" s="1"/>
  <c r="V63" i="9" s="1"/>
  <c r="R86" i="9"/>
  <c r="T86" i="9" s="1"/>
  <c r="V86" i="9" s="1"/>
  <c r="R5" i="9"/>
  <c r="T5" i="9" s="1"/>
  <c r="V5" i="9" s="1"/>
  <c r="R14" i="9"/>
  <c r="T14" i="9" s="1"/>
  <c r="V14" i="9" s="1"/>
  <c r="R206" i="9"/>
  <c r="T206" i="9" s="1"/>
  <c r="V206" i="9" s="1"/>
  <c r="R13" i="9"/>
  <c r="T13" i="9" s="1"/>
  <c r="V13" i="9" s="1"/>
  <c r="R204" i="9"/>
  <c r="T204" i="9" s="1"/>
  <c r="V204" i="9" s="1"/>
  <c r="R203" i="9"/>
  <c r="T203" i="9" s="1"/>
  <c r="V203" i="9" s="1"/>
  <c r="R95" i="9"/>
  <c r="T95" i="9" s="1"/>
  <c r="V95" i="9" s="1"/>
  <c r="E14" i="27"/>
  <c r="H14" i="27"/>
  <c r="E15" i="27"/>
  <c r="H15" i="27"/>
  <c r="E16" i="27"/>
  <c r="H16" i="27"/>
  <c r="E17" i="27"/>
  <c r="H17" i="27"/>
  <c r="E18" i="27"/>
  <c r="E19" i="27"/>
  <c r="H19" i="27" s="1"/>
  <c r="E20" i="27"/>
  <c r="H20" i="27" s="1"/>
  <c r="E21" i="27"/>
  <c r="H21" i="27" s="1"/>
  <c r="H18" i="27"/>
  <c r="E13" i="25"/>
  <c r="E14" i="25"/>
  <c r="H14" i="25" s="1"/>
  <c r="E15" i="25"/>
  <c r="H15" i="25" s="1"/>
  <c r="H24" i="25"/>
  <c r="E16" i="25"/>
  <c r="H16" i="25"/>
  <c r="E17" i="25"/>
  <c r="H17" i="25"/>
  <c r="E18" i="25"/>
  <c r="H18" i="25"/>
  <c r="E19" i="25"/>
  <c r="H19" i="25"/>
  <c r="E20" i="25"/>
  <c r="H20" i="25"/>
  <c r="E21" i="25"/>
  <c r="H21" i="25"/>
  <c r="E22" i="25"/>
  <c r="H22" i="25"/>
  <c r="E23" i="25"/>
  <c r="H23" i="25"/>
  <c r="R69" i="9"/>
  <c r="T69" i="9" s="1"/>
  <c r="V69" i="9" s="1"/>
  <c r="R51" i="9"/>
  <c r="T51" i="9" s="1"/>
  <c r="V51" i="9" s="1"/>
  <c r="R54" i="9"/>
  <c r="T54" i="9" s="1"/>
  <c r="V54" i="9" s="1"/>
  <c r="R68" i="9"/>
  <c r="T68" i="9" s="1"/>
  <c r="V68" i="9" s="1"/>
  <c r="R67" i="9"/>
  <c r="T67" i="9" s="1"/>
  <c r="V67" i="9" s="1"/>
  <c r="R66" i="9"/>
  <c r="T66" i="9" s="1"/>
  <c r="V66" i="9" s="1"/>
  <c r="R207" i="9"/>
  <c r="T207" i="9" s="1"/>
  <c r="V207" i="9" s="1"/>
  <c r="R71" i="9"/>
  <c r="R122" i="9"/>
  <c r="T122" i="9" s="1"/>
  <c r="V122" i="9" s="1"/>
  <c r="R205" i="9"/>
  <c r="T205" i="9" s="1"/>
  <c r="V205" i="9" s="1"/>
  <c r="R104" i="9"/>
  <c r="T104" i="9" s="1"/>
  <c r="V104" i="9" s="1"/>
  <c r="R105" i="9"/>
  <c r="T105" i="9" s="1"/>
  <c r="V105" i="9" s="1"/>
  <c r="R106" i="9"/>
  <c r="T106" i="9"/>
  <c r="V106" i="9" s="1"/>
  <c r="R107" i="9"/>
  <c r="T107" i="9" s="1"/>
  <c r="V107" i="9" s="1"/>
  <c r="R103" i="9"/>
  <c r="T103" i="9" s="1"/>
  <c r="V103" i="9" s="1"/>
  <c r="R102" i="9"/>
  <c r="T102" i="9" s="1"/>
  <c r="V102" i="9" s="1"/>
  <c r="R61" i="9"/>
  <c r="T61" i="9"/>
  <c r="V61" i="9" s="1"/>
  <c r="R193" i="9"/>
  <c r="S193" i="9" s="1"/>
  <c r="T193" i="9" s="1"/>
  <c r="V193" i="9" s="1"/>
  <c r="R53" i="9"/>
  <c r="T53" i="9" s="1"/>
  <c r="V53" i="9" s="1"/>
  <c r="R25" i="9"/>
  <c r="T25" i="9" s="1"/>
  <c r="V25" i="9" s="1"/>
  <c r="R93" i="9"/>
  <c r="T93" i="9" s="1"/>
  <c r="V93" i="9" s="1"/>
  <c r="R127" i="9"/>
  <c r="T127" i="9" s="1"/>
  <c r="V127" i="9" s="1"/>
  <c r="E13" i="27"/>
  <c r="H13" i="27" s="1"/>
  <c r="H22" i="27" s="1"/>
  <c r="E13" i="26"/>
  <c r="H13" i="26"/>
  <c r="E14" i="26"/>
  <c r="H14" i="26"/>
  <c r="H13" i="25"/>
  <c r="E13" i="24"/>
  <c r="H13" i="24"/>
  <c r="E14" i="24"/>
  <c r="H14" i="24" s="1"/>
  <c r="E15" i="24"/>
  <c r="H15" i="24" s="1"/>
  <c r="E16" i="24"/>
  <c r="H16" i="24" s="1"/>
  <c r="E17" i="24"/>
  <c r="H17" i="24" s="1"/>
  <c r="E18" i="24"/>
  <c r="H18" i="24" s="1"/>
  <c r="E19" i="24"/>
  <c r="H19" i="24" s="1"/>
  <c r="E20" i="24"/>
  <c r="H20" i="24" s="1"/>
  <c r="E21" i="24"/>
  <c r="H21" i="24" s="1"/>
  <c r="E22" i="24"/>
  <c r="H22" i="24" s="1"/>
  <c r="E23" i="24"/>
  <c r="H23" i="24" s="1"/>
  <c r="E24" i="24"/>
  <c r="H24" i="24" s="1"/>
  <c r="E25" i="24"/>
  <c r="H25" i="24" s="1"/>
  <c r="E26" i="24"/>
  <c r="H26" i="24" s="1"/>
  <c r="E27" i="24"/>
  <c r="H27" i="24" s="1"/>
  <c r="E28" i="24"/>
  <c r="H28" i="24" s="1"/>
  <c r="E29" i="24"/>
  <c r="H29" i="24" s="1"/>
  <c r="E30" i="24"/>
  <c r="H30" i="24" s="1"/>
  <c r="E31" i="24"/>
  <c r="H31" i="24" s="1"/>
  <c r="E32" i="24"/>
  <c r="H32" i="24" s="1"/>
  <c r="E33" i="24"/>
  <c r="H33" i="24" s="1"/>
  <c r="E34" i="24"/>
  <c r="H34" i="24" s="1"/>
  <c r="E35" i="24"/>
  <c r="H35" i="24" s="1"/>
  <c r="R6" i="9"/>
  <c r="T6" i="9" s="1"/>
  <c r="V6" i="9" s="1"/>
  <c r="R7" i="9"/>
  <c r="T7" i="9" s="1"/>
  <c r="V7" i="9" s="1"/>
  <c r="R8" i="9"/>
  <c r="T8" i="9" s="1"/>
  <c r="V8" i="9" s="1"/>
  <c r="R9" i="9"/>
  <c r="T9" i="9" s="1"/>
  <c r="V9" i="9" s="1"/>
  <c r="R10" i="9"/>
  <c r="T10" i="9" s="1"/>
  <c r="V10" i="9" s="1"/>
  <c r="R11" i="9"/>
  <c r="T11" i="9" s="1"/>
  <c r="V11" i="9" s="1"/>
  <c r="R12" i="9"/>
  <c r="T12" i="9" s="1"/>
  <c r="V12" i="9" s="1"/>
  <c r="R15" i="9"/>
  <c r="T15" i="9" s="1"/>
  <c r="V15" i="9" s="1"/>
  <c r="R16" i="9"/>
  <c r="T16" i="9" s="1"/>
  <c r="V16" i="9" s="1"/>
  <c r="R17" i="9"/>
  <c r="T17" i="9" s="1"/>
  <c r="V17" i="9" s="1"/>
  <c r="R18" i="9"/>
  <c r="T18" i="9" s="1"/>
  <c r="V18" i="9" s="1"/>
  <c r="R19" i="9"/>
  <c r="T19" i="9" s="1"/>
  <c r="V19" i="9" s="1"/>
  <c r="R20" i="9"/>
  <c r="T20" i="9" s="1"/>
  <c r="V20" i="9" s="1"/>
  <c r="R21" i="9"/>
  <c r="T21" i="9" s="1"/>
  <c r="V21" i="9" s="1"/>
  <c r="R22" i="9"/>
  <c r="T22" i="9" s="1"/>
  <c r="V22" i="9" s="1"/>
  <c r="R23" i="9"/>
  <c r="T23" i="9" s="1"/>
  <c r="V23" i="9" s="1"/>
  <c r="R24" i="9"/>
  <c r="T24" i="9" s="1"/>
  <c r="V24" i="9" s="1"/>
  <c r="R27" i="9"/>
  <c r="T27" i="9" s="1"/>
  <c r="V27" i="9" s="1"/>
  <c r="R28" i="9"/>
  <c r="T28" i="9" s="1"/>
  <c r="V28" i="9" s="1"/>
  <c r="R29" i="9"/>
  <c r="T29" i="9" s="1"/>
  <c r="V29" i="9" s="1"/>
  <c r="R30" i="9"/>
  <c r="T30" i="9" s="1"/>
  <c r="V30" i="9" s="1"/>
  <c r="R31" i="9"/>
  <c r="T31" i="9" s="1"/>
  <c r="V31" i="9" s="1"/>
  <c r="R32" i="9"/>
  <c r="T32" i="9" s="1"/>
  <c r="V32" i="9" s="1"/>
  <c r="R33" i="9"/>
  <c r="T33" i="9"/>
  <c r="V33" i="9" s="1"/>
  <c r="R34" i="9"/>
  <c r="T34" i="9" s="1"/>
  <c r="V34" i="9" s="1"/>
  <c r="R35" i="9"/>
  <c r="T35" i="9" s="1"/>
  <c r="V35" i="9" s="1"/>
  <c r="R36" i="9"/>
  <c r="T36" i="9" s="1"/>
  <c r="V36" i="9" s="1"/>
  <c r="R37" i="9"/>
  <c r="T37" i="9"/>
  <c r="V37" i="9" s="1"/>
  <c r="R38" i="9"/>
  <c r="T38" i="9" s="1"/>
  <c r="V38" i="9"/>
  <c r="R39" i="9"/>
  <c r="T39" i="9" s="1"/>
  <c r="V39" i="9" s="1"/>
  <c r="R41" i="9"/>
  <c r="T41" i="9" s="1"/>
  <c r="V41" i="9" s="1"/>
  <c r="R42" i="9"/>
  <c r="T42" i="9"/>
  <c r="V42" i="9" s="1"/>
  <c r="R43" i="9"/>
  <c r="T43" i="9" s="1"/>
  <c r="V43" i="9"/>
  <c r="R44" i="9"/>
  <c r="T44" i="9"/>
  <c r="V44" i="9" s="1"/>
  <c r="R46" i="9"/>
  <c r="T46" i="9" s="1"/>
  <c r="V46" i="9" s="1"/>
  <c r="R47" i="9"/>
  <c r="T47" i="9" s="1"/>
  <c r="V47" i="9" s="1"/>
  <c r="R49" i="9"/>
  <c r="T49" i="9" s="1"/>
  <c r="V49" i="9" s="1"/>
  <c r="R48" i="9"/>
  <c r="T48" i="9" s="1"/>
  <c r="V48" i="9" s="1"/>
  <c r="R50" i="9"/>
  <c r="T50" i="9" s="1"/>
  <c r="V50" i="9" s="1"/>
  <c r="R52" i="9"/>
  <c r="T52" i="9" s="1"/>
  <c r="V52" i="9" s="1"/>
  <c r="R56" i="9"/>
  <c r="T56" i="9" s="1"/>
  <c r="V56" i="9" s="1"/>
  <c r="R57" i="9"/>
  <c r="V57" i="9"/>
  <c r="R58" i="9"/>
  <c r="T58" i="9" s="1"/>
  <c r="V58" i="9" s="1"/>
  <c r="R59" i="9"/>
  <c r="T59" i="9" s="1"/>
  <c r="V59" i="9" s="1"/>
  <c r="R74" i="9"/>
  <c r="T74" i="9"/>
  <c r="V74" i="9" s="1"/>
  <c r="R75" i="9"/>
  <c r="T75" i="9" s="1"/>
  <c r="V75" i="9" s="1"/>
  <c r="R76" i="9"/>
  <c r="T76" i="9" s="1"/>
  <c r="V76" i="9" s="1"/>
  <c r="R77" i="9"/>
  <c r="T77" i="9" s="1"/>
  <c r="V77" i="9" s="1"/>
  <c r="R78" i="9"/>
  <c r="T78" i="9" s="1"/>
  <c r="V78" i="9" s="1"/>
  <c r="R79" i="9"/>
  <c r="T79" i="9" s="1"/>
  <c r="V79" i="9" s="1"/>
  <c r="R80" i="9"/>
  <c r="T80" i="9" s="1"/>
  <c r="V80" i="9" s="1"/>
  <c r="R82" i="9"/>
  <c r="T82" i="9" s="1"/>
  <c r="V82" i="9" s="1"/>
  <c r="R83" i="9"/>
  <c r="T83" i="9" s="1"/>
  <c r="V83" i="9" s="1"/>
  <c r="R84" i="9"/>
  <c r="T84" i="9" s="1"/>
  <c r="V84" i="9" s="1"/>
  <c r="R85" i="9"/>
  <c r="T85" i="9" s="1"/>
  <c r="V85" i="9" s="1"/>
  <c r="R88" i="9"/>
  <c r="T88" i="9" s="1"/>
  <c r="V88" i="9" s="1"/>
  <c r="R89" i="9"/>
  <c r="T89" i="9" s="1"/>
  <c r="V89" i="9" s="1"/>
  <c r="R73" i="9"/>
  <c r="T73" i="9" s="1"/>
  <c r="V73" i="9" s="1"/>
  <c r="R72" i="9"/>
  <c r="T72" i="9" s="1"/>
  <c r="V72" i="9" s="1"/>
  <c r="R87" i="9"/>
  <c r="T87" i="9" s="1"/>
  <c r="V87" i="9" s="1"/>
  <c r="R90" i="9"/>
  <c r="T90" i="9" s="1"/>
  <c r="V90" i="9" s="1"/>
  <c r="R91" i="9"/>
  <c r="T91" i="9" s="1"/>
  <c r="V91" i="9" s="1"/>
  <c r="R81" i="9"/>
  <c r="T81" i="9" s="1"/>
  <c r="V81" i="9" s="1"/>
  <c r="R99" i="9"/>
  <c r="T99" i="9" s="1"/>
  <c r="V99" i="9" s="1"/>
  <c r="R94" i="9"/>
  <c r="T94" i="9" s="1"/>
  <c r="V94" i="9" s="1"/>
  <c r="R97" i="9"/>
  <c r="T97" i="9" s="1"/>
  <c r="V97" i="9" s="1"/>
  <c r="R96" i="9"/>
  <c r="T96" i="9" s="1"/>
  <c r="V96" i="9" s="1"/>
  <c r="R98" i="9"/>
  <c r="T98" i="9" s="1"/>
  <c r="V98" i="9" s="1"/>
  <c r="R92" i="9"/>
  <c r="T92" i="9"/>
  <c r="V92" i="9" s="1"/>
  <c r="R100" i="9"/>
  <c r="T100" i="9" s="1"/>
  <c r="V100" i="9" s="1"/>
  <c r="R165" i="9"/>
  <c r="T165" i="9" s="1"/>
  <c r="V165" i="9" s="1"/>
  <c r="R167" i="9"/>
  <c r="T167" i="9" s="1"/>
  <c r="V167" i="9" s="1"/>
  <c r="R166" i="9"/>
  <c r="T166" i="9"/>
  <c r="V166" i="9" s="1"/>
  <c r="R101" i="9"/>
  <c r="T101" i="9" s="1"/>
  <c r="V101" i="9" s="1"/>
  <c r="R65" i="9"/>
  <c r="T65" i="9" s="1"/>
  <c r="V65" i="9" s="1"/>
  <c r="R109" i="9"/>
  <c r="T109" i="9" s="1"/>
  <c r="V109" i="9" s="1"/>
  <c r="R110" i="9"/>
  <c r="S110" i="9" s="1"/>
  <c r="T110" i="9" s="1"/>
  <c r="V110" i="9" s="1"/>
  <c r="R111" i="9"/>
  <c r="T111" i="9" s="1"/>
  <c r="V111" i="9" s="1"/>
  <c r="R116" i="9"/>
  <c r="T116" i="9" s="1"/>
  <c r="V116" i="9" s="1"/>
  <c r="R117" i="9"/>
  <c r="T117" i="9" s="1"/>
  <c r="V117" i="9" s="1"/>
  <c r="R118" i="9"/>
  <c r="T118" i="9" s="1"/>
  <c r="V118" i="9" s="1"/>
  <c r="R119" i="9"/>
  <c r="T119" i="9" s="1"/>
  <c r="V119" i="9" s="1"/>
  <c r="R112" i="9"/>
  <c r="T112" i="9" s="1"/>
  <c r="V112" i="9" s="1"/>
  <c r="R113" i="9"/>
  <c r="T113" i="9"/>
  <c r="V113" i="9" s="1"/>
  <c r="R114" i="9"/>
  <c r="T114" i="9" s="1"/>
  <c r="V114" i="9" s="1"/>
  <c r="R115" i="9"/>
  <c r="T115" i="9" s="1"/>
  <c r="V115" i="9" s="1"/>
  <c r="R128" i="9"/>
  <c r="T128" i="9" s="1"/>
  <c r="V128" i="9" s="1"/>
  <c r="R129" i="9"/>
  <c r="T129" i="9" s="1"/>
  <c r="V129" i="9" s="1"/>
  <c r="R130" i="9"/>
  <c r="T130" i="9" s="1"/>
  <c r="V130" i="9" s="1"/>
  <c r="R131" i="9"/>
  <c r="T131" i="9" s="1"/>
  <c r="V131" i="9" s="1"/>
  <c r="R132" i="9"/>
  <c r="T132" i="9" s="1"/>
  <c r="V132" i="9" s="1"/>
  <c r="R123" i="9"/>
  <c r="S123" i="9" s="1"/>
  <c r="R126" i="9"/>
  <c r="T126" i="9" s="1"/>
  <c r="V126" i="9" s="1"/>
  <c r="R124" i="9"/>
  <c r="S124" i="9" s="1"/>
  <c r="R125" i="9"/>
  <c r="S125" i="9" s="1"/>
  <c r="R133" i="9"/>
  <c r="T133" i="9" s="1"/>
  <c r="V133" i="9" s="1"/>
  <c r="R134" i="9"/>
  <c r="T134" i="9" s="1"/>
  <c r="V134" i="9" s="1"/>
  <c r="R135" i="9"/>
  <c r="T135" i="9" s="1"/>
  <c r="V135" i="9" s="1"/>
  <c r="R136" i="9"/>
  <c r="T136" i="9" s="1"/>
  <c r="V136" i="9" s="1"/>
  <c r="R120" i="9"/>
  <c r="T120" i="9" s="1"/>
  <c r="V120" i="9" s="1"/>
  <c r="R121" i="9"/>
  <c r="T121" i="9" s="1"/>
  <c r="V121" i="9" s="1"/>
  <c r="R137" i="9"/>
  <c r="T137" i="9" s="1"/>
  <c r="V137" i="9" s="1"/>
  <c r="R143" i="9"/>
  <c r="T143" i="9" s="1"/>
  <c r="V143" i="9" s="1"/>
  <c r="R138" i="9"/>
  <c r="T138" i="9" s="1"/>
  <c r="V138" i="9" s="1"/>
  <c r="R139" i="9"/>
  <c r="T139" i="9" s="1"/>
  <c r="V139" i="9" s="1"/>
  <c r="R140" i="9"/>
  <c r="T140" i="9" s="1"/>
  <c r="V140" i="9" s="1"/>
  <c r="R141" i="9"/>
  <c r="T141" i="9" s="1"/>
  <c r="V141" i="9" s="1"/>
  <c r="R142" i="9"/>
  <c r="T142" i="9" s="1"/>
  <c r="V142" i="9" s="1"/>
  <c r="R144" i="9"/>
  <c r="T144" i="9"/>
  <c r="V144" i="9" s="1"/>
  <c r="R145" i="9"/>
  <c r="T145" i="9" s="1"/>
  <c r="V145" i="9" s="1"/>
  <c r="R146" i="9"/>
  <c r="T146" i="9" s="1"/>
  <c r="V146" i="9" s="1"/>
  <c r="R147" i="9"/>
  <c r="T147" i="9" s="1"/>
  <c r="V147" i="9" s="1"/>
  <c r="R148" i="9"/>
  <c r="T148" i="9" s="1"/>
  <c r="V148" i="9" s="1"/>
  <c r="R149" i="9"/>
  <c r="T149" i="9" s="1"/>
  <c r="V149" i="9" s="1"/>
  <c r="R150" i="9"/>
  <c r="T150" i="9" s="1"/>
  <c r="V150" i="9" s="1"/>
  <c r="R151" i="9"/>
  <c r="T151" i="9" s="1"/>
  <c r="V151" i="9" s="1"/>
  <c r="R152" i="9"/>
  <c r="T152" i="9" s="1"/>
  <c r="V152" i="9" s="1"/>
  <c r="R153" i="9"/>
  <c r="T153" i="9"/>
  <c r="V153" i="9" s="1"/>
  <c r="R154" i="9"/>
  <c r="T154" i="9" s="1"/>
  <c r="V154" i="9" s="1"/>
  <c r="R155" i="9"/>
  <c r="T155" i="9" s="1"/>
  <c r="V155" i="9" s="1"/>
  <c r="R156" i="9"/>
  <c r="T156" i="9" s="1"/>
  <c r="V156" i="9" s="1"/>
  <c r="R157" i="9"/>
  <c r="T157" i="9" s="1"/>
  <c r="V157" i="9" s="1"/>
  <c r="R158" i="9"/>
  <c r="T158" i="9" s="1"/>
  <c r="V158" i="9" s="1"/>
  <c r="R159" i="9"/>
  <c r="T159" i="9" s="1"/>
  <c r="V159" i="9" s="1"/>
  <c r="R160" i="9"/>
  <c r="T160" i="9" s="1"/>
  <c r="V160" i="9" s="1"/>
  <c r="R161" i="9"/>
  <c r="T161" i="9" s="1"/>
  <c r="V161" i="9" s="1"/>
  <c r="R162" i="9"/>
  <c r="T162" i="9"/>
  <c r="V162" i="9" s="1"/>
  <c r="R164" i="9"/>
  <c r="T164" i="9" s="1"/>
  <c r="V164" i="9" s="1"/>
  <c r="R163" i="9"/>
  <c r="T163" i="9" s="1"/>
  <c r="V163" i="9" s="1"/>
  <c r="R168" i="9"/>
  <c r="T168" i="9" s="1"/>
  <c r="V168" i="9" s="1"/>
  <c r="R169" i="9"/>
  <c r="T169" i="9"/>
  <c r="V169" i="9" s="1"/>
  <c r="R170" i="9"/>
  <c r="T170" i="9" s="1"/>
  <c r="V170" i="9" s="1"/>
  <c r="R171" i="9"/>
  <c r="T171" i="9" s="1"/>
  <c r="V171" i="9" s="1"/>
  <c r="R172" i="9"/>
  <c r="T172" i="9" s="1"/>
  <c r="V172" i="9" s="1"/>
  <c r="R173" i="9"/>
  <c r="T173" i="9" s="1"/>
  <c r="V173" i="9" s="1"/>
  <c r="R62" i="9"/>
  <c r="T62" i="9" s="1"/>
  <c r="V62" i="9" s="1"/>
  <c r="R174" i="9"/>
  <c r="T174" i="9" s="1"/>
  <c r="V174" i="9" s="1"/>
  <c r="R175" i="9"/>
  <c r="T175" i="9" s="1"/>
  <c r="V175" i="9" s="1"/>
  <c r="R176" i="9"/>
  <c r="T176" i="9" s="1"/>
  <c r="V176" i="9" s="1"/>
  <c r="R177" i="9"/>
  <c r="T177" i="9" s="1"/>
  <c r="V177" i="9" s="1"/>
  <c r="R178" i="9"/>
  <c r="T178" i="9" s="1"/>
  <c r="V178" i="9" s="1"/>
  <c r="R179" i="9"/>
  <c r="T179" i="9"/>
  <c r="V179" i="9" s="1"/>
  <c r="R180" i="9"/>
  <c r="T180" i="9" s="1"/>
  <c r="V180" i="9" s="1"/>
  <c r="R181" i="9"/>
  <c r="T181" i="9" s="1"/>
  <c r="V181" i="9" s="1"/>
  <c r="R182" i="9"/>
  <c r="T182" i="9" s="1"/>
  <c r="V182" i="9" s="1"/>
  <c r="R183" i="9"/>
  <c r="T183" i="9" s="1"/>
  <c r="V183" i="9" s="1"/>
  <c r="R184" i="9"/>
  <c r="T184" i="9" s="1"/>
  <c r="V184" i="9" s="1"/>
  <c r="R185" i="9"/>
  <c r="S185" i="9" s="1"/>
  <c r="R186" i="9"/>
  <c r="T186" i="9" s="1"/>
  <c r="V186" i="9" s="1"/>
  <c r="R187" i="9"/>
  <c r="T187" i="9" s="1"/>
  <c r="V187" i="9" s="1"/>
  <c r="R188" i="9"/>
  <c r="T188" i="9" s="1"/>
  <c r="V188" i="9" s="1"/>
  <c r="R189" i="9"/>
  <c r="T189" i="9" s="1"/>
  <c r="V189" i="9" s="1"/>
  <c r="R190" i="9"/>
  <c r="T190" i="9" s="1"/>
  <c r="V190" i="9" s="1"/>
  <c r="R191" i="9"/>
  <c r="S191" i="9"/>
  <c r="T191" i="9" s="1"/>
  <c r="V191" i="9" s="1"/>
  <c r="R192" i="9"/>
  <c r="T192" i="9" s="1"/>
  <c r="V192" i="9" s="1"/>
  <c r="R194" i="9"/>
  <c r="T194" i="9" s="1"/>
  <c r="V194" i="9" s="1"/>
  <c r="R195" i="9"/>
  <c r="T195" i="9" s="1"/>
  <c r="V195" i="9" s="1"/>
  <c r="R196" i="9"/>
  <c r="T196" i="9" s="1"/>
  <c r="V196" i="9" s="1"/>
  <c r="R197" i="9"/>
  <c r="T197" i="9" s="1"/>
  <c r="V197" i="9" s="1"/>
  <c r="R198" i="9"/>
  <c r="T198" i="9" s="1"/>
  <c r="V198" i="9" s="1"/>
  <c r="R199" i="9"/>
  <c r="T199" i="9" s="1"/>
  <c r="V199" i="9" s="1"/>
  <c r="R200" i="9"/>
  <c r="T200" i="9" s="1"/>
  <c r="V200" i="9" s="1"/>
  <c r="R201" i="9"/>
  <c r="T201" i="9" s="1"/>
  <c r="V201" i="9" s="1"/>
  <c r="R202" i="9"/>
  <c r="T202" i="9" s="1"/>
  <c r="V202" i="9" s="1"/>
  <c r="R210" i="9"/>
  <c r="T210" i="9" s="1"/>
  <c r="V210" i="9" s="1"/>
  <c r="R209" i="9"/>
  <c r="T209" i="9" s="1"/>
  <c r="V209" i="9" s="1"/>
  <c r="R208" i="9"/>
  <c r="T208" i="9" s="1"/>
  <c r="V208" i="9" s="1"/>
  <c r="R213" i="9"/>
  <c r="T213" i="9"/>
  <c r="V213" i="9" s="1"/>
  <c r="R214" i="9"/>
  <c r="T214" i="9" s="1"/>
  <c r="V214" i="9" s="1"/>
  <c r="R218" i="9"/>
  <c r="T218" i="9" s="1"/>
  <c r="V218" i="9" s="1"/>
  <c r="R219" i="9"/>
  <c r="T219" i="9" s="1"/>
  <c r="V219" i="9" s="1"/>
  <c r="R220" i="9"/>
  <c r="T220" i="9" s="1"/>
  <c r="V220" i="9" s="1"/>
  <c r="R70" i="9"/>
  <c r="T70" i="9" s="1"/>
  <c r="V70" i="9" s="1"/>
  <c r="R60" i="9"/>
  <c r="T60" i="9" s="1"/>
  <c r="V60" i="9" s="1"/>
  <c r="I6" i="4"/>
  <c r="A8" i="4" s="1"/>
  <c r="R40" i="9"/>
  <c r="T40" i="9" s="1"/>
  <c r="T6" i="22"/>
  <c r="V6" i="22"/>
  <c r="S139" i="22"/>
  <c r="T106" i="22"/>
  <c r="V106" i="22" s="1"/>
  <c r="D13" i="4"/>
  <c r="T45" i="9"/>
  <c r="V45" i="9" s="1"/>
  <c r="F13" i="4"/>
  <c r="C13" i="4"/>
  <c r="I10" i="4"/>
  <c r="I8" i="4"/>
  <c r="A5" i="4"/>
  <c r="T125" i="9" l="1"/>
  <c r="V125" i="9" s="1"/>
  <c r="T124" i="9"/>
  <c r="V124" i="9" s="1"/>
  <c r="T123" i="9"/>
  <c r="V123" i="9" s="1"/>
  <c r="S227" i="9"/>
  <c r="T185" i="9"/>
  <c r="V185" i="9" s="1"/>
  <c r="X193" i="9"/>
  <c r="V40" i="9"/>
  <c r="V227" i="9" s="1"/>
  <c r="T227" i="9"/>
  <c r="G13" i="4"/>
  <c r="R139" i="22"/>
  <c r="H15" i="26"/>
  <c r="A7" i="4"/>
  <c r="I16" i="4"/>
  <c r="I13" i="4"/>
  <c r="R227" i="9"/>
  <c r="I17" i="4"/>
  <c r="I15" i="4"/>
  <c r="V5" i="22"/>
  <c r="V139" i="22" s="1"/>
  <c r="H36" i="24"/>
  <c r="I7" i="4"/>
  <c r="B13" i="4"/>
  <c r="E13" i="4" s="1"/>
  <c r="H13" i="4" s="1"/>
  <c r="H18" i="4" s="1"/>
  <c r="I4" i="4"/>
  <c r="A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Binh</author>
    <author>HoaLA</author>
  </authors>
  <commentList>
    <comment ref="O11" authorId="0" shapeId="0" xr:uid="{1AF0238D-0866-4C68-95BF-C6239B30943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P11" authorId="0" shapeId="0" xr:uid="{A939057C-153F-481D-A5F3-763978FA388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O12" authorId="0" shapeId="0" xr:uid="{4679FD9E-E027-47CB-B745-F128839746C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P12" authorId="0" shapeId="0" xr:uid="{43C723BF-881E-4AAA-BD22-22F14E5626C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W13" authorId="0" shapeId="0" xr:uid="{C150D969-448C-4652-B385-35FD012ABF5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Chốt số 31.7, trả mặt bằng</t>
        </r>
      </text>
    </comment>
    <comment ref="T14" authorId="0" shapeId="0" xr:uid="{79BA8FA6-6C57-4AE4-9475-A35987FAAEA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Tông tiêu thụ từ 29/6 đến 30/9</t>
        </r>
      </text>
    </comment>
    <comment ref="W21" authorId="0" shapeId="0" xr:uid="{678F0822-8B0F-4CBB-AA47-EC3A4B63C5A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Sơn đóng điện trở lại ngày 1.11.2023</t>
        </r>
      </text>
    </comment>
    <comment ref="W30" authorId="0" shapeId="0" xr:uid="{9925F222-3A68-46B9-B93B-E4085DD019C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Chốt số 31.7, trả mặt bằng</t>
        </r>
      </text>
    </comment>
    <comment ref="W31" authorId="0" shapeId="0" xr:uid="{D91EB582-9125-4132-9DBD-41653640A5B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Chốt số 31.7, trả mặt bằng</t>
        </r>
      </text>
    </comment>
    <comment ref="V40" authorId="0" shapeId="0" xr:uid="{37BFFEA9-BF2D-4BA7-B555-9FC419E427E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U41" authorId="0" shapeId="0" xr:uid="{36AE4C70-196A-44EB-9A40-564BD2491E3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Cấp điện 8/3/2023</t>
        </r>
      </text>
    </comment>
    <comment ref="V41" authorId="0" shapeId="0" xr:uid="{251948A3-C8C3-49D6-B248-B9975DCF7BE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U42" authorId="0" shapeId="0" xr:uid="{07D5D48F-7DD1-4542-9ED3-1D22B33FAD2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Cấp điện 8/3/2023</t>
        </r>
      </text>
    </comment>
    <comment ref="V42" authorId="0" shapeId="0" xr:uid="{7EFF595A-C686-4640-B6E8-55D92ABADFA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43" authorId="0" shapeId="0" xr:uid="{88406EBA-9B69-4FF7-8EE1-C7092E38E94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50" authorId="0" shapeId="0" xr:uid="{39E506D0-FA99-41BD-B405-011B7AB8F89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51" authorId="0" shapeId="0" xr:uid="{CFD5F96F-61DC-4DA6-8092-09793B494B02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J54" authorId="0" shapeId="0" xr:uid="{12B173F4-32D1-4D91-94A5-41DC15655FD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Lắp 25/11/023 theo gói đ hòa</t>
        </r>
      </text>
    </comment>
    <comment ref="V54" authorId="0" shapeId="0" xr:uid="{2B3D8272-1B8B-4936-A76E-E3F3A129F34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J55" authorId="0" shapeId="0" xr:uid="{B3D7BB43-D103-41DD-90B9-301DCF5F3F6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Lắp 25/11/023 theo gói đ hòa</t>
        </r>
      </text>
    </comment>
    <comment ref="V55" authorId="0" shapeId="0" xr:uid="{774318DC-4A76-4198-85FC-B8556AF779F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U57" authorId="0" shapeId="0" xr:uid="{3A617892-077A-4E2C-AD12-8AF062F372E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GiaSV 2459</t>
        </r>
      </text>
    </comment>
    <comment ref="O77" authorId="0" shapeId="0" xr:uid="{42032873-959E-4861-8B6F-16F754F57B3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6+7</t>
        </r>
      </text>
    </comment>
    <comment ref="P77" authorId="0" shapeId="0" xr:uid="{63A7C659-C753-47B9-BF84-F477385F7F0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6+7</t>
        </r>
      </text>
    </comment>
    <comment ref="J78" authorId="0" shapeId="0" xr:uid="{9712DBD0-5942-4D4A-ADE6-8188520A8E2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Sơn thay công tơ 3 pha mới  tại trạm BK2</t>
        </r>
      </text>
    </comment>
    <comment ref="B106" authorId="0" shapeId="0" xr:uid="{52519C4C-36E7-419F-9175-259B4DB0862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Miễn 50%, còn 50% còn lại đơn giá KDDV</t>
        </r>
      </text>
    </comment>
    <comment ref="B111" authorId="1" shapeId="0" xr:uid="{A28392E4-3292-47C0-8AA6-AA102465AD8F}">
      <text>
        <r>
          <rPr>
            <b/>
            <sz val="9"/>
            <color indexed="81"/>
            <rFont val="Segoe UI"/>
            <family val="2"/>
          </rPr>
          <t>Binh:</t>
        </r>
        <r>
          <rPr>
            <sz val="9"/>
            <color indexed="81"/>
            <rFont val="Segoe UI"/>
            <family val="2"/>
          </rPr>
          <t xml:space="preserve">
Thu 70%, miễn 30%</t>
        </r>
      </text>
    </comment>
    <comment ref="T111" authorId="0" shapeId="0" xr:uid="{92592DC9-0119-47A9-8582-61CC08FD1EA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Miễn 30%, thu 70%</t>
        </r>
      </text>
    </comment>
    <comment ref="B112" authorId="0" shapeId="0" xr:uid="{8590B90B-9265-4FF4-8CEF-810FA50CDE4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Thu 50%, p vụ đào tạo miễn 50%</t>
        </r>
      </text>
    </comment>
    <comment ref="T112" authorId="0" shapeId="0" xr:uid="{12F2515D-7855-4D91-8EDF-8E63CB529C3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Miễn 50%, thu 50%</t>
        </r>
      </text>
    </comment>
    <comment ref="F117" authorId="0" shapeId="0" xr:uid="{307ECB3A-795C-42D7-8A83-6686CA822602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Trước là Trần Thu Trang, đổi tên </t>
        </r>
      </text>
    </comment>
    <comment ref="B120" authorId="2" shapeId="0" xr:uid="{9D2480F5-B59D-495B-BDAC-84A78784961B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Cuối sổ</t>
        </r>
      </text>
    </comment>
    <comment ref="O121" authorId="2" shapeId="0" xr:uid="{8FF3AB20-0999-44D8-8661-8C1263F2EBAF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Đã chuyển tháng 2
</t>
        </r>
      </text>
    </comment>
    <comment ref="P121" authorId="2" shapeId="0" xr:uid="{EFE654CE-5E2D-45CB-8A64-FA1E556F0A37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Đã chuyển tháng 2
</t>
        </r>
      </text>
    </comment>
    <comment ref="B124" authorId="2" shapeId="0" xr:uid="{52DA5D37-E71E-4C26-8A31-0DC78F5B39F0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Trạm thứ 2, ố liệu hỏi anh Tâm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HoaLA</author>
    <author>Windows User</author>
    <author>Binh</author>
  </authors>
  <commentList>
    <comment ref="B5" authorId="0" shapeId="0" xr:uid="{DCB4472D-AB3E-49FA-B779-D63F633F6BDC}">
      <text>
        <r>
          <rPr>
            <b/>
            <sz val="9"/>
            <color indexed="81"/>
            <rFont val="Tahoma"/>
            <family val="2"/>
          </rPr>
          <t>HoaLA:
Mạnh CSVC</t>
        </r>
      </text>
    </comment>
    <comment ref="O13" authorId="1" shapeId="0" xr:uid="{3CAA37C2-C320-4A1D-AE8A-9BD8BC4B705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P13" authorId="1" shapeId="0" xr:uid="{1D48C6FE-B040-4F08-92C7-7744A7C3D7D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O14" authorId="1" shapeId="0" xr:uid="{E137A406-A8AC-4146-B46E-B415377E440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P14" authorId="1" shapeId="0" xr:uid="{E07738EF-8DF0-43FF-B88C-4476A55EC4B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Quay qua vòng từ 99031 đến 2488</t>
        </r>
      </text>
    </comment>
    <comment ref="W15" authorId="1" shapeId="0" xr:uid="{0B096918-5CB9-4A46-AE68-46CA06489C3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Chốt số 31.7, trả mặt bằng</t>
        </r>
      </text>
    </comment>
    <comment ref="W24" authorId="1" shapeId="0" xr:uid="{D35A75A7-FB0E-468E-9D82-A8C29FCB8A2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Sơn đóng điện trở lại ngày 1.11.2023</t>
        </r>
      </text>
    </comment>
    <comment ref="W35" authorId="1" shapeId="0" xr:uid="{66121100-BCA3-46EE-A3B7-F105E8DC6C9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Chốt số 31.7, trả mặt bằng</t>
        </r>
      </text>
    </comment>
    <comment ref="W36" authorId="1" shapeId="0" xr:uid="{20472559-A583-4F2C-A7EE-F38F2A69769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Chốt số 31.7, trả mặt bằng</t>
        </r>
      </text>
    </comment>
    <comment ref="B39" authorId="1" shapeId="0" xr:uid="{367BD68B-917A-4A49-861A-D8A567ACA84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Bôi đỏ, ko b cấp từ t8.2022</t>
        </r>
      </text>
    </comment>
    <comment ref="B40" authorId="0" shapeId="0" xr:uid="{4D179440-0ED9-4C41-B681-95255336E1B1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Ko thu tháng 4,5,9,10. Tháng 8 thua 50%
</t>
        </r>
      </text>
    </comment>
    <comment ref="W40" authorId="1" shapeId="0" xr:uid="{5B3337C6-4DF3-463B-9FE1-A4EC4EE34C7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50% sx, 50% dv</t>
        </r>
      </text>
    </comment>
    <comment ref="B41" authorId="0" shapeId="0" xr:uid="{70CA4E95-7382-441C-A0AE-0CB9D7106474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Ko thu tháng 4,5,9,10. Tháng 8 thua 50%
</t>
        </r>
      </text>
    </comment>
    <comment ref="W41" authorId="1" shapeId="0" xr:uid="{B02C95F2-8620-4A2A-8511-B6A2259CEE9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50% sản xuất, 50% dịch vụ</t>
        </r>
      </text>
    </comment>
    <comment ref="V48" authorId="1" shapeId="0" xr:uid="{CBF00772-71DF-49E2-8226-AB9F807F007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49" authorId="1" shapeId="0" xr:uid="{0F644A61-51EB-438E-A243-C2C3BAD7CDA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U50" authorId="1" shapeId="0" xr:uid="{0EBBD0B6-CCBA-4423-B942-EB44A28C42C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Cấp điện 8/3/2023</t>
        </r>
      </text>
    </comment>
    <comment ref="V50" authorId="1" shapeId="0" xr:uid="{02B8C0FD-A64F-4049-9FD4-DC7C2E31AFD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U51" authorId="1" shapeId="0" xr:uid="{8F368B62-4688-4815-BACF-FDB15BB3FF7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Cấp điện 8/3/2023</t>
        </r>
      </text>
    </comment>
    <comment ref="V51" authorId="1" shapeId="0" xr:uid="{5FF98DFB-49B9-466A-BE4C-DEEAA7CA8AD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52" authorId="1" shapeId="0" xr:uid="{36B96BBA-88A9-46B7-819D-4E3E526E0EB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T57" authorId="1" shapeId="0" xr:uid="{309D9A55-C9C3-48AB-87FF-80E35D5D058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TT tháng 8,9</t>
        </r>
      </text>
    </comment>
    <comment ref="V60" authorId="1" shapeId="0" xr:uid="{79864E6A-7558-4816-9A8A-82E5799D89F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61" authorId="1" shapeId="0" xr:uid="{03C31FC5-ACEB-4DCD-8168-BFF6A51F648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B64" authorId="1" shapeId="0" xr:uid="{AA54BF1B-B427-4FFE-BF34-E747816E168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Đưa vào sử dụng 12/5/2025</t>
        </r>
      </text>
    </comment>
    <comment ref="V64" authorId="1" shapeId="0" xr:uid="{96B274B2-9EC7-48A0-BF76-C562AE7A7BA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66" authorId="1" shapeId="0" xr:uid="{0DC7B7F2-05FA-4E98-B475-EFF1505BEA4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V67" authorId="1" shapeId="0" xr:uid="{4A3258A7-4ECD-4AC9-8900-F867714FA97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J68" authorId="1" shapeId="0" xr:uid="{79F4F84B-2248-440E-8375-6AA88A331A9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Lắp 25/11/023 theo gói đ hòa</t>
        </r>
      </text>
    </comment>
    <comment ref="V68" authorId="1" shapeId="0" xr:uid="{129BE1CC-0340-4B57-B45A-8BFCF02A0AD2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J69" authorId="1" shapeId="0" xr:uid="{EAB131B7-AAA8-4A86-BCE7-A3A50A74817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Lắp 25/11/023 theo gói đ hòa</t>
        </r>
      </text>
    </comment>
    <comment ref="V69" authorId="1" shapeId="0" xr:uid="{A26DA3B1-5E31-4F60-934B-A94FF425928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tháng 1 và 2.2023</t>
        </r>
      </text>
    </comment>
    <comment ref="U71" authorId="1" shapeId="0" xr:uid="{F850BCDC-3F4C-4AC4-BFFA-781D87A886B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GiaSV 2459</t>
        </r>
      </text>
    </comment>
    <comment ref="O81" authorId="1" shapeId="0" xr:uid="{B6E2DD9A-2912-4CFB-A817-76934F99F45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Từ tháng 1 đến tháng 7</t>
        </r>
      </text>
    </comment>
    <comment ref="P81" authorId="1" shapeId="0" xr:uid="{0CDA819C-D3D3-45EC-9D0F-13246DEBB0C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Từ tháng 1 đến tháng 7</t>
        </r>
      </text>
    </comment>
    <comment ref="B109" authorId="1" shapeId="0" xr:uid="{CAB30059-3384-4971-BB50-B1D6F1C21C0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Bôi đỏ, ko b cấp từ t8</t>
        </r>
      </text>
    </comment>
    <comment ref="B111" authorId="1" shapeId="0" xr:uid="{C6FF9B4D-9ED7-468A-8873-E2C7ED3ED9B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Bôi đỉ, ko b caao từ t8</t>
        </r>
      </text>
    </comment>
    <comment ref="O111" authorId="1" shapeId="0" xr:uid="{7D2BD93D-9439-446A-83CC-123AAA0CB7B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T3.2025</t>
        </r>
      </text>
    </comment>
    <comment ref="P111" authorId="1" shapeId="0" xr:uid="{CE6A40BC-3A23-48B7-91F1-775327B184D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T1.2025</t>
        </r>
      </text>
    </comment>
    <comment ref="V111" authorId="1" shapeId="0" xr:uid="{94796C1C-A01A-4F61-8C94-7D12E419353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2 và 3 năm 2025</t>
        </r>
      </text>
    </comment>
    <comment ref="W127" authorId="1" shapeId="0" xr:uid="{06F9C8DB-7CB9-438B-AA7F-ACE15B959C2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 tơ lắp ngoài theo gói woldbank, dưới tủ tòa nhà D8 tầng 6</t>
        </r>
      </text>
    </comment>
    <comment ref="B151" authorId="1" shapeId="0" xr:uid="{183416CE-BE6D-454A-B290-56DFF64611E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Tạm ngừng cấp điện 3.2025, dùng điện ngoài ( cột cổng nhà ô Huỳnh ngõ 15)</t>
        </r>
      </text>
    </comment>
    <comment ref="W181" authorId="1" shapeId="0" xr:uid="{AE7C62C8-5F1E-4EAD-BB55-2FBBCFD6580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Có sân tập mới, chưa làm phiếu</t>
        </r>
      </text>
    </comment>
    <comment ref="B185" authorId="1" shapeId="0" xr:uid="{353C63A9-1334-405C-9528-CC94FDD65E4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Miễn 50%, còn 50% còn lại đơn giá KDDV</t>
        </r>
      </text>
    </comment>
    <comment ref="B191" authorId="2" shapeId="0" xr:uid="{19DD0D91-11D0-4E63-929F-E7FF2928380E}">
      <text>
        <r>
          <rPr>
            <b/>
            <sz val="9"/>
            <color indexed="81"/>
            <rFont val="Segoe UI"/>
            <family val="2"/>
          </rPr>
          <t>Binh:</t>
        </r>
        <r>
          <rPr>
            <sz val="9"/>
            <color indexed="81"/>
            <rFont val="Segoe UI"/>
            <family val="2"/>
          </rPr>
          <t xml:space="preserve">
Thu 70%, miễn 30%</t>
        </r>
      </text>
    </comment>
    <comment ref="T191" authorId="1" shapeId="0" xr:uid="{45FED4D5-76EB-48BE-85BB-4342B18EDA7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Miễn 30%, thu 70%</t>
        </r>
      </text>
    </comment>
    <comment ref="B193" authorId="1" shapeId="0" xr:uid="{4EBA5E96-42DB-453D-B646-C27D3565439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Thu 50%, p vụ đào tạo miễn 50%</t>
        </r>
      </text>
    </comment>
    <comment ref="T193" authorId="1" shapeId="0" xr:uid="{D4D9844F-F485-43EF-987B-1B650AFAD73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Miễn 50%, thu 50%</t>
        </r>
      </text>
    </comment>
    <comment ref="F198" authorId="1" shapeId="0" xr:uid="{34F1A5B7-52CC-4EAD-AE0E-B37BE043AC72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Trước là Trần Thu Trang, đổi tên </t>
        </r>
      </text>
    </comment>
    <comment ref="B201" authorId="0" shapeId="0" xr:uid="{CFDE170D-5B3D-4E3F-AA72-DE539CE8CDA9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Cuối sổ</t>
        </r>
      </text>
    </comment>
    <comment ref="O202" authorId="0" shapeId="0" xr:uid="{64A20FC9-C9EF-46B0-B810-F355C51CEC79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Đã chuyển tháng 2
</t>
        </r>
      </text>
    </comment>
    <comment ref="P202" authorId="0" shapeId="0" xr:uid="{3B5A67AF-CE1A-424D-B2E1-52BA69C2320D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Đã chuyển tháng 2
</t>
        </r>
      </text>
    </comment>
    <comment ref="B209" authorId="0" shapeId="0" xr:uid="{5A48321E-4017-4A45-B011-F8C6EFCA10F3}">
      <text>
        <r>
          <rPr>
            <b/>
            <sz val="9"/>
            <color indexed="81"/>
            <rFont val="Tahoma"/>
            <family val="2"/>
          </rPr>
          <t>HoaLA:</t>
        </r>
        <r>
          <rPr>
            <sz val="9"/>
            <color indexed="81"/>
            <rFont val="Tahoma"/>
            <family val="2"/>
          </rPr>
          <t xml:space="preserve">
Trạm thứ 2, ố liệu hỏi anh Tâm</t>
        </r>
      </text>
    </comment>
    <comment ref="B213" authorId="1" shapeId="0" xr:uid="{96DB14CF-6665-44AA-86CC-3DBC8F5BF2F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Đã gửi thông tin cho H Long làm phiếu riêng (chị Hiền)</t>
        </r>
      </text>
    </comment>
    <comment ref="B216" authorId="1" shapeId="0" xr:uid="{7C38D47C-8468-4A73-A0FD-4D3CD927451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Lắp đặt 13/5/2025</t>
        </r>
      </text>
    </comment>
    <comment ref="B217" authorId="0" shapeId="0" xr:uid="{A40D153D-C147-414F-82DF-79EF140453AD}">
      <text>
        <r>
          <rPr>
            <b/>
            <sz val="9"/>
            <color indexed="81"/>
            <rFont val="Tahoma"/>
            <family val="2"/>
          </rPr>
          <t>Lắp đặt 13/5/2025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31" authorId="0" shapeId="0" xr:uid="{A9348A47-4CB5-4EF3-8996-889A1026542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2 và tháng 3.2024</t>
        </r>
      </text>
    </comment>
    <comment ref="J37" authorId="0" shapeId="0" xr:uid="{CB1825BD-9042-4E83-849A-853F800FE03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Sử dụng từ 6/2020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14" authorId="0" shapeId="0" xr:uid="{D2EFCB95-1C05-48D2-9EA8-BC9D3AF5E04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6+7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14" authorId="0" shapeId="0" xr:uid="{1F11A3B1-B4D7-44EC-AE07-167618289D3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10 11 12</t>
        </r>
      </text>
    </comment>
    <comment ref="C14" authorId="0" shapeId="0" xr:uid="{65ABFB18-53F2-49CF-B356-C192857BEC1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Tháng 10 11 12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I14" authorId="0" shapeId="0" xr:uid="{996C647C-AC4F-4277-8F52-0D2CA71B979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Bôi đỏ, ko b cấp từ t8</t>
        </r>
      </text>
    </comment>
    <comment ref="I16" authorId="0" shapeId="0" xr:uid="{147077F9-5CC2-4480-AC5B-8F8943851D6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Bôi đỉ, ko b caao từ t8</t>
        </r>
      </text>
    </comment>
  </commentList>
</comments>
</file>

<file path=xl/sharedStrings.xml><?xml version="1.0" encoding="utf-8"?>
<sst xmlns="http://schemas.openxmlformats.org/spreadsheetml/2006/main" count="5638" uniqueCount="1622">
  <si>
    <t xml:space="preserve">Anh Hướng - Phòng tập A2 </t>
  </si>
  <si>
    <t>Anh Hướng - Đèn chiếu  sáng Khán đài A - SVĐ</t>
  </si>
  <si>
    <t>5836</t>
  </si>
  <si>
    <t>1735</t>
  </si>
  <si>
    <t>Anh Hưng</t>
  </si>
  <si>
    <t>0913525259</t>
  </si>
  <si>
    <t>7782</t>
  </si>
  <si>
    <t xml:space="preserve">Nhà B - Sau ĐH Mở </t>
  </si>
  <si>
    <t>0973253788</t>
  </si>
  <si>
    <t>9780</t>
  </si>
  <si>
    <t>0904329912</t>
  </si>
  <si>
    <t>Phòng tập YOGA1</t>
  </si>
  <si>
    <t xml:space="preserve">Trường Cao Đẳng nghề BK </t>
  </si>
  <si>
    <t xml:space="preserve">Khoa Tiếng Việt- ĐHKHXH &amp; NV </t>
  </si>
  <si>
    <t xml:space="preserve">Anh Phong Photo T1 </t>
  </si>
  <si>
    <t>Chị Hằng photo T1</t>
  </si>
  <si>
    <t xml:space="preserve">TThợp tác NC &amp; PT CN định vị Vệ tinh ( NAVIS ) </t>
  </si>
  <si>
    <t xml:space="preserve">Anh Hướng SVĐBK </t>
  </si>
  <si>
    <t xml:space="preserve">Chị Thắng </t>
  </si>
  <si>
    <t>0903225372</t>
  </si>
  <si>
    <t>40857</t>
  </si>
  <si>
    <t xml:space="preserve">Trường Cao đẳng nghề BK 
</t>
  </si>
  <si>
    <t xml:space="preserve">Anh Hướng-Phòng tập 3 SVĐ 
 </t>
  </si>
  <si>
    <t xml:space="preserve">Chị Hằng - Xưởng Cồn </t>
  </si>
  <si>
    <t>Chị Hằng</t>
  </si>
  <si>
    <t>Mai sơn Vinh</t>
  </si>
  <si>
    <t>Lê Thị Hạnh</t>
  </si>
  <si>
    <t>Mai Sơn Vinh</t>
  </si>
  <si>
    <t>Đơn giá trả công ty Điện lực HBT và hao tổn đường dây</t>
  </si>
  <si>
    <t>01685291952</t>
  </si>
  <si>
    <t>Số 1 - Ngõ 17 Tạ Quang Bửu</t>
  </si>
  <si>
    <t>Số 1- Ngõ 17 Tạ Quang Bửu</t>
  </si>
  <si>
    <t>Chị Duyên- Viện NC&amp;PT ứng dụng Hóa chất Tự nhiên</t>
  </si>
  <si>
    <t>ĐH KHXH&amp; NV - Khoa Tiếng Việt</t>
  </si>
  <si>
    <t>3543</t>
  </si>
  <si>
    <t>GIZ</t>
  </si>
  <si>
    <t xml:space="preserve">Chị Yến </t>
  </si>
  <si>
    <t>8544</t>
  </si>
  <si>
    <t>B13</t>
  </si>
  <si>
    <t>Tầng 4 - Số 10 TQB</t>
  </si>
  <si>
    <t xml:space="preserve">Văn phòng TT phục vụ Bách khoa </t>
  </si>
  <si>
    <t xml:space="preserve">Sảnh nhà T - tầng 1 </t>
  </si>
  <si>
    <t>Ông Hướng</t>
  </si>
  <si>
    <t>2709</t>
  </si>
  <si>
    <t>Trạm SVĐ</t>
  </si>
  <si>
    <t>6 công tơ :603,226,716,576,801,170</t>
  </si>
  <si>
    <t>4 Cột chiếu sáng lớn, Sân Vận động Bách Khoa</t>
  </si>
  <si>
    <t>2 CT</t>
  </si>
  <si>
    <t>40112</t>
  </si>
  <si>
    <t>0619</t>
  </si>
  <si>
    <t>Khán đài A -SVĐ</t>
  </si>
  <si>
    <t>0357</t>
  </si>
  <si>
    <t>Nhà thi đấu</t>
  </si>
  <si>
    <t>8467</t>
  </si>
  <si>
    <t>Khán đài A</t>
  </si>
  <si>
    <t>PKTĐNTĐ</t>
  </si>
  <si>
    <t>SVĐ</t>
  </si>
  <si>
    <t>6988</t>
  </si>
  <si>
    <t>1271</t>
  </si>
  <si>
    <t>A. Trung</t>
  </si>
  <si>
    <t>A. Hướng</t>
  </si>
  <si>
    <t>Viện Khoa học và Công nghệ môi trường</t>
  </si>
  <si>
    <t>Trạm Biến áp B1</t>
  </si>
  <si>
    <t>Công ty TNHH sản xuất sạch VN</t>
  </si>
  <si>
    <t>Ông Trần Văn Nhân</t>
  </si>
  <si>
    <t>0903444741</t>
  </si>
  <si>
    <t>Công ty TNHH SX sạch VN</t>
  </si>
  <si>
    <t>P228</t>
  </si>
  <si>
    <t>Phòng 228-Thư viện TQB</t>
  </si>
  <si>
    <t>Ngõ 40 Tạ Quang Bửu</t>
  </si>
  <si>
    <t>Xưởng in Viện KT Hóa học</t>
  </si>
  <si>
    <t>Viện Kỹ thuật hóa học</t>
  </si>
  <si>
    <t>Tầng 4 - nhà B1</t>
  </si>
  <si>
    <t>A Trung - TT Thể thao văn hóa</t>
  </si>
  <si>
    <t>0956</t>
  </si>
  <si>
    <t>Anh  Trung</t>
  </si>
  <si>
    <t>Anh Trung</t>
  </si>
  <si>
    <t>Viện Nghiên cứu cao cấp về Toán</t>
  </si>
  <si>
    <t>Ông Nam</t>
  </si>
  <si>
    <t>0912482100</t>
  </si>
  <si>
    <t>10 công tơ</t>
  </si>
  <si>
    <t>ĐN 2 Tầng 2- Nhà A17</t>
  </si>
  <si>
    <t>0757</t>
  </si>
  <si>
    <t>Tủ cầu thang T2</t>
  </si>
  <si>
    <t>5163</t>
  </si>
  <si>
    <t>Anh Hà</t>
  </si>
  <si>
    <t>0976117610</t>
  </si>
  <si>
    <t>Phòng 701,703, 705,707 - Thư viện TQB</t>
  </si>
  <si>
    <t>11498</t>
  </si>
  <si>
    <t>1157</t>
  </si>
  <si>
    <t>Ban Tiện -TTTHCNCK</t>
  </si>
  <si>
    <t>Ban phay bào</t>
  </si>
  <si>
    <t>0906123357</t>
  </si>
  <si>
    <t>Nhà C- Viện ĐTLT</t>
  </si>
  <si>
    <t>PTN Hàn -TTTHCNCK</t>
  </si>
  <si>
    <t>9497</t>
  </si>
  <si>
    <t xml:space="preserve">Nhà D6 </t>
  </si>
  <si>
    <t>0566</t>
  </si>
  <si>
    <t>1731</t>
  </si>
  <si>
    <t>5125</t>
  </si>
  <si>
    <t>5109</t>
  </si>
  <si>
    <t>8820</t>
  </si>
  <si>
    <t>9277</t>
  </si>
  <si>
    <t>9357</t>
  </si>
  <si>
    <t>9310</t>
  </si>
  <si>
    <t>Hoàng thị Thanh Duyên</t>
  </si>
  <si>
    <t xml:space="preserve"> Cầu thang TC, Nhà Tại chức</t>
  </si>
  <si>
    <t>0949318686</t>
  </si>
  <si>
    <t>2184</t>
  </si>
  <si>
    <t>Hoàng Văn Hưởng</t>
  </si>
  <si>
    <t>Công ty CP Thân thiện Môi trường Bách Khoa</t>
  </si>
  <si>
    <t>Nhà phụ D6-B</t>
  </si>
  <si>
    <t>P104 nhà T- TTTHCNCK</t>
  </si>
  <si>
    <t>3992</t>
  </si>
  <si>
    <t>Phòng 203 nhà T</t>
  </si>
  <si>
    <t>6544</t>
  </si>
  <si>
    <t>Viện NC PT ứng dụng hóa chất (INNAPRO)</t>
  </si>
  <si>
    <t>0982404936</t>
  </si>
  <si>
    <t>T3 - C10</t>
  </si>
  <si>
    <t xml:space="preserve">Chị Hiền - Quầy sách báo thể thao
</t>
  </si>
  <si>
    <t>C5- ĐH Bách Khoa HN</t>
  </si>
  <si>
    <t>Số1 - Ngõ 17 Tạ Quang Bửu</t>
  </si>
  <si>
    <t>2041</t>
  </si>
  <si>
    <t>Cầu thang C6</t>
  </si>
  <si>
    <t>2706</t>
  </si>
  <si>
    <t>0906850866</t>
  </si>
  <si>
    <t>Nguyễn Mạnh Tám</t>
  </si>
  <si>
    <t>Trường ĐHXD</t>
  </si>
  <si>
    <t>0041</t>
  </si>
  <si>
    <t>0902286817</t>
  </si>
  <si>
    <t>Bùi Danh Đại</t>
  </si>
  <si>
    <t>TĐN2</t>
  </si>
  <si>
    <t>3909</t>
  </si>
  <si>
    <t>Trạm B1</t>
  </si>
  <si>
    <t xml:space="preserve">Nhà B tầng hầm đầu hồi </t>
  </si>
  <si>
    <t>Tầng 4 - ĐN 2 - Nhà  A17</t>
  </si>
  <si>
    <t>Trường Cao đẳng nghề BK</t>
  </si>
  <si>
    <t>TVTQB</t>
  </si>
  <si>
    <t>2708</t>
  </si>
  <si>
    <t>0904185867</t>
  </si>
  <si>
    <t>Huỳnh Trung Hải</t>
  </si>
  <si>
    <t>P 403, 406 C10</t>
  </si>
  <si>
    <t>Viện CN Sinh học &amp; Thực phẩm</t>
  </si>
  <si>
    <t>0912019429</t>
  </si>
  <si>
    <t>Phạm Thành Huy</t>
  </si>
  <si>
    <t>Tầng 2</t>
  </si>
  <si>
    <t>4091</t>
  </si>
  <si>
    <t>3756</t>
  </si>
  <si>
    <t>2484</t>
  </si>
  <si>
    <t xml:space="preserve">Tầng 4 - C10 </t>
  </si>
  <si>
    <t>0904509467</t>
  </si>
  <si>
    <t>Tạ Hải Tùng</t>
  </si>
  <si>
    <t>TThợp tác NC &amp; PT CN định vị Vệ tinh ( NAVIS )</t>
  </si>
  <si>
    <t>Phạm Thị Ngọc Yến</t>
  </si>
  <si>
    <t>Tầng 8,9,10 - Toà nhà B1</t>
  </si>
  <si>
    <t>0913219088</t>
  </si>
  <si>
    <t>Nguyễn Văn Khang</t>
  </si>
  <si>
    <t>Thư viện TQB</t>
  </si>
  <si>
    <t>P 625 - TV TQB</t>
  </si>
  <si>
    <t>Phòng 611 - TV TQB</t>
  </si>
  <si>
    <t>0917328918</t>
  </si>
  <si>
    <t>Lê Thị Tâm</t>
  </si>
  <si>
    <t xml:space="preserve">Tầng 3 - Viện AIST </t>
  </si>
  <si>
    <t xml:space="preserve">Viện AIST </t>
  </si>
  <si>
    <t>5001</t>
  </si>
  <si>
    <t>0989861975</t>
  </si>
  <si>
    <t>Lê Minh Thắng</t>
  </si>
  <si>
    <t>PTN Tầng 1 - Viện HAST</t>
  </si>
  <si>
    <t>Tủ tổng</t>
  </si>
  <si>
    <t>9288</t>
  </si>
  <si>
    <t>0913207237</t>
  </si>
  <si>
    <t>T1 cầu thang</t>
  </si>
  <si>
    <t>7041</t>
  </si>
  <si>
    <t>0912622275</t>
  </si>
  <si>
    <t>Nguyễn Viết Trung</t>
  </si>
  <si>
    <t xml:space="preserve">Bể bơi BK </t>
  </si>
  <si>
    <t>2667</t>
  </si>
  <si>
    <t>Viện Cơ khí</t>
  </si>
  <si>
    <t>Tầng 3</t>
  </si>
  <si>
    <t>0322</t>
  </si>
  <si>
    <t>0905608271</t>
  </si>
  <si>
    <t>Phùng Lan Hương</t>
  </si>
  <si>
    <t>Nhà E</t>
  </si>
  <si>
    <t>Tủ ĐN 2</t>
  </si>
  <si>
    <t>Tầng 5 - ĐN 2 Nhà A17</t>
  </si>
  <si>
    <t>01379</t>
  </si>
  <si>
    <t>86679</t>
  </si>
  <si>
    <t>Tủ tầng 2</t>
  </si>
  <si>
    <t>8533</t>
  </si>
  <si>
    <t>0982280945</t>
  </si>
  <si>
    <t>Đặng Vũ Vinh</t>
  </si>
  <si>
    <t>Khu chăn nuôi</t>
  </si>
  <si>
    <t>Trong phòng</t>
  </si>
  <si>
    <t>6333</t>
  </si>
  <si>
    <t>0912228148</t>
  </si>
  <si>
    <t>Trần Chí Minh</t>
  </si>
  <si>
    <t xml:space="preserve">Khán đài B - SVĐ </t>
  </si>
  <si>
    <t>3206</t>
  </si>
  <si>
    <t>BM  TK Máy &amp; Rôbốt</t>
  </si>
  <si>
    <t>Cầu thang</t>
  </si>
  <si>
    <t>2278</t>
  </si>
  <si>
    <t xml:space="preserve">Ngõ 15 - TQB </t>
  </si>
  <si>
    <t>Trạm B4BK</t>
  </si>
  <si>
    <t>0912339926</t>
  </si>
  <si>
    <t>Dương Văn Thế</t>
  </si>
  <si>
    <t>Nhà ăn A 1-5</t>
  </si>
  <si>
    <t>0651</t>
  </si>
  <si>
    <t>2453</t>
  </si>
  <si>
    <t>Xưởng NL</t>
  </si>
  <si>
    <t>6190</t>
  </si>
  <si>
    <t>Viện Nhiệt lạnh</t>
  </si>
  <si>
    <t>Xưởng Áp lực</t>
  </si>
  <si>
    <t xml:space="preserve">Lớp học số11 Tạ Quang Bửu </t>
  </si>
  <si>
    <t>Hầm nhà C</t>
  </si>
  <si>
    <t>0319</t>
  </si>
  <si>
    <t xml:space="preserve">Nhà C </t>
  </si>
  <si>
    <t>Nhà TC Mới 5 tầng</t>
  </si>
  <si>
    <t xml:space="preserve">Nhà TC - Tầng 2 </t>
  </si>
  <si>
    <t>TĐN3</t>
  </si>
  <si>
    <t>2059</t>
  </si>
  <si>
    <t>3394</t>
  </si>
  <si>
    <t>3629</t>
  </si>
  <si>
    <t>TĐN 2</t>
  </si>
  <si>
    <t>3722</t>
  </si>
  <si>
    <t>TĐN 3</t>
  </si>
  <si>
    <t>3291</t>
  </si>
  <si>
    <t>5428</t>
  </si>
  <si>
    <t>BK3B</t>
  </si>
  <si>
    <t>Tủ tổng PTN</t>
  </si>
  <si>
    <t>6771</t>
  </si>
  <si>
    <t xml:space="preserve">3399 </t>
  </si>
  <si>
    <t>D1- 301</t>
  </si>
  <si>
    <t>PTN trọng điểm Polyme&amp; Compozit</t>
  </si>
  <si>
    <t>Tủ tổng TT</t>
  </si>
  <si>
    <t>77805</t>
  </si>
  <si>
    <t xml:space="preserve">Đường đôi </t>
  </si>
  <si>
    <t>Tủ tổng Tầng 2</t>
  </si>
  <si>
    <t>10462</t>
  </si>
  <si>
    <t>Tủ tổng tầng 4</t>
  </si>
  <si>
    <t xml:space="preserve">Trạm bơm C6 </t>
  </si>
  <si>
    <t xml:space="preserve">PTN công trình thủy Tầng 1 - C 6 </t>
  </si>
  <si>
    <t xml:space="preserve">Trường ĐHXD </t>
  </si>
  <si>
    <t xml:space="preserve"> BK1</t>
  </si>
  <si>
    <t>C3B</t>
  </si>
  <si>
    <t>Tủ tổng xưởng</t>
  </si>
  <si>
    <t>7269</t>
  </si>
  <si>
    <t>Hòm số 8</t>
  </si>
  <si>
    <t>3241</t>
  </si>
  <si>
    <t>0904303887</t>
  </si>
  <si>
    <t>Lê Đức Bảo</t>
  </si>
  <si>
    <t xml:space="preserve"> 108 C8 </t>
  </si>
  <si>
    <t>Tại phòng</t>
  </si>
  <si>
    <t>7763</t>
  </si>
  <si>
    <t xml:space="preserve">102 C8 </t>
  </si>
  <si>
    <t>Hòm số 3</t>
  </si>
  <si>
    <t>7725</t>
  </si>
  <si>
    <t>Cửa hành lang</t>
  </si>
  <si>
    <t>7435</t>
  </si>
  <si>
    <t>Viện KH&amp; CN Môi trường</t>
  </si>
  <si>
    <t>2458</t>
  </si>
  <si>
    <t>4708</t>
  </si>
  <si>
    <t>Đại học Mỏ địa chất</t>
  </si>
  <si>
    <t>Thành tiền</t>
  </si>
  <si>
    <t>Điện năng tiêu thụ phải trả</t>
  </si>
  <si>
    <t>Bao cấp</t>
  </si>
  <si>
    <t>Tổng điện năng 
tiêu thụ</t>
  </si>
  <si>
    <t>Hệ số nhân</t>
  </si>
  <si>
    <t>Chỉ số cũ</t>
  </si>
  <si>
    <t>Chỉ số mới</t>
  </si>
  <si>
    <t>Vị trí 
đặt công tơ</t>
  </si>
  <si>
    <t>Loại công tơ</t>
  </si>
  <si>
    <t>Số công tơ</t>
  </si>
  <si>
    <t>STT</t>
  </si>
  <si>
    <t>Chỉ số 
cũ</t>
  </si>
  <si>
    <t>Hệ số</t>
  </si>
  <si>
    <t>Đơn giá
(VNĐ)</t>
  </si>
  <si>
    <t>Thành tiền
(VNĐ)</t>
  </si>
  <si>
    <t>Tổng cộng:</t>
  </si>
  <si>
    <t>NGƯỜI LẬP PHIẾU</t>
  </si>
  <si>
    <t>104 C8</t>
  </si>
  <si>
    <t>Hộ tiêu thụ điện</t>
  </si>
  <si>
    <t>Địa chỉ hộ
tiêu thụ điện</t>
  </si>
  <si>
    <t>Điện thoại 
hộ tiêu thụ điện</t>
  </si>
  <si>
    <t>Điện thoại
 người đại diện</t>
  </si>
  <si>
    <t>Trạm biến áp</t>
  </si>
  <si>
    <t>2361</t>
  </si>
  <si>
    <t>KTĐ A6</t>
  </si>
  <si>
    <t>KTĐ C6</t>
  </si>
  <si>
    <t>KTĐ A7</t>
  </si>
  <si>
    <t>KTĐ</t>
  </si>
  <si>
    <t xml:space="preserve">Tầng 1 Nhà A - Phố Nguyễn Hiền  </t>
  </si>
  <si>
    <t>Tầng 2,3 Nhà A- Phố Nguyễn Hiền</t>
  </si>
  <si>
    <t>Nguyễn Văn Chương</t>
  </si>
  <si>
    <t>Từ số:</t>
  </si>
  <si>
    <t>Đến số:</t>
  </si>
  <si>
    <t>Phiếu thu tháng:</t>
  </si>
  <si>
    <t>năm</t>
  </si>
  <si>
    <t>Bưu điện Bách Khoa</t>
  </si>
  <si>
    <t>Quán tròn C5</t>
  </si>
  <si>
    <t>Tổ Ô tô - Ngõ 17 TQB</t>
  </si>
  <si>
    <t>PHIẾU THÔNG BÁO ĐIỆN TIÊU THỤ</t>
  </si>
  <si>
    <t>Hướng dẫn để thằng ngu nhất quả đất cũng làm được:</t>
  </si>
  <si>
    <t>- Kiểm tra thông tin của hộ tiêu thụ (Tên và địa chỉ)</t>
  </si>
  <si>
    <t>- Kiểm tra số kw được bao cấp và hệ số nhân</t>
  </si>
  <si>
    <t>- Chọn số phiếu thu cần in (P2 và P3) Enter</t>
  </si>
  <si>
    <t>- Click vào IN PHIẾU THU</t>
  </si>
  <si>
    <t>- Phiếu thông báo điện tiêu thụ được format trên khổ giấy A5, in luôn, không phải xoắn</t>
  </si>
  <si>
    <t>Chú ý:</t>
  </si>
  <si>
    <t>- Phiếu thông báo được lưu tại sheet "Phiếu thông báo"</t>
  </si>
  <si>
    <t>- In bảng tổng hợp tại sheet "Bảng tổng hợp"</t>
  </si>
  <si>
    <t>- Biết thì phá, không biết từ từ hãy phá, chỉ thao tác ở sheet "Nhập dữ liệu"</t>
  </si>
  <si>
    <t>- Chọn sheet "Nhập dữ liệu", Bấm vào nút "LAM THANG MOI"</t>
  </si>
  <si>
    <t>- Sau khi bấm vào LAM THANG MOI cậu/mợ nào làm nhớ Save as ra file khác với tên file có dạng "Phieu dien Txx nam xxxx" không sau này muốn tra lại thì vỡ mồm con chồn</t>
  </si>
  <si>
    <t>ĐCĐT</t>
  </si>
  <si>
    <t>3 pha</t>
  </si>
  <si>
    <t>BK2</t>
  </si>
  <si>
    <t>Trạm BK2</t>
  </si>
  <si>
    <t>3259</t>
  </si>
  <si>
    <t>0904173826</t>
  </si>
  <si>
    <t>Nguyễn Khắc Kiểm</t>
  </si>
  <si>
    <t>Nhà C4 B</t>
  </si>
  <si>
    <t>2507</t>
  </si>
  <si>
    <t>0915396901</t>
  </si>
  <si>
    <t>Vũ Ngọc Hùng</t>
  </si>
  <si>
    <t>Tòa nhà ITIM</t>
  </si>
  <si>
    <t>Viện ĐTQT về KHVL ( ITIM)</t>
  </si>
  <si>
    <t>THCK</t>
  </si>
  <si>
    <t>Tầng 1</t>
  </si>
  <si>
    <t>Ngõ 17- TQB</t>
  </si>
  <si>
    <t>BK1</t>
  </si>
  <si>
    <t>Tầng 1- Khoa TV</t>
  </si>
  <si>
    <t>9094</t>
  </si>
  <si>
    <t>B1</t>
  </si>
  <si>
    <t>Nhà xe ô tô</t>
  </si>
  <si>
    <t>1 pha</t>
  </si>
  <si>
    <t>6460</t>
  </si>
  <si>
    <t>KĐ A- SVĐ</t>
  </si>
  <si>
    <t>8419</t>
  </si>
  <si>
    <t>0912223464</t>
  </si>
  <si>
    <t>Hoàng Văn Hướng</t>
  </si>
  <si>
    <t>TT Thể thao văn hóa</t>
  </si>
  <si>
    <t>5688</t>
  </si>
  <si>
    <t>Tủ tổng T1</t>
  </si>
  <si>
    <t>Tủ ĐN1</t>
  </si>
  <si>
    <t>ĐLK</t>
  </si>
  <si>
    <t>Tầng 5 D5</t>
  </si>
  <si>
    <t>8306</t>
  </si>
  <si>
    <t>0913534544</t>
  </si>
  <si>
    <t>Nguyễn Trung Dũng</t>
  </si>
  <si>
    <t>0916834574</t>
  </si>
  <si>
    <t>Vũ Thị Thanh Hiền</t>
  </si>
  <si>
    <t>0982796816</t>
  </si>
  <si>
    <t>Tầng 1 TTPV</t>
  </si>
  <si>
    <t>Vũ Thị Tuyết</t>
  </si>
  <si>
    <t>ATM - Cổng bảo vệ C8</t>
  </si>
  <si>
    <t>3564</t>
  </si>
  <si>
    <t>Tầng 4</t>
  </si>
  <si>
    <t>7671</t>
  </si>
  <si>
    <t>Tổ ô tô</t>
  </si>
  <si>
    <t>0912460604</t>
  </si>
  <si>
    <t>Ngô Viết Chiến</t>
  </si>
  <si>
    <t>Tổ Ô tô- Ngõ 17 TQB</t>
  </si>
  <si>
    <t>3113</t>
  </si>
  <si>
    <t>Nguyễn Văn Tường</t>
  </si>
  <si>
    <t>4607</t>
  </si>
  <si>
    <t>0912001064</t>
  </si>
  <si>
    <t>Hoàng Văn Thanh</t>
  </si>
  <si>
    <t>Nhà khách BK</t>
  </si>
  <si>
    <t>Tủ Tổng</t>
  </si>
  <si>
    <t>12992</t>
  </si>
  <si>
    <t>Tủ ĐN2</t>
  </si>
  <si>
    <t>Tầng 2 ĐN2 - Nhà A17 TQB</t>
  </si>
  <si>
    <t>Trường Cao Đẳng nghề BK</t>
  </si>
  <si>
    <t>Tầng 4 ĐN1 - Nhà A17 TQB</t>
  </si>
  <si>
    <t>0983366466</t>
  </si>
  <si>
    <t>Trịnh Hữu Ngọc</t>
  </si>
  <si>
    <t>Tầng 3 ĐN2 -  A17</t>
  </si>
  <si>
    <t>Tầng 2 ĐN 1- A17</t>
  </si>
  <si>
    <t>Phòng 8 Tầng 1 - Nhà A17 TQB</t>
  </si>
  <si>
    <t xml:space="preserve">Phòng 6 Tầng 1 - Nhà A17 </t>
  </si>
  <si>
    <t>Phòng 2 Tầng 1 - Nhà A17 TQB</t>
  </si>
  <si>
    <t xml:space="preserve">Phòng 5 Tầng 1 - Nhà A17 TQB </t>
  </si>
  <si>
    <t>0915344727</t>
  </si>
  <si>
    <t>Nguyễn Thị Đông</t>
  </si>
  <si>
    <t xml:space="preserve">Phòng 4 Tầng 1 - Nhà A17 TQB </t>
  </si>
  <si>
    <t>0915805666</t>
  </si>
  <si>
    <t>Hoàng Tuấn Bằng</t>
  </si>
  <si>
    <t>Phòng 3 Tầng 1 - Nhà A17</t>
  </si>
  <si>
    <t>Tủ tổng KCN</t>
  </si>
  <si>
    <t>KĐ B-SVĐ</t>
  </si>
  <si>
    <t>3476</t>
  </si>
  <si>
    <t>9928</t>
  </si>
  <si>
    <t>Trong xưởng</t>
  </si>
  <si>
    <t>10A TQB</t>
  </si>
  <si>
    <t>60755</t>
  </si>
  <si>
    <t>Dịch vụ trông xe - 10 A TQB</t>
  </si>
  <si>
    <t>Công ty  CP XD Hồng Hà</t>
  </si>
  <si>
    <t>Tủ PP Trạm B1</t>
  </si>
  <si>
    <t>Tủ tổng A15</t>
  </si>
  <si>
    <t>TT Phục vụ BK</t>
  </si>
  <si>
    <t>Viện Đào tạo Liên tục</t>
  </si>
  <si>
    <t>Tủ tổng T2</t>
  </si>
  <si>
    <t>Tủ ĐN 1 T1</t>
  </si>
  <si>
    <t>0913015407</t>
  </si>
  <si>
    <t>Tủ ĐN 1 T3</t>
  </si>
  <si>
    <t>Trịnh Thị Tân</t>
  </si>
  <si>
    <t>Tổng D3</t>
  </si>
  <si>
    <t>0982501226</t>
  </si>
  <si>
    <t>Tạ  Xuân Hiệu</t>
  </si>
  <si>
    <t>ATM - D3</t>
  </si>
  <si>
    <t>Ngân hàng VP BANK</t>
  </si>
  <si>
    <t>0912567686</t>
  </si>
  <si>
    <t>Cầu thang 1 T1- D3</t>
  </si>
  <si>
    <t>0912285289</t>
  </si>
  <si>
    <t>Cầu thang T1 D5</t>
  </si>
  <si>
    <t>0912372528</t>
  </si>
  <si>
    <t>Cầu thang T1 D9</t>
  </si>
  <si>
    <t xml:space="preserve"> 9862</t>
  </si>
  <si>
    <t>tổng phòng</t>
  </si>
  <si>
    <t xml:space="preserve"> 3304</t>
  </si>
  <si>
    <t>0903237333</t>
  </si>
  <si>
    <t>Trần Đình Cát</t>
  </si>
  <si>
    <t>Cầu thang D6</t>
  </si>
  <si>
    <t xml:space="preserve"> 3842</t>
  </si>
  <si>
    <t>Quán tròn C9</t>
  </si>
  <si>
    <t xml:space="preserve">Quán tròn C9 </t>
  </si>
  <si>
    <t>Trạm THCK</t>
  </si>
  <si>
    <t>Ban nguội nhà T</t>
  </si>
  <si>
    <t>Tầng 1 Thư viện TQB</t>
  </si>
  <si>
    <t>3450</t>
  </si>
  <si>
    <t>3974</t>
  </si>
  <si>
    <t>6203</t>
  </si>
  <si>
    <t>9903</t>
  </si>
  <si>
    <t>2451</t>
  </si>
  <si>
    <t>4881</t>
  </si>
  <si>
    <t>Tầng 3 ĐN 1- A17</t>
  </si>
  <si>
    <t>5089</t>
  </si>
  <si>
    <t xml:space="preserve">15 Tạ Quang Bửu </t>
  </si>
  <si>
    <t>Viện AIST</t>
  </si>
  <si>
    <t>TT Thể thao VH</t>
  </si>
  <si>
    <t>Dự án NANO</t>
  </si>
  <si>
    <t>Tòa nhà B1</t>
  </si>
  <si>
    <t>C3</t>
  </si>
  <si>
    <t>C6</t>
  </si>
  <si>
    <t>Tầng 1 - D9</t>
  </si>
  <si>
    <t>Tầng 1 - D5</t>
  </si>
  <si>
    <t>Tầng 1 - D3</t>
  </si>
  <si>
    <t>Phòng 601 - 608 Tòa nhà TQB</t>
  </si>
  <si>
    <t>Phòng 103 - Tầng 1 nhà T</t>
  </si>
  <si>
    <t>PTN Xây dựng C3-ĐHXD</t>
  </si>
  <si>
    <t>PTN Công trình Thủy C6-ĐHXD</t>
  </si>
  <si>
    <t>Tầng 2 - B4</t>
  </si>
  <si>
    <t>Nguyễn Thế Mạnh (phòng TB)</t>
  </si>
  <si>
    <t>Căng tin Tầng 3 nhà T</t>
  </si>
  <si>
    <t xml:space="preserve"> Tầng 3 nhà T</t>
  </si>
  <si>
    <t>Trung tâm Phục vụ Bách khoa</t>
  </si>
  <si>
    <t>TT Thể thao văn hóa - Nhà xe SVĐ</t>
  </si>
  <si>
    <t>TT Thể thao văn hóa- Đèn chiếu SVĐ</t>
  </si>
  <si>
    <t>SVĐ Bách Khoa</t>
  </si>
  <si>
    <t xml:space="preserve"> SVĐ Bách Khoa</t>
  </si>
  <si>
    <t xml:space="preserve">Ngân hàng  Sacombank  </t>
  </si>
  <si>
    <t>TT Thể thao VH ngõ 40 TQB</t>
  </si>
  <si>
    <t xml:space="preserve">  Phòng 501, 502 - D5</t>
  </si>
  <si>
    <t xml:space="preserve"> Khán đài A- SVĐ</t>
  </si>
  <si>
    <t>B7 Bis</t>
  </si>
  <si>
    <t xml:space="preserve"> VP-Trường Cao Đẳng Nghề BK</t>
  </si>
  <si>
    <t xml:space="preserve"> 15 Tạ Quang Bửu </t>
  </si>
  <si>
    <t>Tầng 3- TT PVBK</t>
  </si>
  <si>
    <t>Đại diện hộ tiêu thụ</t>
  </si>
  <si>
    <t>Đơn vị chủ quản</t>
  </si>
  <si>
    <t xml:space="preserve">Số 5- Ngõ 15 - TQB </t>
  </si>
  <si>
    <t>1534</t>
  </si>
  <si>
    <t>Trần Thị Thu</t>
  </si>
  <si>
    <t>Nguyễn minh Hằng</t>
  </si>
  <si>
    <t>0912669088</t>
  </si>
  <si>
    <t>P111 C- TVTQB</t>
  </si>
  <si>
    <t>Xưởng C8b</t>
  </si>
  <si>
    <t>Nhà T - P 205 - TTTHCK</t>
  </si>
  <si>
    <t>Nhà T - P 206 - TTTHCK</t>
  </si>
  <si>
    <t xml:space="preserve">Ông Minh - BM Vật lý ĐC,Viện VLKT </t>
  </si>
  <si>
    <t>Ông Vinh, Máy MS học, Viện CK</t>
  </si>
  <si>
    <t>Tầng 1 D3-5</t>
  </si>
  <si>
    <t xml:space="preserve">Anh Thanh - Xưởng Cơ khí </t>
  </si>
  <si>
    <t>Số 10 - TQB</t>
  </si>
  <si>
    <t>2189</t>
  </si>
  <si>
    <t>P111A - Thư viện TQB</t>
  </si>
  <si>
    <t>Nguyễn Xuân Phong</t>
  </si>
  <si>
    <t>0912484646</t>
  </si>
  <si>
    <t>2172</t>
  </si>
  <si>
    <t>P111A - TVTQB</t>
  </si>
  <si>
    <t>0989083546</t>
  </si>
  <si>
    <t>Tầng 1- B4</t>
  </si>
  <si>
    <t>Anh Hải</t>
  </si>
  <si>
    <t>Nguyễn Minh Tân</t>
  </si>
  <si>
    <t>0942373386</t>
  </si>
  <si>
    <t>Chị Kim</t>
  </si>
  <si>
    <t>Phan Đức Hòa</t>
  </si>
  <si>
    <t>0984811522</t>
  </si>
  <si>
    <t xml:space="preserve">6 công tơ </t>
  </si>
  <si>
    <t>Anh Hiệu</t>
  </si>
  <si>
    <t>0912073015</t>
  </si>
  <si>
    <t>T 9 - TV TQB</t>
  </si>
  <si>
    <t xml:space="preserve"> Thư viện TQB</t>
  </si>
  <si>
    <t>Nguyễn Hữu Thanh</t>
  </si>
  <si>
    <t>0912523624</t>
  </si>
  <si>
    <t>Viện Điện tử viễn thông</t>
  </si>
  <si>
    <t>PTN Vi Mạch - Viện Điện tử Viễn thông</t>
  </si>
  <si>
    <t>PTN  Viện ĐTVT- Thư viện TQB</t>
  </si>
  <si>
    <t>Nguyễn Thị Phượng</t>
  </si>
  <si>
    <t>0942373388</t>
  </si>
  <si>
    <t>0909091296</t>
  </si>
  <si>
    <t>Chị Duyên - photocopy</t>
  </si>
  <si>
    <t>Tầng 3 - Số 10 Tạ Quang Bửu</t>
  </si>
  <si>
    <t>6654</t>
  </si>
  <si>
    <t>Chị Duyên - phòng PV giáo trình</t>
  </si>
  <si>
    <t>Tầng 1 - Nhà TC - Viện ĐTLT</t>
  </si>
  <si>
    <t>1182</t>
  </si>
  <si>
    <t>Gầm cầu thang</t>
  </si>
  <si>
    <t>Ông Phong -Phòng tập Gym</t>
  </si>
  <si>
    <t xml:space="preserve">  Số 10 Tạ Quang Bửu </t>
  </si>
  <si>
    <t>Cộng:</t>
  </si>
  <si>
    <t>Ông Phương - Thi công nhà D8</t>
  </si>
  <si>
    <t>Cty Cổ phần Đầu tư và XDCN</t>
  </si>
  <si>
    <t>Cty TNHH MTV 
tư vấn và CGCN BK</t>
  </si>
  <si>
    <t>36231542</t>
  </si>
  <si>
    <t xml:space="preserve"> Ông  Hưởng - Sân Tennis BK </t>
  </si>
  <si>
    <t>0968184555</t>
  </si>
  <si>
    <t xml:space="preserve">Nhà D7 </t>
  </si>
  <si>
    <t>Trang</t>
  </si>
  <si>
    <t xml:space="preserve">Mã quyển </t>
  </si>
  <si>
    <t>Viện KH&amp;KT Vật liệu</t>
  </si>
  <si>
    <t>Tổ ôtô - Ngõ 17 Tạ Quang Bửu</t>
  </si>
  <si>
    <t>Cổng Bảo vệ - Bể bơi BK</t>
  </si>
  <si>
    <t>Viện Vật lý kỹ thuật</t>
  </si>
  <si>
    <t>Viện Điện</t>
  </si>
  <si>
    <t>Ban CNC Nhà T - P102 - TTTHCK</t>
  </si>
  <si>
    <t>PTN Hàn P110 A - Nhà T - TTTHCK</t>
  </si>
  <si>
    <t xml:space="preserve">Nhà xuất bản BK </t>
  </si>
  <si>
    <t>Phan Thị Bắc(Tâm TB)</t>
  </si>
  <si>
    <t>Dương Thị Mai Hiên (Chình TB)</t>
  </si>
  <si>
    <t>Tầng 4 C10</t>
  </si>
  <si>
    <t>Tầng 1 nhà TC-Viện ĐTLT</t>
  </si>
  <si>
    <t>0625</t>
  </si>
  <si>
    <t>Tầng 1 - B4, ngõ 15 TQB</t>
  </si>
  <si>
    <t xml:space="preserve">Chị Yến -TT Đào tạo&amp; PT Sản phẩm TP </t>
  </si>
  <si>
    <t>11 công tơ</t>
  </si>
  <si>
    <t>8633; 0368; 8846</t>
  </si>
  <si>
    <t>Tạ Văn Minh</t>
  </si>
  <si>
    <t>ELEARNING CENTER</t>
  </si>
  <si>
    <t>Viện Cơ khí động lực</t>
  </si>
  <si>
    <t>PTN Động cơ đốt trong</t>
  </si>
  <si>
    <t>2 công tơ</t>
  </si>
  <si>
    <t>TBA ĐCĐT</t>
  </si>
  <si>
    <t>Tạ Thanh Hằng</t>
  </si>
  <si>
    <t>P 609-626  - TV TQB  (6 công tơ)</t>
  </si>
  <si>
    <t>Viện AIST (Tạm chưa thu)</t>
  </si>
  <si>
    <t>Tầng 1,2,3 - D6</t>
  </si>
  <si>
    <t>Thư viện Tạ Quang Bửu</t>
  </si>
  <si>
    <t>Thư viện Tạ Quang Bửu (ĐH phòng đọc)</t>
  </si>
  <si>
    <t>Phòng đọc - Thư viện TQB</t>
  </si>
  <si>
    <t>C. Huệ</t>
  </si>
  <si>
    <t>0934555468</t>
  </si>
  <si>
    <t>3pha</t>
  </si>
  <si>
    <t>Anh Thắng -Xưởng Vật liệu đúc</t>
  </si>
  <si>
    <t>Anh Thắng</t>
  </si>
  <si>
    <t>0902212196</t>
  </si>
  <si>
    <t>Số 5 Tạ Quang Bửu</t>
  </si>
  <si>
    <t>Ông Minh</t>
  </si>
  <si>
    <t>Xưởng  TB áp lực -Viện Nhiệt lạnh</t>
  </si>
  <si>
    <t>Xưởng TB áp lực -Viện Nhiệt lạnh</t>
  </si>
  <si>
    <t>0983656667</t>
  </si>
  <si>
    <t>Cổng Parabol</t>
  </si>
  <si>
    <t>Viettel</t>
  </si>
  <si>
    <t>Chị Linh</t>
  </si>
  <si>
    <t>0988885533</t>
  </si>
  <si>
    <t>Anh Toàn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</si>
  <si>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</si>
  <si>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36231035</t>
  </si>
  <si>
    <t>Bà Phạm Hồng Liên</t>
  </si>
  <si>
    <t>Nguyễn Quang Địch</t>
  </si>
  <si>
    <t xml:space="preserve">Chị Linh - Phòng GD Viettel 
</t>
  </si>
  <si>
    <t xml:space="preserve">11 Tạ Quang Bửu </t>
  </si>
  <si>
    <t>Các giảng đường</t>
  </si>
  <si>
    <t>Em Yến</t>
  </si>
  <si>
    <t>0948896289</t>
  </si>
  <si>
    <t>270,086,
170,068,183</t>
  </si>
  <si>
    <t>Sân bóng KTX B9</t>
  </si>
  <si>
    <t>0915150689</t>
  </si>
  <si>
    <t>Cty CP CNVedingmachine VN</t>
  </si>
  <si>
    <t xml:space="preserve">Em Yến -Cty CP CN Ve
dingMachine VN </t>
  </si>
  <si>
    <t>Dương Ngọc Mạnh</t>
  </si>
  <si>
    <t>0906177900</t>
  </si>
  <si>
    <t>Anh Hướng - Căng tin khán đài A -SVĐ</t>
  </si>
  <si>
    <t>Khán đài A - SVĐ</t>
  </si>
  <si>
    <t>Dự án Sam sung - Tầng 4 nhà B1</t>
  </si>
  <si>
    <t>Dự án Sam sung</t>
  </si>
  <si>
    <t>PKTD T4-B1</t>
  </si>
  <si>
    <t>Ban Phay bào - Nhà T</t>
  </si>
  <si>
    <t>104- nhà T</t>
  </si>
  <si>
    <t>Lê Huy Cường</t>
  </si>
  <si>
    <t>0912265004</t>
  </si>
  <si>
    <t>Ông Sơn xây dựng</t>
  </si>
  <si>
    <t>Nhà cấp 4 sau D9</t>
  </si>
  <si>
    <t>Ông Sơn</t>
  </si>
  <si>
    <t>0913561687</t>
  </si>
  <si>
    <t>Ông Thanh - Xây dựng</t>
  </si>
  <si>
    <t>Ông Sơn - Xây dựng -Lán trại Sinh hoạt</t>
  </si>
  <si>
    <t>Ông Thanh - Xây dựng-Lán trại sinh hoạt</t>
  </si>
  <si>
    <t>Ông Thanh</t>
  </si>
  <si>
    <t>0913591223</t>
  </si>
  <si>
    <t>Trung tâm VNPT Hà Nội</t>
  </si>
  <si>
    <t>Ngân hàng TMCP Công thương Việt Nam- Chi nhánh Hai Bà Trưng</t>
  </si>
  <si>
    <t>Trường THCS và THPT Tạ Quang Bửu</t>
  </si>
  <si>
    <t>Anh Phương - Citea Fun</t>
  </si>
  <si>
    <t>Anh Phương</t>
  </si>
  <si>
    <t>0912552709</t>
  </si>
  <si>
    <t>Phòng tập võ - TTPVBK</t>
  </si>
  <si>
    <t>Tầng 2- Số 10 Tạ quang Bửu</t>
  </si>
  <si>
    <t>0943288233</t>
  </si>
  <si>
    <t>chị Hoa</t>
  </si>
  <si>
    <t>Chị Hoa</t>
  </si>
  <si>
    <t>0903251444</t>
  </si>
  <si>
    <t>PTN Kính hiển vi - Viện AIST</t>
  </si>
  <si>
    <t>Anh Bảo</t>
  </si>
  <si>
    <t>Anh Toàn - BM Vật liệu điện tử- Viện VLKT</t>
  </si>
  <si>
    <t>Phòng R &amp; D Tầng 1 nhà B</t>
  </si>
  <si>
    <t>0912258465</t>
  </si>
  <si>
    <t>Tầng 3 - D2A</t>
  </si>
  <si>
    <t>Nguyễn Thị Xuân</t>
  </si>
  <si>
    <t>Chị  Xuân - Nhà ăn T3-D2A</t>
  </si>
  <si>
    <t>Phòng 405 - B1</t>
  </si>
  <si>
    <t>0942481255</t>
  </si>
  <si>
    <t>Trung tâm đào tạo thực hành Kỹ thuật điện</t>
  </si>
  <si>
    <t>Anh Vương - Giám đốc</t>
  </si>
  <si>
    <t>0963286734</t>
  </si>
  <si>
    <t>0904251166</t>
  </si>
  <si>
    <t>Chị Hà</t>
  </si>
  <si>
    <t>Nhà T - P 212 - Bộ môn Cơ điện tử</t>
  </si>
  <si>
    <t>TS. Nguyễn Trọng Doanh</t>
  </si>
  <si>
    <t>0432181066</t>
  </si>
  <si>
    <t>04855</t>
  </si>
  <si>
    <t>0904284290</t>
  </si>
  <si>
    <t>Anh Tấn</t>
  </si>
  <si>
    <t xml:space="preserve">Nguyễn Trung Dũng
</t>
  </si>
  <si>
    <t>Phòng 7 tầng 1 Nhà A17, TQB</t>
  </si>
  <si>
    <t>Viện Điện tử viễn thông- Trung tâm thực hành B4</t>
  </si>
  <si>
    <t>0913599552</t>
  </si>
  <si>
    <t>Bộ môn Gia công vật liệu - Dụng cụ công nghiệp</t>
  </si>
  <si>
    <t>Trung tâm thực hành B4</t>
  </si>
  <si>
    <t>Xưởng C14B-Phòng thí nghiệm Gia công vật liệu</t>
  </si>
  <si>
    <t>Ông Tạ Văn Sơn</t>
  </si>
  <si>
    <t>Tầng 4 - Nhà Hightech</t>
  </si>
  <si>
    <t>Trung tâm mạng lưới Mobifone miền Bắc-Chi nhánh tổng công ty viễn thông Mobifone</t>
  </si>
  <si>
    <t>chị Hải</t>
  </si>
  <si>
    <t>BTS Viện Quy hoạch
Tầng mái tòa nhà D4</t>
  </si>
  <si>
    <t>BTS Trần Đại Nghĩa 2
Tầng 10 - Tòa nhà B1</t>
  </si>
  <si>
    <t>chị Ngọc</t>
  </si>
  <si>
    <t>Ngân hàng TMCP Đầu tư và Phát triển chi nhánh Hà Thành</t>
  </si>
  <si>
    <t>BK Holding</t>
  </si>
  <si>
    <t>TBA SVĐ</t>
  </si>
  <si>
    <t>Viện điện</t>
  </si>
  <si>
    <t>Viện Kỹ thuật ĐK &amp; TĐH</t>
  </si>
  <si>
    <t>0904462309</t>
  </si>
  <si>
    <t>Ki ốt TT Y tế BK</t>
  </si>
  <si>
    <t>TT Y tế BK</t>
  </si>
  <si>
    <t>Phòng ĐTĐH</t>
  </si>
  <si>
    <t>Xưởng Cơ khí  102b đầu hồi nhà xe ĐN3</t>
  </si>
  <si>
    <t>Ông Dũng - BKHolding</t>
  </si>
  <si>
    <t>KTX</t>
  </si>
  <si>
    <t xml:space="preserve">Anh Tường </t>
  </si>
  <si>
    <t xml:space="preserve">Anh Chiến </t>
  </si>
  <si>
    <t>Phòng HCTH</t>
  </si>
  <si>
    <t>Chị Phượng -Photocopy</t>
  </si>
  <si>
    <t>Ông Mạnh (TB) -Photocopy</t>
  </si>
  <si>
    <t>Ông Tâm (TB) - Photocopy</t>
  </si>
  <si>
    <t>Ông Chình (TB) - Photocopy</t>
  </si>
  <si>
    <t>TT Mạng thông tin</t>
  </si>
  <si>
    <t>Trung tâm BK CNC</t>
  </si>
  <si>
    <t>Phòng học BM TBĐ</t>
  </si>
  <si>
    <t>Ngõ 15 Tạ Quang Bửu</t>
  </si>
  <si>
    <t>VVL</t>
  </si>
  <si>
    <t>TVĐT</t>
  </si>
  <si>
    <t>Công ty 319 BQP</t>
  </si>
  <si>
    <t>Nhà xe D6</t>
  </si>
  <si>
    <t>T2 nhà TC</t>
  </si>
  <si>
    <t>C10</t>
  </si>
  <si>
    <t>Tầng 3</t>
  </si>
  <si>
    <t>Cầu thang D6</t>
  </si>
  <si>
    <t>Tầng 2 B4</t>
  </si>
  <si>
    <t>Tủ điện tầng 1</t>
  </si>
  <si>
    <t>Công ty Châu Giang- Lán trại thi công</t>
  </si>
  <si>
    <t>Tủ tổng cạnh cửa</t>
  </si>
  <si>
    <t>Nấm tròn đường đôi</t>
  </si>
  <si>
    <t>T1 TTPVBK</t>
  </si>
  <si>
    <t>Nhà Khách BK</t>
  </si>
  <si>
    <t>Phòng Bi-a</t>
  </si>
  <si>
    <t>TBA KTX</t>
  </si>
  <si>
    <t>Cầu thang T1</t>
  </si>
  <si>
    <t>0528
7348</t>
  </si>
  <si>
    <t>TT y tế</t>
  </si>
  <si>
    <t>Nhà A15 TQB</t>
  </si>
  <si>
    <t xml:space="preserve">Nhà A15 TQB </t>
  </si>
  <si>
    <t>111C - TV TQB</t>
  </si>
  <si>
    <t>VNPT - wifi (Ký túc xá)</t>
  </si>
  <si>
    <t xml:space="preserve">Văn phòng </t>
  </si>
  <si>
    <t xml:space="preserve">Sân tập - Nhà Thi đấu </t>
  </si>
  <si>
    <t>Phòng học Cao đẳng nghề</t>
  </si>
  <si>
    <t>Anh Kiểm</t>
  </si>
  <si>
    <t>Ánh sáng khiêu vũ</t>
  </si>
  <si>
    <t>Nguyễn Trọng Hải</t>
  </si>
  <si>
    <t>Công ty Cổ phần Cơ khí chính xác</t>
  </si>
  <si>
    <t xml:space="preserve">Công ty TNHH Sản xuất sạch VN </t>
  </si>
  <si>
    <t>Anh. Tiến, 
Chị Hạnh</t>
  </si>
  <si>
    <t>0989787410, 
0947020292</t>
  </si>
  <si>
    <t>BTS Bách Khoa 4
Tầng mái tòa nhà B10</t>
  </si>
  <si>
    <t xml:space="preserve">BTS Bách Khoa 4
Tầng mái tòa nhà B7 </t>
  </si>
  <si>
    <t>Trung tâm kinh doanh VNPT Hà Nội</t>
  </si>
  <si>
    <t>Nguyễn Thị Đào</t>
  </si>
  <si>
    <t>0972261616</t>
  </si>
  <si>
    <t>Nguyễn Ngọc Tuấn</t>
  </si>
  <si>
    <t>Trung tâm nghiên cứu địa kỹ thuật C5</t>
  </si>
  <si>
    <t>Nhung</t>
  </si>
  <si>
    <t>Trung tâm nghiên cứu địa kỹ thuật Đh Mỏ</t>
  </si>
  <si>
    <t>Cty CPĐT triển khai Dịch vụ Công nghệ thông tin 
&amp; VT Bách  Khoa Hà Nội</t>
  </si>
  <si>
    <t>Công ty CP Công nghệ cao GENE Việt</t>
  </si>
  <si>
    <t>0978423004</t>
  </si>
  <si>
    <t>0243.7379150</t>
  </si>
  <si>
    <t>Tầng 11 nhà B1</t>
  </si>
  <si>
    <t>Công ty hàng đầu tư tiêu dùng Quốc tế</t>
  </si>
  <si>
    <t>Bùi Quang Hưng</t>
  </si>
  <si>
    <t>0962833311</t>
  </si>
  <si>
    <t>Anh Tuấn</t>
  </si>
  <si>
    <t>Nguyễn Thùy Nhung</t>
  </si>
  <si>
    <t>0987265632</t>
  </si>
  <si>
    <t>Công ty Viettel</t>
  </si>
  <si>
    <t>Nhà B10 ký túc xá</t>
  </si>
  <si>
    <t>Công ty Vinaphone</t>
  </si>
  <si>
    <t>Nhà ăn sinh viên B13</t>
  </si>
  <si>
    <t>Tầng 3 
TTPV</t>
  </si>
  <si>
    <t>Chị Thu</t>
  </si>
  <si>
    <t>0978817586</t>
  </si>
  <si>
    <t>Trung tâm An toàn &amp; An ninh thông tin</t>
  </si>
  <si>
    <t>PTN chiếu sáng LED</t>
  </si>
  <si>
    <t>Ông Đức Vượng</t>
  </si>
  <si>
    <t>0912970551</t>
  </si>
  <si>
    <t>A17 Tầng 5 ĐN1</t>
  </si>
  <si>
    <t>Chị Thu - Nhà xe ô tô Viện AIST (tạm chưa thu)</t>
  </si>
  <si>
    <t>Genetic</t>
  </si>
  <si>
    <t>Trần Ngọc Thanh</t>
  </si>
  <si>
    <t>Tào Việt Phương</t>
  </si>
  <si>
    <t>0904586786</t>
  </si>
  <si>
    <t>Nguyễn Quốc Huy</t>
  </si>
  <si>
    <t>0912069998</t>
  </si>
  <si>
    <t>0904811081</t>
  </si>
  <si>
    <t>Cổng nhà ăn B13</t>
  </si>
  <si>
    <t>Phan Đình Tính</t>
  </si>
  <si>
    <t>0983121359</t>
  </si>
  <si>
    <t>Phòng trà ca nhạc</t>
  </si>
  <si>
    <t>Tầng 2 Số 10 Tạ Quang Bửu</t>
  </si>
  <si>
    <t>Tuấn Anh</t>
  </si>
  <si>
    <t>0969174477</t>
  </si>
  <si>
    <t>0961196255</t>
  </si>
  <si>
    <t>Agribank chi nhánh Thủ Đô</t>
  </si>
  <si>
    <t>Thi công nhà Hitech</t>
  </si>
  <si>
    <t>Nhà Hitech</t>
  </si>
  <si>
    <t>TT Nghiên cứu&amp;phát triển sản phẩm TP</t>
  </si>
  <si>
    <t>Tầng 2, 3 Tòa nhà B1</t>
  </si>
  <si>
    <t>Trương Quốc Phong</t>
  </si>
  <si>
    <t>0988793468</t>
  </si>
  <si>
    <t>Phòng giao dịch chi nhánh Hà Thành</t>
  </si>
  <si>
    <t>Phòng giao dịch chi nhánh Hai Bà Trưng</t>
  </si>
  <si>
    <t>ATM BIDV chi nhánh Hà Thành</t>
  </si>
  <si>
    <t xml:space="preserve">Tạ Thanh Hằng - Photocopy
</t>
  </si>
  <si>
    <t>Tầng 1 Số 10 Tạ Quang Bửu</t>
  </si>
  <si>
    <t>Tầng 2, Nhà thi đấu</t>
  </si>
  <si>
    <t>Ông Lê Minh Hà</t>
  </si>
  <si>
    <t>Ký túc xá Đại học xây dựng</t>
  </si>
  <si>
    <t>0913501457</t>
  </si>
  <si>
    <t>Ngân hàng VP BANK (thanh lý không dùng nữa)</t>
  </si>
  <si>
    <t>4 CT loại 226,687,226, 1226</t>
  </si>
  <si>
    <t>Ánh sáng tầng 2</t>
  </si>
  <si>
    <t>Trung tâm Thể thao Văn hóa</t>
  </si>
  <si>
    <t>Anh Tuấn (Công ty TNHH chuyển giao &amp; công nghệ Bách Khoa)</t>
  </si>
  <si>
    <t>Nhà sách Bách Khoa</t>
  </si>
  <si>
    <t>Văn phòng thầy Chung</t>
  </si>
  <si>
    <t>Dạy đàn - Triệu Hoàng Lân</t>
  </si>
  <si>
    <t>0968685698</t>
  </si>
  <si>
    <t>PHÒNG CƠ SỞ VẬT CHẤT</t>
  </si>
  <si>
    <t xml:space="preserve">Nhà sách BK </t>
  </si>
  <si>
    <t>A Bằng - Quán tròn</t>
  </si>
  <si>
    <t>Trung tâm Thể thao văn hóa</t>
  </si>
  <si>
    <t>Lán trại Parabol (Thi công Hightech)</t>
  </si>
  <si>
    <t>BK Shop</t>
  </si>
  <si>
    <t>Điều hòa phòng bảo vệ nhà khách</t>
  </si>
  <si>
    <t>Ngõ 17 Tạ Quang Bửu</t>
  </si>
  <si>
    <t>Phòng tuyển sinh (Điều hòa+Văn phòng)</t>
  </si>
  <si>
    <t>Phòng tuyển sinh</t>
  </si>
  <si>
    <t>Nguyễn Tiến Dũng</t>
  </si>
  <si>
    <t>0988051418</t>
  </si>
  <si>
    <t>Nguyễn Thị Lan</t>
  </si>
  <si>
    <t>Công ty cổ phần dịch vụ và cà phê Cao Nguyên</t>
  </si>
  <si>
    <t>Cửa hàng Highland Bách Khoa</t>
  </si>
  <si>
    <t>Trần Trung Kiên</t>
  </si>
  <si>
    <t>0904414441</t>
  </si>
  <si>
    <t>Trung tâm Hỗ trợ đào tạo NC đổi mới Công nghệ Cơ khí</t>
  </si>
  <si>
    <t>Trung tâm Ngôn ngữ và trao đổi học thuật</t>
  </si>
  <si>
    <t>0176</t>
  </si>
  <si>
    <t>Bán hàng ăn</t>
  </si>
  <si>
    <t>Nguyễn Thái Bình</t>
  </si>
  <si>
    <t>Phòng 9, tầng 1, nhà A17</t>
  </si>
  <si>
    <t>0912212968</t>
  </si>
  <si>
    <t xml:space="preserve"> Ông Trung - GĐ TTTTVH</t>
  </si>
  <si>
    <t>Ban quản lý các Dự án giáo dục nghề nghiệp vốn ODA</t>
  </si>
  <si>
    <t xml:space="preserve">Anh Phong - Căng tin Tầng 1 </t>
  </si>
  <si>
    <t>Nguyễn Đăng Phong</t>
  </si>
  <si>
    <t>0984684610</t>
  </si>
  <si>
    <t>Phòng học D6 tầng 1,2,3</t>
  </si>
  <si>
    <t>0977734138</t>
  </si>
  <si>
    <t>Nguyễn Chí Hưng</t>
  </si>
  <si>
    <t>0974041888</t>
  </si>
  <si>
    <t xml:space="preserve">Cô Toàn - Bánh tráng </t>
  </si>
  <si>
    <t>Chị Khánh - Dịch vụ ăn uống</t>
  </si>
  <si>
    <t>Khán đài B - Sân vận động</t>
  </si>
  <si>
    <t>Chị Khánh</t>
  </si>
  <si>
    <t>0975297996</t>
  </si>
  <si>
    <t>Trang: .</t>
  </si>
  <si>
    <t>D3</t>
  </si>
  <si>
    <t>Tủ khóa thông minh C1</t>
  </si>
  <si>
    <t>Công ty Ilogic</t>
  </si>
  <si>
    <t>Đào Văn Hải</t>
  </si>
  <si>
    <t>0903464735</t>
  </si>
  <si>
    <t>Tủ khóa thông minh D3</t>
  </si>
  <si>
    <t>Dự án Giáo dục</t>
  </si>
  <si>
    <t>Bộ Giáo dục</t>
  </si>
  <si>
    <t>518 - Khu C - Thư viện Tạ Quang Bửu</t>
  </si>
  <si>
    <t>509 - Khu A - Thư viện Tạ Quang Bửu</t>
  </si>
  <si>
    <t>Sân tập bóng rổ</t>
  </si>
  <si>
    <t>Sân vận động Bách Khoa</t>
  </si>
  <si>
    <t>Công ty ACE</t>
  </si>
  <si>
    <t>626 Thư viện TQB</t>
  </si>
  <si>
    <t>Phạm Thị Hòa</t>
  </si>
  <si>
    <t>0977393434 - 36980777</t>
  </si>
  <si>
    <t>Kiot quần áo thể thao</t>
  </si>
  <si>
    <t>Anh Hướng - Sân bóng KTX B9</t>
  </si>
  <si>
    <t>Ngõ 42 TQB</t>
  </si>
  <si>
    <t>Trường THCS - THPT Tạ Quang Bửu</t>
  </si>
  <si>
    <t>Nguyễn Thu Lương</t>
  </si>
  <si>
    <t>0913521321</t>
  </si>
  <si>
    <t xml:space="preserve">Xưởng cơ khí 26/9 - Trường Cao đẳng nghề Bách khoa
</t>
  </si>
  <si>
    <t>The English Expert</t>
  </si>
  <si>
    <t>Phạm Trần Kiên</t>
  </si>
  <si>
    <t>0948256008</t>
  </si>
  <si>
    <t>Nóc Thư viện TQB</t>
  </si>
  <si>
    <t>Trịnh Thị Thu Trang</t>
  </si>
  <si>
    <t>Kiot khán đài B SVĐ BK</t>
  </si>
  <si>
    <t>0986675792</t>
  </si>
  <si>
    <t>Công ty Cơ khí chính xác</t>
  </si>
  <si>
    <t>Nguyễn Hương Ly</t>
  </si>
  <si>
    <t>0945656446</t>
  </si>
  <si>
    <t>Anh Kiểm ĐTVT</t>
  </si>
  <si>
    <t>608 TVĐT</t>
  </si>
  <si>
    <t>Hoàng Xuân Tâm</t>
  </si>
  <si>
    <t>Hoàng Xuân Tâm - Vật liệu xây dựng C14b</t>
  </si>
  <si>
    <t>0914145378</t>
  </si>
  <si>
    <t>0203</t>
  </si>
  <si>
    <t>Nguyễn Thị Ngoạn</t>
  </si>
  <si>
    <t>0947189620</t>
  </si>
  <si>
    <t>Giảng đường</t>
  </si>
  <si>
    <t>Ông Lê Trung Kiên-BM gia công áp lực</t>
  </si>
  <si>
    <t>Lê Trung Kiên</t>
  </si>
  <si>
    <t>BK3A</t>
  </si>
  <si>
    <t>Phòng Cơ sở vật chất</t>
  </si>
  <si>
    <t>BẢNG TỔNG HỢP HỘ TIÊU THỤ ĐIỆN THÁNG 01 NĂM 2020</t>
  </si>
  <si>
    <t>Vũ Hiền Phương</t>
  </si>
  <si>
    <t>0987439889</t>
  </si>
  <si>
    <t xml:space="preserve">Tổng nhà </t>
  </si>
  <si>
    <t xml:space="preserve">Tầng 1 </t>
  </si>
  <si>
    <t xml:space="preserve">Tầng 2 </t>
  </si>
  <si>
    <t xml:space="preserve">Tầng 3 </t>
  </si>
  <si>
    <t>Tủ tổng tầng 1</t>
  </si>
  <si>
    <t>0915629488</t>
  </si>
  <si>
    <t>Phòng CSVC</t>
  </si>
  <si>
    <t>Căng tin D3-5</t>
  </si>
  <si>
    <t>Nguyễn Thanh Liêm</t>
  </si>
  <si>
    <t xml:space="preserve">Phòng CSVC </t>
  </si>
  <si>
    <t>Kho B4</t>
  </si>
  <si>
    <t>0978817568</t>
  </si>
  <si>
    <t>Đỗ Văn Phong</t>
  </si>
  <si>
    <t>Lê Ngọc Anh</t>
  </si>
  <si>
    <t>0918764073</t>
  </si>
  <si>
    <t>Chị Thủy</t>
  </si>
  <si>
    <t>0968252111</t>
  </si>
  <si>
    <t>0988181512</t>
  </si>
  <si>
    <t>Tường ngoài phòng bảo vệ</t>
  </si>
  <si>
    <t>Nhà C</t>
  </si>
  <si>
    <t>Cầu thang nhà C</t>
  </si>
  <si>
    <t>Phòng bảo vệ tầng 1 nhà Hitech</t>
  </si>
  <si>
    <t>Trung tâm dữ liệu và tính toán</t>
  </si>
  <si>
    <t>Anh Đức</t>
  </si>
  <si>
    <t>KTĐ 6</t>
  </si>
  <si>
    <t>Trung tâm MICA</t>
  </si>
  <si>
    <t>0915021575</t>
  </si>
  <si>
    <t>3 c tơ</t>
  </si>
  <si>
    <t xml:space="preserve">Tầng 1 - Tòa nhà B1 </t>
  </si>
  <si>
    <t>TĐN2 -T2</t>
  </si>
  <si>
    <t>0674</t>
  </si>
  <si>
    <t>Chị Nga</t>
  </si>
  <si>
    <t>0904457512</t>
  </si>
  <si>
    <t>0488</t>
  </si>
  <si>
    <t>D5</t>
  </si>
  <si>
    <t>D6</t>
  </si>
  <si>
    <t>D4</t>
  </si>
  <si>
    <t>Quán nước tầng 1 BK Shop</t>
  </si>
  <si>
    <t>Sân tennis</t>
  </si>
  <si>
    <t>Máy pha cà phê tự động</t>
  </si>
  <si>
    <t>Tầng 2 C1 và tầng 1 TVĐT</t>
  </si>
  <si>
    <t>Chị Tuyết - Siêu thị SIVI MART</t>
  </si>
  <si>
    <t>4021; 4018</t>
  </si>
  <si>
    <t>PTN Ô tô</t>
  </si>
  <si>
    <t>Sân trước ĐN 3 nhà T</t>
  </si>
  <si>
    <t>Trạm bơm nhà T</t>
  </si>
  <si>
    <t>Đàm Hoàng Phúc</t>
  </si>
  <si>
    <t>0932367577</t>
  </si>
  <si>
    <t>CSM</t>
  </si>
  <si>
    <t>CSC</t>
  </si>
  <si>
    <t>HSN</t>
  </si>
  <si>
    <t>0834214946</t>
  </si>
  <si>
    <t>0345419113</t>
  </si>
  <si>
    <t>0819906149</t>
  </si>
  <si>
    <t>0382290869</t>
  </si>
  <si>
    <t>0385291952</t>
  </si>
  <si>
    <t>Hạnh: '0377659897</t>
  </si>
  <si>
    <t>0823351288</t>
  </si>
  <si>
    <t>0345890588</t>
  </si>
  <si>
    <t>0366226688</t>
  </si>
  <si>
    <t>0386386396</t>
  </si>
  <si>
    <t>0366600709</t>
  </si>
  <si>
    <t>Tủ tổng Tầng 3</t>
  </si>
  <si>
    <t>Tầng 1 D4</t>
  </si>
  <si>
    <t>Cửa nhà VS</t>
  </si>
  <si>
    <t>Ngoài phía sau</t>
  </si>
  <si>
    <t>Tầng 14 tòa  nhà Hàn Việt 203 Minh Khai  HBT HN</t>
  </si>
  <si>
    <t>3 công tơ</t>
  </si>
  <si>
    <t>0094</t>
  </si>
  <si>
    <t>Trương Quang Dương</t>
  </si>
  <si>
    <t>0332563666</t>
  </si>
  <si>
    <t>Công ty cổ phần viễn thông Đông Đô</t>
  </si>
  <si>
    <t>Chị Nhung</t>
  </si>
  <si>
    <t>0936042348</t>
  </si>
  <si>
    <t>Nguyễn Thị Ánh Tuyết</t>
  </si>
  <si>
    <t xml:space="preserve">Nhà TC </t>
  </si>
  <si>
    <t>Công ty TNHH Thương mại HTP Photocopy</t>
  </si>
  <si>
    <t>0393953999</t>
  </si>
  <si>
    <t>Ông Nam - Photocopy</t>
  </si>
  <si>
    <t>Nguyễn Phúc Dương</t>
  </si>
  <si>
    <t>38692518
38680786</t>
  </si>
  <si>
    <t>Võ Thị Tĩnh</t>
  </si>
  <si>
    <t>0393245710</t>
  </si>
  <si>
    <t>Nguyễn Phi Trường</t>
  </si>
  <si>
    <t>Phạm Văn Cương</t>
  </si>
  <si>
    <t>0975715666</t>
  </si>
  <si>
    <t>KĐA - SVĐ</t>
  </si>
  <si>
    <t>Bưu điện BK</t>
  </si>
  <si>
    <t>Ngọc</t>
  </si>
  <si>
    <t>Nhà B, Xưởng TH Ô tô</t>
  </si>
  <si>
    <t>0986329918</t>
  </si>
  <si>
    <t>Nhà ăn T3-D2A</t>
  </si>
  <si>
    <t xml:space="preserve"> Nhà ăn T3-D2A</t>
  </si>
  <si>
    <t>0346413588</t>
  </si>
  <si>
    <t>Trông xe ô tô ngõ 15 TQB</t>
  </si>
  <si>
    <t>Trông xe ô tô nhà khách</t>
  </si>
  <si>
    <t>02438681888</t>
  </si>
  <si>
    <t>Chị Tú</t>
  </si>
  <si>
    <t>082906666</t>
  </si>
  <si>
    <t>02438693467</t>
  </si>
  <si>
    <t>Công ty Viettel - Cột KTX</t>
  </si>
  <si>
    <t>Tầng 3 ĐN1 -  A17</t>
  </si>
  <si>
    <t>BK Holdings</t>
  </si>
  <si>
    <t>A Trung</t>
  </si>
  <si>
    <t>0903297878</t>
  </si>
  <si>
    <t>0913219791</t>
  </si>
  <si>
    <t>Trung tâm Ngôn ngữ và trao đổi học thuật C3B</t>
  </si>
  <si>
    <t>Trung tâm Ngôn ngữ và trao đổi học thuật D2C</t>
  </si>
  <si>
    <t>Trung tâm Ngôn ngữ và trao đổi học thuật TVĐT</t>
  </si>
  <si>
    <t>D2C</t>
  </si>
  <si>
    <t xml:space="preserve">Chị Yến -TT Đào tạo &amp; PT Sản phẩm TP </t>
  </si>
  <si>
    <t>0988355343</t>
  </si>
  <si>
    <t>Trường CNTT và TT</t>
  </si>
  <si>
    <t>Trung tâm thực hành ĐTVT B4</t>
  </si>
  <si>
    <t>Trường Cơ Khí</t>
  </si>
  <si>
    <t xml:space="preserve">Trường Điện - Điện tử </t>
  </si>
  <si>
    <t>Trường Cơ khí</t>
  </si>
  <si>
    <t>Tòa nhà C10B</t>
  </si>
  <si>
    <t>0915527063</t>
  </si>
  <si>
    <t>Ông Hướng - Sân bóng KTX B9</t>
  </si>
  <si>
    <t xml:space="preserve">Ông Hướng - Phòng tập A2 </t>
  </si>
  <si>
    <t>Viện Kỹ thuật ĐK &amp; TĐH T3</t>
  </si>
  <si>
    <t>Công ty Viettel - Cột D8</t>
  </si>
  <si>
    <t>Ông Hướng - ĐH văn phòng BQL sân</t>
  </si>
  <si>
    <t>Trường Cao Đẳng nghề BK - Nhà B</t>
  </si>
  <si>
    <t>Trường Cao Đẳng nghề BK - Ngõ 17</t>
  </si>
  <si>
    <t>Nguyễn Đức Trung Kiên</t>
  </si>
  <si>
    <t>0912201194</t>
  </si>
  <si>
    <t>Chị Khánh - Dịch vụ SVĐ</t>
  </si>
  <si>
    <t>Chị Thanh</t>
  </si>
  <si>
    <t>0988628266</t>
  </si>
  <si>
    <t>Phòng giao dịch ViettinBank A17</t>
  </si>
  <si>
    <t>Phòng giao dịch BIDV A17</t>
  </si>
  <si>
    <t>ATM Agribank chi nhánh Thủ đô</t>
  </si>
  <si>
    <t>Trường Cao Đẳng nghề BK B4</t>
  </si>
  <si>
    <t>Trường Cao Đẳng nghề BK - A17</t>
  </si>
  <si>
    <t>Trường Cao Đẳng nghề BK -C4B</t>
  </si>
  <si>
    <t>Trường Cao Đẳng nghề BK- 11 TQB</t>
  </si>
  <si>
    <t>Trường Cao Đẳng nghề BK - B4</t>
  </si>
  <si>
    <t>A17 tầng 4 ĐN1</t>
  </si>
  <si>
    <t>A17 Tầng 4 ĐN 2</t>
  </si>
  <si>
    <t>PTN BM Quá trình TBCNTP</t>
  </si>
  <si>
    <t>A Hoàng</t>
  </si>
  <si>
    <t>0904667684</t>
  </si>
  <si>
    <t>D6B</t>
  </si>
  <si>
    <t>0912640379</t>
  </si>
  <si>
    <t>Tủ D6</t>
  </si>
  <si>
    <t>PTN Nhiệt luyện</t>
  </si>
  <si>
    <t xml:space="preserve">Số 7 ngõ 15 - TQB </t>
  </si>
  <si>
    <t>A Toàn</t>
  </si>
  <si>
    <t>0978819260</t>
  </si>
  <si>
    <t>Chị Hiền</t>
  </si>
  <si>
    <t>0915023999</t>
  </si>
  <si>
    <t>Số 5 TQB</t>
  </si>
  <si>
    <t>Công ty TNHH MTV tư vấn &amp; CGCN Bách Khoa</t>
  </si>
  <si>
    <t>PTN - Đại học Mỏ địa chất C5</t>
  </si>
  <si>
    <t>Cột viễn thông Vinaphone</t>
  </si>
  <si>
    <t>C Nhung</t>
  </si>
  <si>
    <t>C Hằng</t>
  </si>
  <si>
    <t>Nhà D2B</t>
  </si>
  <si>
    <t>Cửa hàng Highlands B1-TĐN</t>
  </si>
  <si>
    <t>KĐ B- SVĐ</t>
  </si>
  <si>
    <t>Nhà B</t>
  </si>
  <si>
    <t>Kiot Trịnh Thị Thu Trang</t>
  </si>
  <si>
    <t xml:space="preserve">Kiot chị Hiền cổng TT Y tế </t>
  </si>
  <si>
    <t>KTĐ T1</t>
  </si>
  <si>
    <t>Kiot Tea &amp; Coffee KĐ B</t>
  </si>
  <si>
    <t>PTN Vi Mạch 611 - Điện tử Viễn thông</t>
  </si>
  <si>
    <t>MobiFone</t>
  </si>
  <si>
    <t>Kiot hàng ăn - A Bình A17</t>
  </si>
  <si>
    <t xml:space="preserve"> Cầu thang TC</t>
  </si>
  <si>
    <t>Tầng 4 Số 10 TQB</t>
  </si>
  <si>
    <t>Tầng 1 Số 10 TQB</t>
  </si>
  <si>
    <t>Dịch vụ trông xe - 10A TQB</t>
  </si>
  <si>
    <t>Cty CP CN Vending Machine VN</t>
  </si>
  <si>
    <t>7378, 9068,
,0086,,0183</t>
  </si>
  <si>
    <t xml:space="preserve"> nhà C</t>
  </si>
  <si>
    <t>Tầng 1 D2A</t>
  </si>
  <si>
    <t>T4 C10</t>
  </si>
  <si>
    <t>T1 C10</t>
  </si>
  <si>
    <t>T1 - C10</t>
  </si>
  <si>
    <t>Tầng 2 ĐN 2 - A17</t>
  </si>
  <si>
    <t>Tầng 5 ĐN2 - A17</t>
  </si>
  <si>
    <t>Tầng 2 ĐN1- A17</t>
  </si>
  <si>
    <t xml:space="preserve">Số 5 ngõ 15 - TQB </t>
  </si>
  <si>
    <t>Số 1 ngõ 15 TQB</t>
  </si>
  <si>
    <t>Trông xe ô tô B1</t>
  </si>
  <si>
    <t xml:space="preserve">Văn phòng GIZ </t>
  </si>
  <si>
    <t>Số 1 - Ngõ 17 TQB</t>
  </si>
  <si>
    <t>Ông Hướng-Phòng tập A3</t>
  </si>
  <si>
    <t>Ông Hướng - Căng tin KĐA</t>
  </si>
  <si>
    <t xml:space="preserve">Ông Hướng - phòng tập A1 Bi-a </t>
  </si>
  <si>
    <t>TT R &amp; D sản phẩm TP - TRIC</t>
  </si>
  <si>
    <t xml:space="preserve">                        Người lập</t>
  </si>
  <si>
    <t>TT Kỹ thuật cơ khí</t>
  </si>
  <si>
    <t>Xưởng C14B-PTN Gia công vật liệu</t>
  </si>
  <si>
    <t>Tầng 4 - Nhà C1B</t>
  </si>
  <si>
    <t>Trung tâm thực hành B4 - số 5 TQB</t>
  </si>
  <si>
    <t>A Tĩnh</t>
  </si>
  <si>
    <t>0904125908</t>
  </si>
  <si>
    <t>Viện ĐTQT về KHVL (ITIM)</t>
  </si>
  <si>
    <t>0902211356</t>
  </si>
  <si>
    <t>A Đức Dũng</t>
  </si>
  <si>
    <t>A Hiếu</t>
  </si>
  <si>
    <t>0988630459</t>
  </si>
  <si>
    <t xml:space="preserve">Nhà khách </t>
  </si>
  <si>
    <t>KĐA -SVĐ</t>
  </si>
  <si>
    <t xml:space="preserve"> KĐA- SVĐ</t>
  </si>
  <si>
    <t>Tầng 3 Số 10 TQB</t>
  </si>
  <si>
    <t>Tầng 2 Số 10 TQB</t>
  </si>
  <si>
    <t>BTS tầng mái TVĐT</t>
  </si>
  <si>
    <t>BTS tầng mái nhà D4</t>
  </si>
  <si>
    <t>BTS tầng mái nhà D8</t>
  </si>
  <si>
    <t>BTS tầng mái B1</t>
  </si>
  <si>
    <t>BTS tầng mái B10 KTX</t>
  </si>
  <si>
    <t>TT Kỹ thuật cơ khí - VP</t>
  </si>
  <si>
    <t>Lương Thị Minh Ngoc</t>
  </si>
  <si>
    <t>0977295439</t>
  </si>
  <si>
    <t>Buồng KTĐ</t>
  </si>
  <si>
    <t>A Sơn</t>
  </si>
  <si>
    <t>0947279988</t>
  </si>
  <si>
    <t>A Đức</t>
  </si>
  <si>
    <t>0983118015</t>
  </si>
  <si>
    <t>0915678432</t>
  </si>
  <si>
    <t>T1 D9</t>
  </si>
  <si>
    <t>T1 D6</t>
  </si>
  <si>
    <t>0961084029</t>
  </si>
  <si>
    <t>0971561418</t>
  </si>
  <si>
    <t>P. Đức An</t>
  </si>
  <si>
    <t>PTN HK Vũ trụ</t>
  </si>
  <si>
    <t>V Đình Quý</t>
  </si>
  <si>
    <t>0987015666</t>
  </si>
  <si>
    <t>A Hưng</t>
  </si>
  <si>
    <t>Nguyễn Thu Trang -Photocopy</t>
  </si>
  <si>
    <t>Nguyễn Thu Trang</t>
  </si>
  <si>
    <t>T1 D5</t>
  </si>
  <si>
    <t>T1 D3</t>
  </si>
  <si>
    <t>C. Mai</t>
  </si>
  <si>
    <t>0984592468</t>
  </si>
  <si>
    <t>7206, 7210</t>
  </si>
  <si>
    <t>A Thọ</t>
  </si>
  <si>
    <t>0915343555</t>
  </si>
  <si>
    <t>Ngân hàng TMCP Đầu tư và Phát triển CN Hà Thành</t>
  </si>
  <si>
    <t xml:space="preserve">Chị Tình -Photocopy </t>
  </si>
  <si>
    <t>Người thực hiện</t>
  </si>
  <si>
    <t>Trạm bơm T</t>
  </si>
  <si>
    <t>Trông xe ô tô C1</t>
  </si>
  <si>
    <t>Sơn</t>
  </si>
  <si>
    <t>Đông</t>
  </si>
  <si>
    <t>Biên</t>
  </si>
  <si>
    <t>Hoàng</t>
  </si>
  <si>
    <t>A.T</t>
  </si>
  <si>
    <t>C8B</t>
  </si>
  <si>
    <t>0346504559, 0947020290 (Hạnh)</t>
  </si>
  <si>
    <t>Phạm Hữu Tuyến</t>
  </si>
  <si>
    <t>02436230870</t>
  </si>
  <si>
    <t>TT Công nghệ Polyme Compozit và giấy</t>
  </si>
  <si>
    <t>Xưởng in ngõ 40</t>
  </si>
  <si>
    <t>Anh Toàn - BM Vật liệu điện tử</t>
  </si>
  <si>
    <t>Phòng 201,202- D6</t>
  </si>
  <si>
    <t>Phòng KTĐ</t>
  </si>
  <si>
    <t>Công ty CP công nghệ vật liệu và thiết bị Bách Khoa HN</t>
  </si>
  <si>
    <t>Viện Kỹ thuật ĐK &amp; TĐH T2 (c tơ 2 chiều)</t>
  </si>
  <si>
    <t>D5 tầng 3</t>
  </si>
  <si>
    <t>Ông Hướng - Đèn chiếu sân bóng nhỏ - SVĐ</t>
  </si>
  <si>
    <t xml:space="preserve"> Sân 5 - SVĐ</t>
  </si>
  <si>
    <t xml:space="preserve">Thu Hương </t>
  </si>
  <si>
    <t>Văn phòng cựu sinh viên</t>
  </si>
  <si>
    <t>D2D</t>
  </si>
  <si>
    <t>0943751976</t>
  </si>
  <si>
    <t>Tầng 1 D2D</t>
  </si>
  <si>
    <t>Phòng KT mạng B1 T3,5,7,10</t>
  </si>
  <si>
    <t>PKTD T1-B1</t>
  </si>
  <si>
    <t>D7, D2A</t>
  </si>
  <si>
    <t>16 công tơ</t>
  </si>
  <si>
    <t>Trương Hữu Ninh</t>
  </si>
  <si>
    <t>0912772168</t>
  </si>
  <si>
    <t>Phan Trung Nghĩa</t>
  </si>
  <si>
    <t>0913512282- 0968090564</t>
  </si>
  <si>
    <t>Phòng giao dịch Trung tâm VNPT Hà Nội</t>
  </si>
  <si>
    <t>915 TVĐT</t>
  </si>
  <si>
    <t>Nhà T - tầng 3</t>
  </si>
  <si>
    <t>Trường Cao đẳng nghề BK - A17</t>
  </si>
  <si>
    <t>Trường Cao đẳng nghề BK A17</t>
  </si>
  <si>
    <t>Trạm ĐCĐT</t>
  </si>
  <si>
    <t>KTĐ T11</t>
  </si>
  <si>
    <t>KTĐ T3</t>
  </si>
  <si>
    <t>Trông xe ô tô ngõ 42</t>
  </si>
  <si>
    <t>BK3</t>
  </si>
  <si>
    <t>Các phòng thực hành ĐTVT (Bàn thí nghiệm)</t>
  </si>
  <si>
    <t>Sân để xe</t>
  </si>
  <si>
    <t>11 TQB</t>
  </si>
  <si>
    <t>PTN Thủy khí</t>
  </si>
  <si>
    <t>PTN Cơ điện tử</t>
  </si>
  <si>
    <t>Cty CPĐT triển khai Dịch vụ CNTT &amp; VT BK HN</t>
  </si>
  <si>
    <t>TT mạng lưới MobiFone miền Bắc</t>
  </si>
  <si>
    <t>Trần Quang Quý</t>
  </si>
  <si>
    <t>0977340326</t>
  </si>
  <si>
    <t>TĐN 1</t>
  </si>
  <si>
    <t>Nhà 2 tầng sân nhà T</t>
  </si>
  <si>
    <t>0391</t>
  </si>
  <si>
    <t>Trạm điện</t>
  </si>
  <si>
    <t>D8 Tầng 11</t>
  </si>
  <si>
    <t xml:space="preserve">A Dũng </t>
  </si>
  <si>
    <t>0983852603</t>
  </si>
  <si>
    <t>Trương Việt Anh</t>
  </si>
  <si>
    <t>0913516262</t>
  </si>
  <si>
    <t>Phạm Văn Sáng</t>
  </si>
  <si>
    <t>Nhà T-P 109</t>
  </si>
  <si>
    <t>Tầng 11</t>
  </si>
  <si>
    <t>Tầng 10</t>
  </si>
  <si>
    <t>Sảnh D3, Sảnh TV, tầng 4 TV</t>
  </si>
  <si>
    <t>Tầng 2 ĐN2 - A17 TQB</t>
  </si>
  <si>
    <t>Tầng 1-B</t>
  </si>
  <si>
    <t>T2-C1B</t>
  </si>
  <si>
    <t>T3-C1B</t>
  </si>
  <si>
    <t>Cty CP vật tư Trường Hưng</t>
  </si>
  <si>
    <t>Nguyễn Việt Hưng</t>
  </si>
  <si>
    <t>0987936113</t>
  </si>
  <si>
    <t>Sau nhà A15 TQB - Văn phòng</t>
  </si>
  <si>
    <t xml:space="preserve">Xưởng D6B Viện KHCN MT </t>
  </si>
  <si>
    <t>B1 tầng 5,6,7</t>
  </si>
  <si>
    <t xml:space="preserve">Trông xe ô tô nhà F </t>
  </si>
  <si>
    <t>Bao cấp
(kWh)</t>
  </si>
  <si>
    <t>Điện năng tiêu thụ (kWh)</t>
  </si>
  <si>
    <t>ĐT: 024 3 868 1954</t>
  </si>
  <si>
    <t>Trung tâm Ngôn ngữ và trao đổi học thuật D6-Đèn quạt</t>
  </si>
  <si>
    <t>Cổng Bể bơi</t>
  </si>
  <si>
    <t>Tường ngoài</t>
  </si>
  <si>
    <t>Tầng 1 sau B4</t>
  </si>
  <si>
    <t>Tủ tổng sân</t>
  </si>
  <si>
    <t>Nhà/ Tòa nhà</t>
  </si>
  <si>
    <t>B</t>
  </si>
  <si>
    <t>D8</t>
  </si>
  <si>
    <t>A</t>
  </si>
  <si>
    <t>T</t>
  </si>
  <si>
    <t>D9</t>
  </si>
  <si>
    <t>B9</t>
  </si>
  <si>
    <t>B10</t>
  </si>
  <si>
    <t>B7</t>
  </si>
  <si>
    <t>B4</t>
  </si>
  <si>
    <t xml:space="preserve"> Phòng trực</t>
  </si>
  <si>
    <t>T2 B4</t>
  </si>
  <si>
    <t>B1 (Phòng máy, VP trường, VP Khoa, TT, BM)</t>
  </si>
  <si>
    <t>Ông Hướng - Cụm văn phòng BQL sân</t>
  </si>
  <si>
    <t>Ô Hướng - Sân Tennis ngõ 42</t>
  </si>
  <si>
    <t>Ô Hướng - Quầy bán đồ thể thao ngõ 42</t>
  </si>
  <si>
    <t>Ô Hướng - Phòng tập tầng 2 Bể bơi</t>
  </si>
  <si>
    <t>Ô Hướng - YOGA1 NTĐ</t>
  </si>
  <si>
    <t>Ô Hướng - YOGA2 NTĐ</t>
  </si>
  <si>
    <t>Ông Hướng - 4 cột đèn lớn SVĐ</t>
  </si>
  <si>
    <t>C10B</t>
  </si>
  <si>
    <t>C5</t>
  </si>
  <si>
    <t>A17</t>
  </si>
  <si>
    <t>TC</t>
  </si>
  <si>
    <t>D2A</t>
  </si>
  <si>
    <t>PTN Trường Điện - Điện tử</t>
  </si>
  <si>
    <t>C1B</t>
  </si>
  <si>
    <t>C3 tầng 1</t>
  </si>
  <si>
    <t>Tủ tổng xưởng Hàn</t>
  </si>
  <si>
    <t>Quán ăn uống giải khát c.Ly</t>
  </si>
  <si>
    <t>0648</t>
  </si>
  <si>
    <t>Trường Cao Đẳng nghề BK - VP trường cũ</t>
  </si>
  <si>
    <t>15 TQB</t>
  </si>
  <si>
    <t xml:space="preserve">Cầu thang T3 </t>
  </si>
  <si>
    <t>Máy bán hàng Trường Hưng (t thụ)</t>
  </si>
  <si>
    <t>TT Cao su (t thụ)</t>
  </si>
  <si>
    <t>Trường CNTT và TT (t thụ)</t>
  </si>
  <si>
    <t>Xưởng hàn</t>
  </si>
  <si>
    <t>NTĐ</t>
  </si>
  <si>
    <t>C9</t>
  </si>
  <si>
    <t>D2B</t>
  </si>
  <si>
    <t>HĐKT</t>
  </si>
  <si>
    <t>TDN 1</t>
  </si>
  <si>
    <t>C1B tầng 2</t>
  </si>
  <si>
    <t>C1B tầng 3</t>
  </si>
  <si>
    <t xml:space="preserve">C9 </t>
  </si>
  <si>
    <t>Viện Kỹ thuật ĐK &amp; TĐH ngõ 15</t>
  </si>
  <si>
    <t>Tuủ trung gian B4</t>
  </si>
  <si>
    <t>Trường Cao Đẳng nghề BK-xưởng Hàn B4</t>
  </si>
  <si>
    <t>Trung tâm y tế (t thụ)</t>
  </si>
  <si>
    <t>PTN Ô tô  ĐN1</t>
  </si>
  <si>
    <t>Nhà mái tôn gần hàng rào ĐN1</t>
  </si>
  <si>
    <t>BTS Tầng mái B10 KTX</t>
  </si>
  <si>
    <t xml:space="preserve">BTS Tầng mái B7 KTX </t>
  </si>
  <si>
    <t xml:space="preserve">T1 B10 </t>
  </si>
  <si>
    <t>T1 B7</t>
  </si>
  <si>
    <t>Trung tâm KTX  (t thụ)</t>
  </si>
  <si>
    <t>Công ty  CP XD Hoàng Hà- VP</t>
  </si>
  <si>
    <t>T - 101 Phòng CNC công nghiệp</t>
  </si>
  <si>
    <t>T - P 107</t>
  </si>
  <si>
    <t>T-101,102, nhà mái tôn</t>
  </si>
  <si>
    <t>T- 210</t>
  </si>
  <si>
    <t>T- 212</t>
  </si>
  <si>
    <t xml:space="preserve">T- Ban Phay bào </t>
  </si>
  <si>
    <t>T- Ban Tiện</t>
  </si>
  <si>
    <t>T- PTN Hàn 110</t>
  </si>
  <si>
    <t>T- 110A PTN Hàn</t>
  </si>
  <si>
    <t>101A nhà T</t>
  </si>
  <si>
    <t>Số 10 TQB</t>
  </si>
  <si>
    <t>A15</t>
  </si>
  <si>
    <t>Bể bơi</t>
  </si>
  <si>
    <t>F</t>
  </si>
  <si>
    <t>C1</t>
  </si>
  <si>
    <t>Ngõ 17</t>
  </si>
  <si>
    <t>Ngõ 42</t>
  </si>
  <si>
    <t>Ngõ 15</t>
  </si>
  <si>
    <t>C4B</t>
  </si>
  <si>
    <t>304, 402, 404, 526</t>
  </si>
  <si>
    <t>ĐH phòng đọc Thư viện TQB</t>
  </si>
  <si>
    <t>Trường ĐH KHXH và NV</t>
  </si>
  <si>
    <t>B7 BIS</t>
  </si>
  <si>
    <t>Lê Thị Thanh Tâm</t>
  </si>
  <si>
    <t>0982886906</t>
  </si>
  <si>
    <t>9094, 4383</t>
  </si>
  <si>
    <t>Khoa Việt Nam học và Tiếng việt (t thụ)</t>
  </si>
  <si>
    <t>B7 BIS phố TĐN</t>
  </si>
  <si>
    <t>38694323</t>
  </si>
  <si>
    <t>Hồ Thành Long</t>
  </si>
  <si>
    <t>PTN thiết kế máy công cụ</t>
  </si>
  <si>
    <t xml:space="preserve">T- 101A </t>
  </si>
  <si>
    <t>Tầng 3 Tòa nhà B1</t>
  </si>
  <si>
    <t>PTN Dệt may</t>
  </si>
  <si>
    <t>TC tầng 1</t>
  </si>
  <si>
    <t>A Vũ Mạnh Hải</t>
  </si>
  <si>
    <t>Cầu thang TC</t>
  </si>
  <si>
    <t>T - P111</t>
  </si>
  <si>
    <t>TV TQB</t>
  </si>
  <si>
    <t>TC 309</t>
  </si>
  <si>
    <t>A.L</t>
  </si>
  <si>
    <t>Cửa hàng Highlands BK</t>
  </si>
  <si>
    <t>Công ty CP dịch vụ và cà phê Cao Nguyên</t>
  </si>
  <si>
    <t>ĐẠI HỌC BÁCH KHOA HÀ NỘI</t>
  </si>
  <si>
    <t>T - 207</t>
  </si>
  <si>
    <t>T - 206</t>
  </si>
  <si>
    <t>BTS B1 tầng 10</t>
  </si>
  <si>
    <t>Viện NCCN không gian và dưới nước</t>
  </si>
  <si>
    <t>D8 Tầng 6</t>
  </si>
  <si>
    <t>0379997777</t>
  </si>
  <si>
    <t>0931</t>
  </si>
  <si>
    <t>KTĐ T6</t>
  </si>
  <si>
    <t>TT Y tế</t>
  </si>
  <si>
    <t xml:space="preserve">BTS tầng mái B10 </t>
  </si>
  <si>
    <t>Điện thoại: .</t>
  </si>
  <si>
    <t>KTĐ D</t>
  </si>
  <si>
    <t>Công ty  CPXD Hoàng Hà</t>
  </si>
  <si>
    <t>Cửa ngoài VP</t>
  </si>
  <si>
    <t>T2 TC</t>
  </si>
  <si>
    <t>T1 TC</t>
  </si>
  <si>
    <t>T1  D3</t>
  </si>
  <si>
    <t>Phòng TN Đông cơ đốt trong - Động lực (t thụ)</t>
  </si>
  <si>
    <t>Phòng TN Đông cơ đốt trong - Ánh sáng</t>
  </si>
  <si>
    <t>Trường Hóa và KHSS</t>
  </si>
  <si>
    <t>111A</t>
  </si>
  <si>
    <t>227 TV TQB</t>
  </si>
  <si>
    <t>0804</t>
  </si>
  <si>
    <t>A Lâm</t>
  </si>
  <si>
    <t>0902171933</t>
  </si>
  <si>
    <t>Nhà T-207</t>
  </si>
  <si>
    <t xml:space="preserve">Số 8 ngõ 15 - TQB </t>
  </si>
  <si>
    <t>Trường CNTT và TT (TT máy tính D5)</t>
  </si>
  <si>
    <t>Ô Hướng - Sàn tập NTĐ</t>
  </si>
  <si>
    <t xml:space="preserve"> Ô Hướng - chiếu sáng phụ + máy bơm </t>
  </si>
  <si>
    <t>Các phòng thực hành ĐTVT (đèn, quạt..) t thụ</t>
  </si>
  <si>
    <t>Hà Nội, ngày 21 tháng 7 năm 2023</t>
  </si>
  <si>
    <t>Số phiếu: 234</t>
  </si>
  <si>
    <t>Tháng 6 năm 2023</t>
  </si>
  <si>
    <t>Địa chỉ</t>
  </si>
  <si>
    <t>Kính gửi: Trường Cơ khí</t>
  </si>
  <si>
    <t>Địa chỉ hộ tiêu thụ: Trường Cơ khí.</t>
  </si>
  <si>
    <t>Điện thoại: 38696165</t>
  </si>
  <si>
    <t>C15</t>
  </si>
  <si>
    <t>Bằng chữ: Ba mươi bốn triệu, sáu trăm ba mươi hai nghìn, ba trăm bốn mươi hai đồng ./.</t>
  </si>
  <si>
    <t>Đại diện: Trường Cơ khí.</t>
  </si>
  <si>
    <t>Tên đơn vị</t>
  </si>
  <si>
    <t>Địa chỉ hộ tiêu thụ: Trường Điện - Điện tử.</t>
  </si>
  <si>
    <t>Đại diện: Trường Điện - Điện tử.</t>
  </si>
  <si>
    <t>Điện thoại: 3869 6211</t>
  </si>
  <si>
    <t>Điện thoại: 3869 2242</t>
  </si>
  <si>
    <t>Kính gửi: Trường Điện - Điện tử</t>
  </si>
  <si>
    <t>Kính gửi: Trường CNTT &amp; TT</t>
  </si>
  <si>
    <t>Địa chỉ hộ tiêu thụ: Trường CNTT &amp; TT.</t>
  </si>
  <si>
    <t>Đại diện: Trường CNTT &amp; TT.</t>
  </si>
  <si>
    <t>Kính gửi: Trường Hóa và KHSS</t>
  </si>
  <si>
    <t>Điện thoại: 38 692 463</t>
  </si>
  <si>
    <t xml:space="preserve">Điện thoại: </t>
  </si>
  <si>
    <t>Điện thoại: 3868 2470</t>
  </si>
  <si>
    <t>Điện thoại: 3869.2515</t>
  </si>
  <si>
    <t>Địa chỉ hộ tiêu thụ: Trường Hóa và KHSS.</t>
  </si>
  <si>
    <t>Đại diện: Trường Hóa và KHSS.</t>
  </si>
  <si>
    <t>Trường Vật liệu</t>
  </si>
  <si>
    <t>BB</t>
  </si>
  <si>
    <t xml:space="preserve">T2 Bể bơi BK </t>
  </si>
  <si>
    <t> Ô Hướng Phòng âm thanh NTĐ</t>
  </si>
  <si>
    <t>Công ty CP viễn thông Đông Đô</t>
  </si>
  <si>
    <t>PTN nhà máy số (t thụ)</t>
  </si>
  <si>
    <t>PTN VL Điện tử -Y sinh</t>
  </si>
  <si>
    <t>Tầng 6 -D8</t>
  </si>
  <si>
    <t>A Vượng</t>
  </si>
  <si>
    <t>0936386293</t>
  </si>
  <si>
    <t>T6-D8</t>
  </si>
  <si>
    <t>T-112</t>
  </si>
  <si>
    <t>PTN Động cơ đốt trong. T</t>
  </si>
  <si>
    <t>PTN Cấu tạo Ô tô</t>
  </si>
  <si>
    <t>ĐN2</t>
  </si>
  <si>
    <t xml:space="preserve">Ô Hướng - ĐH vp BQL NTĐ </t>
  </si>
  <si>
    <t>CLB Bi-a Phú Kỳ T2</t>
  </si>
  <si>
    <t>0912894948</t>
  </si>
  <si>
    <t>Nguyễn Triều Phong</t>
  </si>
  <si>
    <t>0944289288</t>
  </si>
  <si>
    <t>CLB Bi-a coffee tầng 3</t>
  </si>
  <si>
    <t>Siêu thị MINI BK</t>
  </si>
  <si>
    <t>0976596779</t>
  </si>
  <si>
    <t>Bún cá Anh Sơn</t>
  </si>
  <si>
    <t xml:space="preserve">Lô 10, tầng 1-A17 </t>
  </si>
  <si>
    <t>Lô 11, tầng 1- A17</t>
  </si>
  <si>
    <t>Anh Sơn</t>
  </si>
  <si>
    <t>0936865486</t>
  </si>
  <si>
    <t>Duy Anh - photocopy</t>
  </si>
  <si>
    <t>0942567886</t>
  </si>
  <si>
    <t>Duy Anh (Thu D8)</t>
  </si>
  <si>
    <t>Nhà sách ADC Trần Đại Nghĩa</t>
  </si>
  <si>
    <t>A Quang</t>
  </si>
  <si>
    <t>0975744134</t>
  </si>
  <si>
    <t>TV 609</t>
  </si>
  <si>
    <t>T- 107</t>
  </si>
  <si>
    <t xml:space="preserve">TV 1C </t>
  </si>
  <si>
    <t xml:space="preserve">TV 1D </t>
  </si>
  <si>
    <t xml:space="preserve">TV 4C </t>
  </si>
  <si>
    <t>TV 9D</t>
  </si>
  <si>
    <t>Nhà B T1</t>
  </si>
  <si>
    <t>6460, 1098</t>
  </si>
  <si>
    <t>TT Đào tạo thực hành Đ-ĐT. D8</t>
  </si>
  <si>
    <t>D8 T8</t>
  </si>
  <si>
    <t>D8 T9</t>
  </si>
  <si>
    <t>D8 T10</t>
  </si>
  <si>
    <t xml:space="preserve">3 pha </t>
  </si>
  <si>
    <t>7 máy bán hàng D3, D9, F, D8, TV, TC</t>
  </si>
  <si>
    <t>3323, 0101,0218,0229, 1135.3535.0957</t>
  </si>
  <si>
    <t>BIDV - CN Hà Thành</t>
  </si>
  <si>
    <t>Viettinbank - Chi nhánh HBT</t>
  </si>
  <si>
    <t>D4 T1</t>
  </si>
  <si>
    <t>PKTĐ D4 T1</t>
  </si>
  <si>
    <t>TV T10</t>
  </si>
  <si>
    <t>B1 T10</t>
  </si>
  <si>
    <t>Trường CNTT và TT B1 (t thụ)</t>
  </si>
  <si>
    <t>Trường Cơ khí-nhà 2 tầng mới</t>
  </si>
  <si>
    <t>Trường ĐH Mỏ địa chất</t>
  </si>
  <si>
    <t>TT Đào tạo liên tục</t>
  </si>
  <si>
    <t>TT Đào tạo liên tục - phòng máy TC</t>
  </si>
  <si>
    <t>PTN Kính hiển vi - ITIM</t>
  </si>
  <si>
    <t>KH&amp; CN Môi trường</t>
  </si>
  <si>
    <t>NC&amp;PT ứng dụng Hóa chất tự nhiên</t>
  </si>
  <si>
    <t>TTDV và HT BK</t>
  </si>
  <si>
    <t>TT Dịch vụ và hỗ trợ BK.F (t thụ)</t>
  </si>
  <si>
    <t>TT Dịch vụ và hỗ trợ BK.B1</t>
  </si>
  <si>
    <t>TT Dịch vụ và hỗ trợ BK.17</t>
  </si>
  <si>
    <t>TT Dịch vụ và hỗ trợ BK42</t>
  </si>
  <si>
    <t>TT Dịch vụ và hỗ trợ BK.BB</t>
  </si>
  <si>
    <t>TT Dịch vụ và hỗ trợ BK.C1 (t thụ)</t>
  </si>
  <si>
    <t>Lô 3 KĐB - SVĐ</t>
  </si>
  <si>
    <t>Lô 14, 15 KĐB - SVĐ</t>
  </si>
  <si>
    <t xml:space="preserve">Lô 13B KĐB - SVĐ </t>
  </si>
  <si>
    <t xml:space="preserve">Lô 7-13A KĐB - SVĐ </t>
  </si>
  <si>
    <t>Trịnh Thị My</t>
  </si>
  <si>
    <t>0948742589</t>
  </si>
  <si>
    <t>0387</t>
  </si>
  <si>
    <t>Viettinbank- Chi nhánh HBT</t>
  </si>
  <si>
    <t>C4</t>
  </si>
  <si>
    <t>Nhà sách B1- TĐN</t>
  </si>
  <si>
    <t>Ông Hướng - Chiếu sáng Sân tập bóng chuyền, bóng rổ cũ</t>
  </si>
  <si>
    <t xml:space="preserve">Đỗ Đ.Tâm (Q.Anh) </t>
  </si>
  <si>
    <t>Lô 12, tầng 1- A17</t>
  </si>
  <si>
    <t>Lô 9, tầng 1 A17</t>
  </si>
  <si>
    <t xml:space="preserve">Lô 1, tầng 1- A17 </t>
  </si>
  <si>
    <t>38693467</t>
  </si>
  <si>
    <t>Lô 2,3,4 tầng 1-A17</t>
  </si>
  <si>
    <t xml:space="preserve">Lô 5,6 tầng 1- A17 </t>
  </si>
  <si>
    <t xml:space="preserve">Lô 7,8 tầng 1- A17 </t>
  </si>
  <si>
    <t>BAN CƠ SỞ VẬT CHẤT</t>
  </si>
  <si>
    <t>Ban Cơ sở vật chất</t>
  </si>
  <si>
    <t>0963723666</t>
  </si>
  <si>
    <t>Chị Liễu</t>
  </si>
  <si>
    <t>Công ty TNHH TMDVTH Đức Anh</t>
  </si>
  <si>
    <t>Anh Liêm</t>
  </si>
  <si>
    <t>0966669596</t>
  </si>
  <si>
    <t>C</t>
  </si>
  <si>
    <t>A Nghĩa</t>
  </si>
  <si>
    <t>TT kỹ thuật số Pháp ngữ CNF (AUF)</t>
  </si>
  <si>
    <t>Trong phòng 112</t>
  </si>
  <si>
    <t>Số 2/ 15 Duy Tân, D Vọng, Cầu Giấy</t>
  </si>
  <si>
    <t>TT Ngôn ngữ và trao đổi học thuật</t>
  </si>
  <si>
    <t>T-208</t>
  </si>
  <si>
    <t>Phạm Đắc Huấn</t>
  </si>
  <si>
    <t>0912998468</t>
  </si>
  <si>
    <t>411, 526 TV TQB</t>
  </si>
  <si>
    <t>D2D tầng 1</t>
  </si>
  <si>
    <t>Tầng 6 TV TQB</t>
  </si>
  <si>
    <t xml:space="preserve">D2D T1 </t>
  </si>
  <si>
    <t>KTĐ C</t>
  </si>
  <si>
    <t>Trung tâm Ngôn ngữ và trao đổi học thuật D6-ĐH (4 điều hòa)</t>
  </si>
  <si>
    <t>Ng Quốc Huy</t>
  </si>
  <si>
    <t>TT tâm chuyển đổi số</t>
  </si>
  <si>
    <t>Bằng chữ: Hai mươi ba triệu, bốn hai mươi nghìn, bốn trăm mười đồng ./.</t>
  </si>
  <si>
    <t xml:space="preserve">PTN nhà máy số </t>
  </si>
  <si>
    <t>Siêu thị Nam Phong</t>
  </si>
  <si>
    <t>Vật lý siêu nhẩm tầng 3</t>
  </si>
  <si>
    <t>C7</t>
  </si>
  <si>
    <t>Công ty CP đầu tư dịch vụ Tân Hoàng Gia (Bể bơi BK)</t>
  </si>
  <si>
    <t>0966283388</t>
  </si>
  <si>
    <t>Chị Minh Hạnh</t>
  </si>
  <si>
    <t>D6 T1</t>
  </si>
  <si>
    <t>Lớp học thầy Chung T3</t>
  </si>
  <si>
    <t>CLB Bi-a Yến T2</t>
  </si>
  <si>
    <t>Trịnh Thị Yến</t>
  </si>
  <si>
    <t>0888261868</t>
  </si>
  <si>
    <t>Lô 456 KĐ B SVĐ</t>
  </si>
  <si>
    <t>Kiot nướng KĐ B. Trang</t>
  </si>
  <si>
    <t>Lan Anh</t>
  </si>
  <si>
    <t>KTĐ M8</t>
  </si>
  <si>
    <t>KTĐ E8</t>
  </si>
  <si>
    <t xml:space="preserve">Chị Duyên - photocopy </t>
  </si>
  <si>
    <t>T207</t>
  </si>
  <si>
    <t>3388</t>
  </si>
  <si>
    <t>Trạm bơm</t>
  </si>
  <si>
    <t>97A</t>
  </si>
  <si>
    <t xml:space="preserve">Trung tâm MICA </t>
  </si>
  <si>
    <t>B1 904</t>
  </si>
  <si>
    <t>091 4343833</t>
  </si>
  <si>
    <t>C Hòa</t>
  </si>
  <si>
    <t>Viện CN và KT số</t>
  </si>
  <si>
    <t>Viện CN và KT số (MB)</t>
  </si>
  <si>
    <t xml:space="preserve">Quán tròn C5 </t>
  </si>
  <si>
    <t>Quán tròn C10B</t>
  </si>
  <si>
    <t>C Khánh</t>
  </si>
  <si>
    <t>0976636216</t>
  </si>
  <si>
    <t>Viện NC và ứng dụng TTNT</t>
  </si>
  <si>
    <t>TV 618</t>
  </si>
  <si>
    <t>TV 6C</t>
  </si>
  <si>
    <t>0847684960</t>
  </si>
  <si>
    <t xml:space="preserve">Phòng GD Viettel - cổng Parabol 
</t>
  </si>
  <si>
    <t>PTN Nano ITIM (t thụ)</t>
  </si>
  <si>
    <t>TT mạng lưới MobiFone  B1</t>
  </si>
  <si>
    <t>TT mạng lưới MobiFone D4</t>
  </si>
  <si>
    <t>BTS Viettel tầng mái C4</t>
  </si>
  <si>
    <t>Công ty Phú Thái</t>
  </si>
  <si>
    <t>BTS Viettel tầng mái C7</t>
  </si>
  <si>
    <t>BTS Viettel tầng mái D5</t>
  </si>
  <si>
    <t>BTS Viettel tầng mái D6</t>
  </si>
  <si>
    <t>0359933033</t>
  </si>
  <si>
    <t>Tạ Thanh Hằng - Photocopy</t>
  </si>
  <si>
    <t>TT Đào tạo liên tục - phòng máy TV (D)</t>
  </si>
  <si>
    <t>Ô Hướng Café + bi-a T2 NTĐ</t>
  </si>
  <si>
    <t>A Thanh</t>
  </si>
  <si>
    <t>0904526676</t>
  </si>
  <si>
    <t>PTN xúc tác VĐ</t>
  </si>
  <si>
    <t>ATM Ngân hàng ViettinBank</t>
  </si>
  <si>
    <t>Tầng 1</t>
  </si>
  <si>
    <t>Tầng 3 TTPV</t>
  </si>
  <si>
    <t>Chị Quyên</t>
  </si>
  <si>
    <t>0944838353</t>
  </si>
  <si>
    <t>Công ty CP Hòa Phú</t>
  </si>
  <si>
    <t>0962509096</t>
  </si>
  <si>
    <t>Thi công sửa nhà T</t>
  </si>
  <si>
    <t>Phòng KT mạng B1</t>
  </si>
  <si>
    <t>A Bình</t>
  </si>
  <si>
    <t xml:space="preserve"> Công ty CP CN Vending Machine VN (t thụ)</t>
  </si>
  <si>
    <t>Thi công sửa nhà D4, B1, TV</t>
  </si>
  <si>
    <t>Máy bán cà phê tự động (t thụ 4 máy)</t>
  </si>
  <si>
    <t>4 máy bán hàng C10, D3, D6</t>
  </si>
  <si>
    <t xml:space="preserve">TT nghiên cứu địa kỹ thuật Đh Mỏ </t>
  </si>
  <si>
    <t>BẢNG TỔNG HỢP HỘ TIÊU THỤ ĐIỆN THÁNG 3 NĂM 2025</t>
  </si>
  <si>
    <t>TT Đào tạo liên tục - phòng máy TV ( C)</t>
  </si>
  <si>
    <t>T hầm, nhà A - Phố Ng  Hiền</t>
  </si>
  <si>
    <t>Trường CĐN</t>
  </si>
  <si>
    <t>TT Dịch vụ và hỗ trợ BK.1/15</t>
  </si>
  <si>
    <t>Công ty Viettel Cột TVĐT (TT tháng 3)</t>
  </si>
  <si>
    <t>Công ty Viettel - Cột B1 (TT tháng 3)</t>
  </si>
  <si>
    <t>Hà Nội, ngày 11 tháng 4 năm 2025</t>
  </si>
  <si>
    <t xml:space="preserve">Trường CĐN </t>
  </si>
  <si>
    <t>19004690</t>
  </si>
  <si>
    <t>Công ty TNHH MTV dịch vụ và thương mại viettelpost</t>
  </si>
  <si>
    <t>Tháng 3 năm 2025</t>
  </si>
  <si>
    <t>Hà Nội, ngày 18 tháng 4 năm 2025</t>
  </si>
  <si>
    <t>TBA: TVĐT.</t>
  </si>
  <si>
    <t>Số phiếu: 206</t>
  </si>
  <si>
    <t xml:space="preserve">Kính gửi: Phòng GD Viettel - cổng Parabol 
</t>
  </si>
  <si>
    <t>Đại diện: Công ty TNHH MTV dịch vụ và thương mại viettelpost.</t>
  </si>
  <si>
    <t>Điện thoại: 0963723666.</t>
  </si>
  <si>
    <t>Số công tơ: 13833.</t>
  </si>
  <si>
    <t>Vị trí đặt: PKTĐ D4 T1.</t>
  </si>
  <si>
    <t>Mã sổ: .</t>
  </si>
  <si>
    <t>Bằng chữ: Năm triệu ba mươi sáu ngàn một trăm năm mươi hai đồng ./.</t>
  </si>
  <si>
    <t>Toà nhà N2, KM số 2, Đại lộ Thăng long, phường Mễ trì, quận Nam từ liêm, Thành phố Hà Nội, Việt Nam</t>
  </si>
  <si>
    <t>Địa chỉ hộ tiêu thụ: Toà nhà N2, KM số 2, Đại lộ Thăng long, phường Mễ trì, quận Nam từ liêm, Thành phố Hà Nội, Việt Nam.</t>
  </si>
  <si>
    <t>Công ty CP dữ liệu số IHUB</t>
  </si>
  <si>
    <t>Tủ gửi đồ cổng KTX</t>
  </si>
  <si>
    <t xml:space="preserve"> Bảo Trân</t>
  </si>
  <si>
    <t>0914415742</t>
  </si>
  <si>
    <t>T1 số 10 TQB</t>
  </si>
  <si>
    <t>C6- 101</t>
  </si>
  <si>
    <t>PTN Viện Kỹ thuật ĐK &amp; TĐH C6</t>
  </si>
  <si>
    <t>C6 T2</t>
  </si>
  <si>
    <t>0982199862</t>
  </si>
  <si>
    <t>0989483276</t>
  </si>
  <si>
    <t>A Tiến</t>
  </si>
  <si>
    <t>Thi công sửa nhà C9</t>
  </si>
  <si>
    <t>29 công tơ</t>
  </si>
  <si>
    <t>Viện khoa học sức khỏe</t>
  </si>
  <si>
    <t>TV 626</t>
  </si>
  <si>
    <t>A Phong</t>
  </si>
  <si>
    <t>KTĐ T1D</t>
  </si>
  <si>
    <t>T1</t>
  </si>
  <si>
    <t>nhà A</t>
  </si>
  <si>
    <t>A Thái</t>
  </si>
  <si>
    <t>0967405962</t>
  </si>
  <si>
    <t>Viện NC và ứng dụng Trí tuệ nhân tạo</t>
  </si>
  <si>
    <t>Duy Anh (Thu GNTB)</t>
  </si>
  <si>
    <t xml:space="preserve">VP TT Đào tạo liên tục </t>
  </si>
  <si>
    <t>Công ty CP dữ liệu số IHUB - Tủ gửi đồ</t>
  </si>
  <si>
    <t>TV 803</t>
  </si>
  <si>
    <t>chị Giang</t>
  </si>
  <si>
    <t>0962365030</t>
  </si>
  <si>
    <t xml:space="preserve">Công ty Viettel Cột TVĐT </t>
  </si>
  <si>
    <t xml:space="preserve">Công ty Viettel - Cột B1 </t>
  </si>
  <si>
    <t>Chị L M Thắng</t>
  </si>
  <si>
    <t>Tạp chí Tự động hóa - Đ hòa</t>
  </si>
  <si>
    <t xml:space="preserve">Tạp chí Tự động hóa </t>
  </si>
  <si>
    <t>Chị Yến -TT Đào tạo &amp; PT Sản phẩm TP</t>
  </si>
  <si>
    <t>KTĐ B1</t>
  </si>
  <si>
    <t>9 máy bán hàng C7, D3, D9, D8, TV, F, TC</t>
  </si>
  <si>
    <t>KH&amp; CN Môi trường (tháng 1-5)</t>
  </si>
  <si>
    <t xml:space="preserve">Trường Cao đẳng nghề </t>
  </si>
  <si>
    <t>Trường Cao đẳng nghề BK-xưởng Hàn B4</t>
  </si>
  <si>
    <t>Trường Cao đẳng nghề BK-xưởng Hàn B4 (a/s)</t>
  </si>
  <si>
    <t>Trường Cao đẳng nghề BK - Nhà B</t>
  </si>
  <si>
    <t>Trường Cao đẳng nghề BK - Ngõ 17</t>
  </si>
  <si>
    <t>Trường Cao đẳng nghề - nhà A</t>
  </si>
  <si>
    <t>BẢNG TỔNG HỢP HỘ TIÊU THỤ ĐIỆN THÁNG 6 NĂM 2025</t>
  </si>
  <si>
    <t>Thi công sửa nhà D4</t>
  </si>
  <si>
    <t>Thi công sửa nhà  TV</t>
  </si>
  <si>
    <t>Khoa Vật lý kỹ thuật</t>
  </si>
  <si>
    <t>Vật lý kỹ thuật nhà A</t>
  </si>
  <si>
    <t xml:space="preserve">KH&amp; CN Môi trường </t>
  </si>
  <si>
    <t xml:space="preserve">NC&amp;PT ứng dụng Hóa chất tự nhiên </t>
  </si>
  <si>
    <t xml:space="preserve">PTN Polyme và Compozit </t>
  </si>
  <si>
    <t>Hà Nội, ngày 9 tháng 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</si>
</sst>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92" formatCode="d/m"/>
    <numFmt numFmtId="198" formatCode="_(* #,##0_);_(* \(#,##0\);_(* &quot;-&quot;??_);_(@_)"/>
    <numFmt numFmtId="199" formatCode="0_);[Red]\(0\)"/>
  </numFmts>
  <fonts count="72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color indexed="14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4"/>
      <color indexed="30"/>
      <name val="Arial"/>
      <family val="2"/>
    </font>
    <font>
      <sz val="10"/>
      <color indexed="56"/>
      <name val="Times New Roman"/>
      <family val="1"/>
    </font>
    <font>
      <b/>
      <sz val="10"/>
      <color indexed="56"/>
      <name val="Times New Roman"/>
      <family val="1"/>
    </font>
    <font>
      <b/>
      <sz val="10"/>
      <color indexed="30"/>
      <name val="Times New Roman"/>
      <family val="1"/>
    </font>
    <font>
      <sz val="10"/>
      <color indexed="9"/>
      <name val="Arial"/>
      <family val="2"/>
    </font>
    <font>
      <sz val="11"/>
      <name val="Times New Roman"/>
      <family val="1"/>
    </font>
    <font>
      <b/>
      <sz val="12"/>
      <color indexed="56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56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2"/>
      <color indexed="3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indexed="56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0"/>
      <name val="Times New Roman"/>
      <family val="1"/>
    </font>
    <font>
      <b/>
      <sz val="10"/>
      <color indexed="9"/>
      <name val="Times New Roman"/>
      <family val="1"/>
    </font>
    <font>
      <i/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2222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/>
    <xf numFmtId="0" fontId="7" fillId="0" borderId="0"/>
  </cellStyleXfs>
  <cellXfs count="578">
    <xf numFmtId="0" fontId="0" fillId="0" borderId="0" xfId="0"/>
    <xf numFmtId="0" fontId="2" fillId="0" borderId="0" xfId="0" applyFont="1" applyFill="1" applyProtection="1">
      <protection hidden="1"/>
    </xf>
    <xf numFmtId="0" fontId="6" fillId="0" borderId="0" xfId="0" applyFont="1" applyFill="1" applyAlignment="1" applyProtection="1">
      <alignment wrapText="1"/>
      <protection hidden="1"/>
    </xf>
    <xf numFmtId="0" fontId="6" fillId="0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Fill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center" vertical="center"/>
      <protection hidden="1"/>
    </xf>
    <xf numFmtId="192" fontId="9" fillId="0" borderId="0" xfId="0" applyNumberFormat="1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2" fillId="0" borderId="0" xfId="0" applyFont="1" applyFill="1" applyAlignment="1" applyProtection="1">
      <alignment horizontal="left" vertical="center"/>
      <protection hidden="1"/>
    </xf>
    <xf numFmtId="0" fontId="9" fillId="0" borderId="0" xfId="0" applyFont="1" applyFill="1" applyAlignment="1" applyProtection="1">
      <alignment vertical="center"/>
      <protection hidden="1"/>
    </xf>
    <xf numFmtId="49" fontId="2" fillId="0" borderId="0" xfId="0" applyNumberFormat="1" applyFont="1" applyFill="1" applyAlignment="1" applyProtection="1">
      <alignment vertical="center"/>
      <protection hidden="1"/>
    </xf>
    <xf numFmtId="49" fontId="9" fillId="0" borderId="0" xfId="0" applyNumberFormat="1" applyFont="1" applyFill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vertical="center"/>
      <protection hidden="1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24" fillId="0" borderId="0" xfId="0" applyFont="1" applyFill="1"/>
    <xf numFmtId="0" fontId="21" fillId="0" borderId="0" xfId="0" applyFont="1" applyFill="1" applyAlignment="1"/>
    <xf numFmtId="0" fontId="21" fillId="0" borderId="0" xfId="0" applyFont="1" applyFill="1" applyAlignment="1">
      <alignment vertical="center"/>
    </xf>
    <xf numFmtId="0" fontId="12" fillId="2" borderId="0" xfId="4" applyFont="1" applyFill="1" applyBorder="1" applyAlignment="1" applyProtection="1">
      <alignment vertical="center"/>
      <protection hidden="1"/>
    </xf>
    <xf numFmtId="0" fontId="24" fillId="0" borderId="0" xfId="0" applyFont="1" applyAlignment="1">
      <alignment horizontal="center"/>
    </xf>
    <xf numFmtId="0" fontId="24" fillId="0" borderId="0" xfId="0" applyFont="1"/>
    <xf numFmtId="0" fontId="32" fillId="0" borderId="0" xfId="0" applyFont="1" applyAlignment="1">
      <alignment horizontal="center" vertical="center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12" fillId="2" borderId="0" xfId="4" applyFont="1" applyFill="1" applyBorder="1" applyAlignment="1" applyProtection="1">
      <alignment vertical="center" wrapText="1"/>
      <protection hidden="1"/>
    </xf>
    <xf numFmtId="199" fontId="12" fillId="2" borderId="0" xfId="4" applyNumberFormat="1" applyFont="1" applyFill="1" applyBorder="1" applyAlignment="1" applyProtection="1">
      <alignment vertical="center" wrapText="1"/>
      <protection hidden="1"/>
    </xf>
    <xf numFmtId="0" fontId="21" fillId="0" borderId="1" xfId="4" applyFont="1" applyFill="1" applyBorder="1" applyAlignment="1" applyProtection="1">
      <alignment horizontal="center" wrapText="1"/>
      <protection hidden="1"/>
    </xf>
    <xf numFmtId="37" fontId="21" fillId="0" borderId="1" xfId="4" applyNumberFormat="1" applyFont="1" applyFill="1" applyBorder="1" applyAlignment="1">
      <alignment wrapText="1"/>
    </xf>
    <xf numFmtId="37" fontId="21" fillId="0" borderId="1" xfId="4" applyNumberFormat="1" applyFont="1" applyFill="1" applyBorder="1" applyAlignment="1">
      <alignment horizontal="left" wrapText="1"/>
    </xf>
    <xf numFmtId="49" fontId="21" fillId="0" borderId="1" xfId="4" quotePrefix="1" applyNumberFormat="1" applyFont="1" applyFill="1" applyBorder="1" applyAlignment="1" applyProtection="1">
      <alignment wrapText="1"/>
      <protection hidden="1"/>
    </xf>
    <xf numFmtId="0" fontId="21" fillId="0" borderId="1" xfId="4" applyFont="1" applyFill="1" applyBorder="1" applyAlignment="1" applyProtection="1">
      <alignment wrapText="1"/>
      <protection hidden="1"/>
    </xf>
    <xf numFmtId="49" fontId="21" fillId="0" borderId="1" xfId="4" applyNumberFormat="1" applyFont="1" applyFill="1" applyBorder="1" applyAlignment="1" applyProtection="1">
      <alignment horizontal="right" wrapText="1"/>
      <protection hidden="1"/>
    </xf>
    <xf numFmtId="1" fontId="20" fillId="0" borderId="1" xfId="4" applyNumberFormat="1" applyFont="1" applyFill="1" applyBorder="1" applyAlignment="1">
      <alignment horizontal="center" wrapText="1"/>
    </xf>
    <xf numFmtId="49" fontId="21" fillId="0" borderId="1" xfId="4" applyNumberFormat="1" applyFont="1" applyFill="1" applyBorder="1" applyAlignment="1" applyProtection="1">
      <alignment horizontal="center" wrapText="1"/>
      <protection hidden="1"/>
    </xf>
    <xf numFmtId="0" fontId="31" fillId="0" borderId="1" xfId="4" applyFont="1" applyFill="1" applyBorder="1" applyAlignment="1" applyProtection="1">
      <alignment horizontal="center" wrapText="1"/>
      <protection hidden="1"/>
    </xf>
    <xf numFmtId="198" fontId="21" fillId="0" borderId="1" xfId="2" applyNumberFormat="1" applyFont="1" applyFill="1" applyBorder="1" applyAlignment="1" applyProtection="1">
      <alignment wrapText="1"/>
      <protection hidden="1"/>
    </xf>
    <xf numFmtId="1" fontId="21" fillId="0" borderId="1" xfId="4" applyNumberFormat="1" applyFont="1" applyFill="1" applyBorder="1" applyAlignment="1">
      <alignment horizontal="center" wrapText="1"/>
    </xf>
    <xf numFmtId="0" fontId="21" fillId="0" borderId="1" xfId="5" applyFont="1" applyFill="1" applyBorder="1" applyAlignment="1" applyProtection="1">
      <alignment wrapText="1"/>
      <protection hidden="1"/>
    </xf>
    <xf numFmtId="37" fontId="16" fillId="0" borderId="1" xfId="4" applyNumberFormat="1" applyFont="1" applyFill="1" applyBorder="1" applyAlignment="1">
      <alignment wrapText="1"/>
    </xf>
    <xf numFmtId="37" fontId="21" fillId="0" borderId="1" xfId="4" applyNumberFormat="1" applyFont="1" applyFill="1" applyBorder="1" applyAlignment="1">
      <alignment horizontal="center" wrapText="1"/>
    </xf>
    <xf numFmtId="37" fontId="31" fillId="0" borderId="1" xfId="4" applyNumberFormat="1" applyFont="1" applyFill="1" applyBorder="1" applyAlignment="1">
      <alignment horizontal="center" wrapText="1"/>
    </xf>
    <xf numFmtId="49" fontId="21" fillId="0" borderId="1" xfId="4" quotePrefix="1" applyNumberFormat="1" applyFont="1" applyFill="1" applyBorder="1" applyAlignment="1" applyProtection="1">
      <alignment horizontal="right" wrapText="1"/>
      <protection hidden="1"/>
    </xf>
    <xf numFmtId="0" fontId="12" fillId="0" borderId="0" xfId="4" applyFont="1" applyFill="1" applyBorder="1" applyAlignment="1" applyProtection="1">
      <protection hidden="1"/>
    </xf>
    <xf numFmtId="0" fontId="16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16" fillId="0" borderId="0" xfId="0" applyFont="1" applyFill="1"/>
    <xf numFmtId="0" fontId="26" fillId="0" borderId="0" xfId="0" applyFont="1" applyFill="1" applyAlignment="1">
      <alignment horizontal="right"/>
    </xf>
    <xf numFmtId="0" fontId="32" fillId="0" borderId="0" xfId="0" applyFont="1" applyFill="1"/>
    <xf numFmtId="0" fontId="26" fillId="0" borderId="0" xfId="0" applyFont="1" applyFill="1"/>
    <xf numFmtId="0" fontId="46" fillId="0" borderId="0" xfId="0" applyFont="1" applyFill="1"/>
    <xf numFmtId="0" fontId="16" fillId="0" borderId="0" xfId="0" applyFont="1" applyFill="1" applyAlignment="1">
      <alignment horizontal="left"/>
    </xf>
    <xf numFmtId="37" fontId="16" fillId="0" borderId="0" xfId="0" applyNumberFormat="1" applyFont="1" applyFill="1" applyAlignment="1"/>
    <xf numFmtId="0" fontId="16" fillId="0" borderId="0" xfId="0" applyFont="1" applyFill="1" applyAlignment="1">
      <alignment horizontal="right"/>
    </xf>
    <xf numFmtId="0" fontId="16" fillId="0" borderId="0" xfId="0" applyFont="1" applyFill="1" applyAlignment="1"/>
    <xf numFmtId="0" fontId="24" fillId="0" borderId="0" xfId="0" applyFont="1" applyFill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98" fontId="12" fillId="0" borderId="3" xfId="1" applyNumberFormat="1" applyFont="1" applyFill="1" applyBorder="1" applyAlignment="1" applyProtection="1">
      <alignment vertical="center"/>
      <protection hidden="1"/>
    </xf>
    <xf numFmtId="0" fontId="24" fillId="0" borderId="3" xfId="0" applyFont="1" applyFill="1" applyBorder="1" applyAlignment="1">
      <alignment horizontal="center" vertical="center"/>
    </xf>
    <xf numFmtId="198" fontId="16" fillId="0" borderId="3" xfId="1" applyNumberFormat="1" applyFont="1" applyFill="1" applyBorder="1" applyAlignment="1">
      <alignment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vertical="center"/>
    </xf>
    <xf numFmtId="0" fontId="16" fillId="0" borderId="4" xfId="0" applyFont="1" applyFill="1" applyBorder="1" applyAlignment="1">
      <alignment horizontal="right" vertical="center"/>
    </xf>
    <xf numFmtId="0" fontId="24" fillId="0" borderId="4" xfId="0" applyFont="1" applyFill="1" applyBorder="1" applyAlignment="1">
      <alignment vertical="center"/>
    </xf>
    <xf numFmtId="198" fontId="16" fillId="0" borderId="4" xfId="1" applyNumberFormat="1" applyFont="1" applyFill="1" applyBorder="1" applyAlignment="1">
      <alignment vertical="center"/>
    </xf>
    <xf numFmtId="43" fontId="47" fillId="0" borderId="5" xfId="0" applyNumberFormat="1" applyFont="1" applyFill="1" applyBorder="1" applyAlignment="1">
      <alignment horizontal="left" vertical="center"/>
    </xf>
    <xf numFmtId="43" fontId="16" fillId="0" borderId="4" xfId="1" applyFont="1" applyFill="1" applyBorder="1" applyAlignment="1">
      <alignment vertical="center"/>
    </xf>
    <xf numFmtId="0" fontId="16" fillId="0" borderId="6" xfId="0" applyFont="1" applyFill="1" applyBorder="1" applyAlignment="1">
      <alignment horizontal="right" vertical="center"/>
    </xf>
    <xf numFmtId="0" fontId="26" fillId="0" borderId="7" xfId="0" applyFont="1" applyFill="1" applyBorder="1" applyAlignment="1">
      <alignment horizontal="left" vertical="center"/>
    </xf>
    <xf numFmtId="0" fontId="26" fillId="0" borderId="8" xfId="0" applyFont="1" applyFill="1" applyBorder="1" applyAlignment="1">
      <alignment vertical="center"/>
    </xf>
    <xf numFmtId="0" fontId="26" fillId="0" borderId="8" xfId="0" applyFont="1" applyFill="1" applyBorder="1" applyAlignment="1">
      <alignment horizontal="right" vertical="center"/>
    </xf>
    <xf numFmtId="0" fontId="32" fillId="0" borderId="8" xfId="0" applyFont="1" applyFill="1" applyBorder="1" applyAlignment="1">
      <alignment vertical="center"/>
    </xf>
    <xf numFmtId="43" fontId="26" fillId="0" borderId="8" xfId="1" applyFont="1" applyFill="1" applyBorder="1" applyAlignment="1">
      <alignment vertical="center"/>
    </xf>
    <xf numFmtId="0" fontId="26" fillId="0" borderId="9" xfId="0" applyFont="1" applyFill="1" applyBorder="1" applyAlignment="1">
      <alignment horizontal="right" vertical="center"/>
    </xf>
    <xf numFmtId="198" fontId="26" fillId="0" borderId="1" xfId="0" applyNumberFormat="1" applyFont="1" applyFill="1" applyBorder="1" applyAlignment="1">
      <alignment vertical="center"/>
    </xf>
    <xf numFmtId="43" fontId="26" fillId="0" borderId="5" xfId="0" applyNumberFormat="1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9" fillId="0" borderId="0" xfId="0" applyFont="1" applyFill="1"/>
    <xf numFmtId="0" fontId="16" fillId="0" borderId="0" xfId="0" applyFont="1" applyFill="1" applyAlignment="1">
      <alignment vertical="center"/>
    </xf>
    <xf numFmtId="3" fontId="21" fillId="0" borderId="1" xfId="0" applyNumberFormat="1" applyFont="1" applyFill="1" applyBorder="1"/>
    <xf numFmtId="3" fontId="21" fillId="0" borderId="1" xfId="0" applyNumberFormat="1" applyFont="1" applyFill="1" applyBorder="1" applyAlignment="1">
      <alignment wrapText="1"/>
    </xf>
    <xf numFmtId="3" fontId="21" fillId="0" borderId="1" xfId="4" applyNumberFormat="1" applyFont="1" applyFill="1" applyBorder="1" applyAlignment="1" applyProtection="1">
      <alignment wrapText="1"/>
      <protection hidden="1"/>
    </xf>
    <xf numFmtId="0" fontId="24" fillId="0" borderId="0" xfId="0" applyFont="1" applyFill="1" applyAlignment="1"/>
    <xf numFmtId="37" fontId="16" fillId="0" borderId="1" xfId="5" applyNumberFormat="1" applyFont="1" applyFill="1" applyBorder="1" applyAlignment="1">
      <alignment horizontal="left" wrapText="1"/>
    </xf>
    <xf numFmtId="49" fontId="16" fillId="0" borderId="1" xfId="5" applyNumberFormat="1" applyFont="1" applyFill="1" applyBorder="1" applyAlignment="1" applyProtection="1">
      <alignment horizontal="right" wrapText="1"/>
      <protection hidden="1"/>
    </xf>
    <xf numFmtId="3" fontId="21" fillId="0" borderId="1" xfId="0" quotePrefix="1" applyNumberFormat="1" applyFont="1" applyFill="1" applyBorder="1" applyAlignment="1">
      <alignment wrapText="1"/>
    </xf>
    <xf numFmtId="0" fontId="16" fillId="0" borderId="0" xfId="0" applyFont="1" applyFill="1" applyAlignment="1">
      <alignment horizontal="right" vertical="center"/>
    </xf>
    <xf numFmtId="0" fontId="54" fillId="0" borderId="0" xfId="0" applyFont="1"/>
    <xf numFmtId="37" fontId="16" fillId="2" borderId="1" xfId="4" applyNumberFormat="1" applyFont="1" applyFill="1" applyBorder="1" applyAlignment="1">
      <alignment wrapText="1"/>
    </xf>
    <xf numFmtId="3" fontId="16" fillId="2" borderId="1" xfId="4" applyNumberFormat="1" applyFont="1" applyFill="1" applyBorder="1" applyAlignment="1">
      <alignment wrapText="1"/>
    </xf>
    <xf numFmtId="3" fontId="26" fillId="0" borderId="11" xfId="0" applyNumberFormat="1" applyFont="1" applyFill="1" applyBorder="1" applyAlignment="1">
      <alignment horizontal="left" vertical="center"/>
    </xf>
    <xf numFmtId="3" fontId="26" fillId="0" borderId="12" xfId="0" applyNumberFormat="1" applyFont="1" applyFill="1" applyBorder="1" applyAlignment="1">
      <alignment vertical="center"/>
    </xf>
    <xf numFmtId="3" fontId="26" fillId="0" borderId="12" xfId="0" applyNumberFormat="1" applyFont="1" applyFill="1" applyBorder="1" applyAlignment="1">
      <alignment horizontal="right" vertical="center"/>
    </xf>
    <xf numFmtId="3" fontId="26" fillId="0" borderId="12" xfId="1" applyNumberFormat="1" applyFont="1" applyFill="1" applyBorder="1" applyAlignment="1">
      <alignment vertical="center"/>
    </xf>
    <xf numFmtId="3" fontId="26" fillId="0" borderId="13" xfId="0" applyNumberFormat="1" applyFont="1" applyFill="1" applyBorder="1" applyAlignment="1">
      <alignment horizontal="right" vertical="center"/>
    </xf>
    <xf numFmtId="3" fontId="26" fillId="0" borderId="10" xfId="0" applyNumberFormat="1" applyFont="1" applyFill="1" applyBorder="1" applyAlignment="1">
      <alignment vertical="center"/>
    </xf>
    <xf numFmtId="3" fontId="16" fillId="0" borderId="1" xfId="0" applyNumberFormat="1" applyFont="1" applyFill="1" applyBorder="1" applyAlignment="1">
      <alignment horizontal="center" vertical="center"/>
    </xf>
    <xf numFmtId="3" fontId="16" fillId="0" borderId="1" xfId="1" applyNumberFormat="1" applyFont="1" applyFill="1" applyBorder="1" applyAlignment="1">
      <alignment vertical="center"/>
    </xf>
    <xf numFmtId="3" fontId="16" fillId="0" borderId="1" xfId="0" applyNumberFormat="1" applyFont="1" applyFill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3" fontId="16" fillId="2" borderId="1" xfId="4" applyNumberFormat="1" applyFont="1" applyFill="1" applyBorder="1" applyAlignment="1" applyProtection="1">
      <alignment horizontal="center" vertical="center" wrapText="1"/>
      <protection hidden="1"/>
    </xf>
    <xf numFmtId="3" fontId="16" fillId="2" borderId="1" xfId="4" applyNumberFormat="1" applyFont="1" applyFill="1" applyBorder="1" applyAlignment="1" applyProtection="1">
      <alignment vertical="center" wrapText="1"/>
      <protection hidden="1"/>
    </xf>
    <xf numFmtId="3" fontId="26" fillId="0" borderId="1" xfId="0" applyNumberFormat="1" applyFont="1" applyFill="1" applyBorder="1" applyAlignment="1">
      <alignment vertical="center"/>
    </xf>
    <xf numFmtId="3" fontId="32" fillId="0" borderId="5" xfId="0" applyNumberFormat="1" applyFont="1" applyFill="1" applyBorder="1" applyAlignment="1">
      <alignment horizontal="center" vertical="center"/>
    </xf>
    <xf numFmtId="3" fontId="32" fillId="0" borderId="10" xfId="0" applyNumberFormat="1" applyFont="1" applyFill="1" applyBorder="1" applyAlignment="1">
      <alignment horizontal="center" vertical="center"/>
    </xf>
    <xf numFmtId="0" fontId="16" fillId="2" borderId="1" xfId="4" applyFont="1" applyFill="1" applyBorder="1" applyAlignment="1" applyProtection="1">
      <alignment horizontal="center" vertical="center" wrapText="1"/>
      <protection hidden="1"/>
    </xf>
    <xf numFmtId="3" fontId="16" fillId="2" borderId="1" xfId="0" applyNumberFormat="1" applyFont="1" applyFill="1" applyBorder="1" applyAlignment="1">
      <alignment vertical="center" wrapText="1"/>
    </xf>
    <xf numFmtId="37" fontId="16" fillId="2" borderId="1" xfId="4" applyNumberFormat="1" applyFont="1" applyFill="1" applyBorder="1" applyAlignment="1">
      <alignment vertical="center" wrapText="1"/>
    </xf>
    <xf numFmtId="0" fontId="16" fillId="2" borderId="1" xfId="4" applyFont="1" applyFill="1" applyBorder="1" applyAlignment="1">
      <alignment horizontal="left" vertical="center"/>
    </xf>
    <xf numFmtId="0" fontId="68" fillId="0" borderId="1" xfId="4" applyNumberFormat="1" applyFont="1" applyFill="1" applyBorder="1" applyAlignment="1">
      <alignment horizontal="center" wrapText="1"/>
    </xf>
    <xf numFmtId="0" fontId="68" fillId="0" borderId="1" xfId="4" applyFont="1" applyFill="1" applyBorder="1" applyAlignment="1" applyProtection="1">
      <alignment horizontal="center" wrapText="1"/>
      <protection hidden="1"/>
    </xf>
    <xf numFmtId="198" fontId="68" fillId="0" borderId="1" xfId="2" applyNumberFormat="1" applyFont="1" applyFill="1" applyBorder="1" applyAlignment="1" applyProtection="1">
      <alignment wrapText="1"/>
      <protection hidden="1"/>
    </xf>
    <xf numFmtId="0" fontId="70" fillId="0" borderId="0" xfId="4" applyFont="1" applyFill="1" applyBorder="1" applyAlignment="1" applyProtection="1">
      <protection hidden="1"/>
    </xf>
    <xf numFmtId="0" fontId="21" fillId="0" borderId="1" xfId="4" applyNumberFormat="1" applyFont="1" applyFill="1" applyBorder="1" applyAlignment="1">
      <alignment horizontal="center" wrapText="1"/>
    </xf>
    <xf numFmtId="3" fontId="21" fillId="0" borderId="1" xfId="0" applyNumberFormat="1" applyFont="1" applyFill="1" applyBorder="1" applyAlignment="1"/>
    <xf numFmtId="0" fontId="21" fillId="0" borderId="1" xfId="4" applyFont="1" applyFill="1" applyBorder="1" applyAlignment="1">
      <alignment horizontal="left" wrapText="1"/>
    </xf>
    <xf numFmtId="49" fontId="21" fillId="0" borderId="1" xfId="4" applyNumberFormat="1" applyFont="1" applyFill="1" applyBorder="1" applyAlignment="1" applyProtection="1">
      <alignment horizontal="right"/>
      <protection hidden="1"/>
    </xf>
    <xf numFmtId="1" fontId="21" fillId="0" borderId="1" xfId="4" applyNumberFormat="1" applyFont="1" applyFill="1" applyBorder="1" applyAlignment="1" applyProtection="1">
      <alignment horizontal="center"/>
      <protection hidden="1"/>
    </xf>
    <xf numFmtId="0" fontId="21" fillId="0" borderId="1" xfId="4" quotePrefix="1" applyFont="1" applyFill="1" applyBorder="1" applyAlignment="1" applyProtection="1">
      <alignment wrapText="1"/>
      <protection hidden="1"/>
    </xf>
    <xf numFmtId="37" fontId="21" fillId="0" borderId="1" xfId="4" quotePrefix="1" applyNumberFormat="1" applyFont="1" applyFill="1" applyBorder="1" applyAlignment="1">
      <alignment horizontal="left" wrapText="1"/>
    </xf>
    <xf numFmtId="3" fontId="16" fillId="0" borderId="1" xfId="0" applyNumberFormat="1" applyFont="1" applyFill="1" applyBorder="1" applyAlignment="1">
      <alignment wrapText="1"/>
    </xf>
    <xf numFmtId="0" fontId="24" fillId="0" borderId="0" xfId="4" applyFont="1" applyFill="1" applyBorder="1" applyAlignment="1" applyProtection="1">
      <protection hidden="1"/>
    </xf>
    <xf numFmtId="0" fontId="21" fillId="0" borderId="1" xfId="4" quotePrefix="1" applyFont="1" applyFill="1" applyBorder="1" applyAlignment="1" applyProtection="1">
      <alignment horizontal="right" wrapText="1"/>
      <protection hidden="1"/>
    </xf>
    <xf numFmtId="0" fontId="21" fillId="0" borderId="1" xfId="4" applyFont="1" applyFill="1" applyBorder="1" applyAlignment="1">
      <alignment horizontal="left"/>
    </xf>
    <xf numFmtId="0" fontId="21" fillId="0" borderId="1" xfId="4" quotePrefix="1" applyFont="1" applyFill="1" applyBorder="1" applyAlignment="1">
      <alignment horizontal="left"/>
    </xf>
    <xf numFmtId="0" fontId="21" fillId="0" borderId="1" xfId="4" applyFont="1" applyFill="1" applyBorder="1" applyAlignment="1">
      <alignment horizontal="center"/>
    </xf>
    <xf numFmtId="1" fontId="21" fillId="0" borderId="1" xfId="4" applyNumberFormat="1" applyFont="1" applyFill="1" applyBorder="1" applyAlignment="1">
      <alignment horizontal="center"/>
    </xf>
    <xf numFmtId="0" fontId="31" fillId="0" borderId="1" xfId="4" applyFont="1" applyFill="1" applyBorder="1" applyAlignment="1">
      <alignment horizontal="center"/>
    </xf>
    <xf numFmtId="37" fontId="21" fillId="0" borderId="1" xfId="4" quotePrefix="1" applyNumberFormat="1" applyFont="1" applyFill="1" applyBorder="1" applyAlignment="1">
      <alignment horizontal="center" wrapText="1"/>
    </xf>
    <xf numFmtId="49" fontId="21" fillId="0" borderId="1" xfId="4" quotePrefix="1" applyNumberFormat="1" applyFont="1" applyFill="1" applyBorder="1" applyAlignment="1" applyProtection="1">
      <alignment horizontal="right"/>
      <protection hidden="1"/>
    </xf>
    <xf numFmtId="37" fontId="21" fillId="0" borderId="1" xfId="5" applyNumberFormat="1" applyFont="1" applyFill="1" applyBorder="1" applyAlignment="1">
      <alignment wrapText="1"/>
    </xf>
    <xf numFmtId="37" fontId="21" fillId="0" borderId="1" xfId="5" applyNumberFormat="1" applyFont="1" applyFill="1" applyBorder="1" applyAlignment="1">
      <alignment horizontal="left" wrapText="1"/>
    </xf>
    <xf numFmtId="49" fontId="21" fillId="0" borderId="1" xfId="5" quotePrefix="1" applyNumberFormat="1" applyFont="1" applyFill="1" applyBorder="1" applyAlignment="1" applyProtection="1">
      <alignment horizontal="right" wrapText="1"/>
      <protection hidden="1"/>
    </xf>
    <xf numFmtId="0" fontId="21" fillId="0" borderId="1" xfId="5" applyFont="1" applyFill="1" applyBorder="1" applyAlignment="1" applyProtection="1">
      <alignment horizontal="center" wrapText="1"/>
      <protection hidden="1"/>
    </xf>
    <xf numFmtId="49" fontId="21" fillId="0" borderId="1" xfId="5" applyNumberFormat="1" applyFont="1" applyFill="1" applyBorder="1" applyAlignment="1" applyProtection="1">
      <alignment horizontal="center" wrapText="1"/>
      <protection hidden="1"/>
    </xf>
    <xf numFmtId="0" fontId="31" fillId="0" borderId="1" xfId="5" applyFont="1" applyFill="1" applyBorder="1" applyAlignment="1" applyProtection="1">
      <alignment horizontal="center" wrapText="1"/>
      <protection hidden="1"/>
    </xf>
    <xf numFmtId="3" fontId="21" fillId="0" borderId="1" xfId="5" applyNumberFormat="1" applyFont="1" applyFill="1" applyBorder="1" applyAlignment="1" applyProtection="1">
      <alignment wrapText="1"/>
      <protection hidden="1"/>
    </xf>
    <xf numFmtId="0" fontId="24" fillId="0" borderId="0" xfId="5" applyFont="1" applyFill="1" applyAlignment="1" applyProtection="1">
      <protection hidden="1"/>
    </xf>
    <xf numFmtId="1" fontId="21" fillId="0" borderId="1" xfId="4" applyNumberFormat="1" applyFont="1" applyFill="1" applyBorder="1" applyAlignment="1" applyProtection="1">
      <alignment horizontal="center" wrapText="1"/>
      <protection hidden="1"/>
    </xf>
    <xf numFmtId="1" fontId="21" fillId="0" borderId="1" xfId="4" quotePrefix="1" applyNumberFormat="1" applyFont="1" applyFill="1" applyBorder="1" applyAlignment="1">
      <alignment horizontal="center" wrapText="1"/>
    </xf>
    <xf numFmtId="2" fontId="21" fillId="0" borderId="1" xfId="4" applyNumberFormat="1" applyFont="1" applyFill="1" applyBorder="1" applyAlignment="1" applyProtection="1">
      <alignment wrapText="1"/>
      <protection hidden="1"/>
    </xf>
    <xf numFmtId="49" fontId="21" fillId="0" borderId="1" xfId="5" applyNumberFormat="1" applyFont="1" applyFill="1" applyBorder="1" applyAlignment="1" applyProtection="1">
      <alignment horizontal="right" wrapText="1"/>
      <protection hidden="1"/>
    </xf>
    <xf numFmtId="1" fontId="21" fillId="0" borderId="1" xfId="5" applyNumberFormat="1" applyFont="1" applyFill="1" applyBorder="1" applyAlignment="1">
      <alignment horizontal="center" wrapText="1"/>
    </xf>
    <xf numFmtId="198" fontId="21" fillId="0" borderId="1" xfId="3" applyNumberFormat="1" applyFont="1" applyFill="1" applyBorder="1" applyAlignment="1" applyProtection="1">
      <alignment wrapText="1"/>
      <protection hidden="1"/>
    </xf>
    <xf numFmtId="49" fontId="16" fillId="0" borderId="1" xfId="5" quotePrefix="1" applyNumberFormat="1" applyFont="1" applyFill="1" applyBorder="1" applyAlignment="1" applyProtection="1">
      <alignment horizontal="right" wrapText="1"/>
      <protection hidden="1"/>
    </xf>
    <xf numFmtId="49" fontId="24" fillId="0" borderId="1" xfId="4" quotePrefix="1" applyNumberFormat="1" applyFont="1" applyFill="1" applyBorder="1" applyAlignment="1" applyProtection="1">
      <alignment horizontal="right"/>
      <protection hidden="1"/>
    </xf>
    <xf numFmtId="3" fontId="21" fillId="0" borderId="1" xfId="4" applyNumberFormat="1" applyFont="1" applyFill="1" applyBorder="1" applyAlignment="1">
      <alignment horizontal="center" wrapText="1"/>
    </xf>
    <xf numFmtId="0" fontId="21" fillId="0" borderId="1" xfId="4" applyFont="1" applyFill="1" applyBorder="1" applyAlignment="1" applyProtection="1">
      <alignment horizontal="center"/>
      <protection hidden="1"/>
    </xf>
    <xf numFmtId="37" fontId="21" fillId="0" borderId="1" xfId="5" applyNumberFormat="1" applyFont="1" applyFill="1" applyBorder="1" applyAlignment="1">
      <alignment horizontal="center" wrapText="1"/>
    </xf>
    <xf numFmtId="37" fontId="31" fillId="0" borderId="1" xfId="5" applyNumberFormat="1" applyFont="1" applyFill="1" applyBorder="1" applyAlignment="1">
      <alignment horizontal="center" wrapText="1"/>
    </xf>
    <xf numFmtId="0" fontId="12" fillId="0" borderId="0" xfId="4" applyNumberFormat="1" applyFont="1" applyFill="1" applyBorder="1" applyAlignment="1">
      <alignment horizontal="center" vertical="center"/>
    </xf>
    <xf numFmtId="0" fontId="12" fillId="0" borderId="0" xfId="4" applyFont="1" applyFill="1" applyBorder="1" applyAlignment="1">
      <alignment horizontal="center" vertical="center"/>
    </xf>
    <xf numFmtId="43" fontId="12" fillId="0" borderId="0" xfId="2" applyFont="1" applyFill="1" applyBorder="1" applyAlignment="1">
      <alignment vertical="center" wrapText="1"/>
    </xf>
    <xf numFmtId="0" fontId="12" fillId="0" borderId="0" xfId="4" applyFont="1" applyFill="1" applyBorder="1" applyAlignment="1" applyProtection="1">
      <alignment vertical="center"/>
      <protection hidden="1"/>
    </xf>
    <xf numFmtId="0" fontId="12" fillId="0" borderId="0" xfId="4" applyFont="1" applyFill="1" applyBorder="1" applyAlignment="1" applyProtection="1">
      <alignment horizontal="left" vertical="center" wrapText="1"/>
      <protection hidden="1"/>
    </xf>
    <xf numFmtId="49" fontId="12" fillId="0" borderId="0" xfId="4" applyNumberFormat="1" applyFont="1" applyFill="1" applyBorder="1" applyAlignment="1" applyProtection="1">
      <alignment horizontal="right" vertical="center"/>
      <protection hidden="1"/>
    </xf>
    <xf numFmtId="0" fontId="12" fillId="0" borderId="0" xfId="4" applyFont="1" applyFill="1" applyBorder="1" applyAlignment="1" applyProtection="1">
      <alignment horizontal="center" vertical="center"/>
      <protection hidden="1"/>
    </xf>
    <xf numFmtId="1" fontId="12" fillId="0" borderId="0" xfId="4" applyNumberFormat="1" applyFont="1" applyFill="1" applyBorder="1" applyAlignment="1" applyProtection="1">
      <alignment horizontal="center" vertical="center"/>
      <protection hidden="1"/>
    </xf>
    <xf numFmtId="49" fontId="12" fillId="0" borderId="0" xfId="4" applyNumberFormat="1" applyFont="1" applyFill="1" applyBorder="1" applyAlignment="1" applyProtection="1">
      <alignment horizontal="center" vertical="center"/>
      <protection hidden="1"/>
    </xf>
    <xf numFmtId="0" fontId="12" fillId="0" borderId="0" xfId="4" applyFont="1" applyFill="1" applyBorder="1" applyAlignment="1" applyProtection="1">
      <alignment horizontal="center" vertical="center" wrapText="1"/>
      <protection hidden="1"/>
    </xf>
    <xf numFmtId="0" fontId="13" fillId="0" borderId="0" xfId="4" applyFont="1" applyFill="1" applyBorder="1" applyAlignment="1" applyProtection="1">
      <alignment horizontal="center" vertical="center"/>
      <protection hidden="1"/>
    </xf>
    <xf numFmtId="3" fontId="20" fillId="0" borderId="0" xfId="4" applyNumberFormat="1" applyFont="1" applyFill="1" applyBorder="1" applyAlignment="1" applyProtection="1">
      <alignment vertical="center"/>
      <protection hidden="1"/>
    </xf>
    <xf numFmtId="3" fontId="12" fillId="0" borderId="0" xfId="4" applyNumberFormat="1" applyFont="1" applyFill="1" applyBorder="1" applyAlignment="1" applyProtection="1">
      <alignment vertical="center"/>
      <protection hidden="1"/>
    </xf>
    <xf numFmtId="43" fontId="12" fillId="0" borderId="0" xfId="2" applyFont="1" applyFill="1" applyBorder="1" applyAlignment="1" applyProtection="1">
      <alignment vertical="center"/>
      <protection hidden="1"/>
    </xf>
    <xf numFmtId="0" fontId="12" fillId="0" borderId="0" xfId="4" applyFont="1" applyFill="1" applyBorder="1" applyAlignment="1" applyProtection="1">
      <alignment horizontal="center"/>
      <protection hidden="1"/>
    </xf>
    <xf numFmtId="0" fontId="13" fillId="0" borderId="1" xfId="4" applyNumberFormat="1" applyFont="1" applyFill="1" applyBorder="1" applyAlignment="1">
      <alignment horizontal="center" vertical="center" wrapText="1"/>
    </xf>
    <xf numFmtId="0" fontId="13" fillId="0" borderId="1" xfId="4" applyFont="1" applyFill="1" applyBorder="1" applyAlignment="1">
      <alignment horizontal="center" vertical="center" wrapText="1"/>
    </xf>
    <xf numFmtId="37" fontId="13" fillId="0" borderId="1" xfId="4" applyNumberFormat="1" applyFont="1" applyFill="1" applyBorder="1" applyAlignment="1">
      <alignment horizontal="center" vertical="center" wrapText="1"/>
    </xf>
    <xf numFmtId="49" fontId="13" fillId="0" borderId="1" xfId="4" applyNumberFormat="1" applyFont="1" applyFill="1" applyBorder="1" applyAlignment="1">
      <alignment horizontal="center" vertical="center" wrapText="1"/>
    </xf>
    <xf numFmtId="1" fontId="13" fillId="0" borderId="1" xfId="4" applyNumberFormat="1" applyFont="1" applyFill="1" applyBorder="1" applyAlignment="1">
      <alignment horizontal="center" vertical="center" wrapText="1"/>
    </xf>
    <xf numFmtId="3" fontId="17" fillId="0" borderId="1" xfId="4" applyNumberFormat="1" applyFont="1" applyFill="1" applyBorder="1" applyAlignment="1">
      <alignment horizontal="center" vertical="center" wrapText="1"/>
    </xf>
    <xf numFmtId="3" fontId="13" fillId="0" borderId="1" xfId="4" applyNumberFormat="1" applyFont="1" applyFill="1" applyBorder="1" applyAlignment="1">
      <alignment horizontal="center" vertical="center" wrapText="1"/>
    </xf>
    <xf numFmtId="43" fontId="13" fillId="0" borderId="1" xfId="2" applyFont="1" applyFill="1" applyBorder="1" applyAlignment="1">
      <alignment horizontal="center" vertical="center" wrapText="1"/>
    </xf>
    <xf numFmtId="37" fontId="17" fillId="0" borderId="1" xfId="4" applyNumberFormat="1" applyFont="1" applyFill="1" applyBorder="1" applyAlignment="1">
      <alignment horizontal="center" vertical="center" wrapText="1"/>
    </xf>
    <xf numFmtId="199" fontId="14" fillId="0" borderId="1" xfId="4" applyNumberFormat="1" applyFont="1" applyFill="1" applyBorder="1" applyAlignment="1">
      <alignment horizontal="center" vertical="center" wrapText="1"/>
    </xf>
    <xf numFmtId="3" fontId="14" fillId="0" borderId="1" xfId="4" applyNumberFormat="1" applyFont="1" applyFill="1" applyBorder="1" applyAlignment="1">
      <alignment horizontal="center" vertical="center" wrapText="1"/>
    </xf>
    <xf numFmtId="199" fontId="14" fillId="0" borderId="1" xfId="4" applyNumberFormat="1" applyFont="1" applyFill="1" applyBorder="1" applyAlignment="1">
      <alignment horizontal="center" wrapText="1"/>
    </xf>
    <xf numFmtId="1" fontId="21" fillId="0" borderId="1" xfId="4" quotePrefix="1" applyNumberFormat="1" applyFont="1" applyFill="1" applyBorder="1" applyAlignment="1" applyProtection="1">
      <alignment horizontal="center" wrapText="1"/>
      <protection hidden="1"/>
    </xf>
    <xf numFmtId="0" fontId="21" fillId="0" borderId="1" xfId="4" applyFont="1" applyFill="1" applyBorder="1" applyAlignment="1" applyProtection="1">
      <protection hidden="1"/>
    </xf>
    <xf numFmtId="0" fontId="31" fillId="0" borderId="1" xfId="4" applyFont="1" applyFill="1" applyBorder="1" applyAlignment="1" applyProtection="1">
      <alignment horizontal="center"/>
      <protection hidden="1"/>
    </xf>
    <xf numFmtId="0" fontId="21" fillId="0" borderId="1" xfId="5" applyFont="1" applyFill="1" applyBorder="1" applyAlignment="1">
      <alignment horizontal="left" wrapText="1"/>
    </xf>
    <xf numFmtId="49" fontId="21" fillId="0" borderId="1" xfId="5" applyNumberFormat="1" applyFont="1" applyFill="1" applyBorder="1" applyAlignment="1" applyProtection="1">
      <alignment horizontal="right"/>
      <protection hidden="1"/>
    </xf>
    <xf numFmtId="1" fontId="21" fillId="0" borderId="1" xfId="5" applyNumberFormat="1" applyFont="1" applyFill="1" applyBorder="1" applyAlignment="1" applyProtection="1">
      <alignment horizontal="center"/>
      <protection hidden="1"/>
    </xf>
    <xf numFmtId="0" fontId="21" fillId="0" borderId="1" xfId="4" applyNumberFormat="1" applyFont="1" applyFill="1" applyBorder="1" applyAlignment="1">
      <alignment horizontal="center"/>
    </xf>
    <xf numFmtId="43" fontId="31" fillId="0" borderId="1" xfId="2" applyFont="1" applyFill="1" applyBorder="1" applyAlignment="1">
      <alignment wrapText="1"/>
    </xf>
    <xf numFmtId="43" fontId="21" fillId="0" borderId="1" xfId="2" applyFont="1" applyFill="1" applyBorder="1" applyAlignment="1">
      <alignment wrapText="1"/>
    </xf>
    <xf numFmtId="0" fontId="21" fillId="0" borderId="1" xfId="4" applyFont="1" applyFill="1" applyBorder="1" applyAlignment="1" applyProtection="1">
      <alignment horizontal="left" wrapText="1"/>
      <protection hidden="1"/>
    </xf>
    <xf numFmtId="49" fontId="21" fillId="0" borderId="1" xfId="4" applyNumberFormat="1" applyFont="1" applyFill="1" applyBorder="1" applyAlignment="1" applyProtection="1">
      <alignment horizontal="center"/>
      <protection hidden="1"/>
    </xf>
    <xf numFmtId="3" fontId="21" fillId="0" borderId="1" xfId="4" applyNumberFormat="1" applyFont="1" applyFill="1" applyBorder="1" applyAlignment="1" applyProtection="1">
      <protection hidden="1"/>
    </xf>
    <xf numFmtId="43" fontId="21" fillId="0" borderId="1" xfId="2" applyFont="1" applyFill="1" applyBorder="1" applyAlignment="1" applyProtection="1">
      <protection hidden="1"/>
    </xf>
    <xf numFmtId="198" fontId="31" fillId="0" borderId="1" xfId="4" applyNumberFormat="1" applyFont="1" applyFill="1" applyBorder="1" applyAlignment="1" applyProtection="1">
      <protection hidden="1"/>
    </xf>
    <xf numFmtId="0" fontId="24" fillId="0" borderId="0" xfId="4" applyNumberFormat="1" applyFont="1" applyFill="1" applyBorder="1" applyAlignment="1">
      <alignment horizontal="center" vertical="center"/>
    </xf>
    <xf numFmtId="0" fontId="24" fillId="0" borderId="0" xfId="4" applyFont="1" applyFill="1" applyBorder="1" applyAlignment="1">
      <alignment horizontal="center" vertical="center"/>
    </xf>
    <xf numFmtId="43" fontId="24" fillId="0" borderId="0" xfId="2" applyFont="1" applyFill="1" applyBorder="1" applyAlignment="1">
      <alignment vertical="center" wrapText="1"/>
    </xf>
    <xf numFmtId="0" fontId="24" fillId="0" borderId="0" xfId="4" applyFont="1" applyFill="1" applyBorder="1" applyAlignment="1" applyProtection="1">
      <alignment vertical="center"/>
      <protection hidden="1"/>
    </xf>
    <xf numFmtId="0" fontId="24" fillId="0" borderId="0" xfId="4" applyFont="1" applyFill="1" applyBorder="1" applyAlignment="1" applyProtection="1">
      <alignment horizontal="left" vertical="center" wrapText="1"/>
      <protection hidden="1"/>
    </xf>
    <xf numFmtId="49" fontId="24" fillId="0" borderId="0" xfId="4" applyNumberFormat="1" applyFont="1" applyFill="1" applyBorder="1" applyAlignment="1" applyProtection="1">
      <alignment horizontal="right" vertical="center"/>
      <protection hidden="1"/>
    </xf>
    <xf numFmtId="0" fontId="24" fillId="0" borderId="0" xfId="4" applyFont="1" applyFill="1" applyBorder="1" applyAlignment="1" applyProtection="1">
      <alignment horizontal="center" vertical="center"/>
      <protection hidden="1"/>
    </xf>
    <xf numFmtId="1" fontId="24" fillId="0" borderId="0" xfId="4" applyNumberFormat="1" applyFont="1" applyFill="1" applyBorder="1" applyAlignment="1" applyProtection="1">
      <alignment horizontal="center" vertical="center"/>
      <protection hidden="1"/>
    </xf>
    <xf numFmtId="49" fontId="24" fillId="0" borderId="0" xfId="4" applyNumberFormat="1" applyFont="1" applyFill="1" applyBorder="1" applyAlignment="1" applyProtection="1">
      <alignment horizontal="center" vertical="center"/>
      <protection hidden="1"/>
    </xf>
    <xf numFmtId="0" fontId="24" fillId="0" borderId="0" xfId="4" applyFont="1" applyFill="1" applyBorder="1" applyAlignment="1" applyProtection="1">
      <alignment horizontal="center" vertical="center" wrapText="1"/>
      <protection hidden="1"/>
    </xf>
    <xf numFmtId="0" fontId="32" fillId="0" borderId="0" xfId="4" applyFont="1" applyFill="1" applyBorder="1" applyAlignment="1" applyProtection="1">
      <alignment horizontal="center" vertical="center"/>
      <protection hidden="1"/>
    </xf>
    <xf numFmtId="3" fontId="21" fillId="0" borderId="0" xfId="4" applyNumberFormat="1" applyFont="1" applyFill="1" applyBorder="1" applyAlignment="1" applyProtection="1">
      <alignment vertical="center"/>
      <protection hidden="1"/>
    </xf>
    <xf numFmtId="3" fontId="24" fillId="0" borderId="0" xfId="4" applyNumberFormat="1" applyFont="1" applyFill="1" applyBorder="1" applyAlignment="1" applyProtection="1">
      <alignment vertical="center"/>
      <protection hidden="1"/>
    </xf>
    <xf numFmtId="0" fontId="21" fillId="0" borderId="7" xfId="4" applyFont="1" applyFill="1" applyBorder="1" applyAlignment="1" applyProtection="1">
      <alignment vertical="center"/>
      <protection hidden="1"/>
    </xf>
    <xf numFmtId="0" fontId="21" fillId="0" borderId="8" xfId="4" applyFont="1" applyFill="1" applyBorder="1" applyAlignment="1" applyProtection="1">
      <alignment vertical="center"/>
      <protection hidden="1"/>
    </xf>
    <xf numFmtId="0" fontId="21" fillId="0" borderId="9" xfId="4" applyFont="1" applyFill="1" applyBorder="1" applyAlignment="1" applyProtection="1">
      <alignment vertical="center"/>
      <protection hidden="1"/>
    </xf>
    <xf numFmtId="0" fontId="21" fillId="0" borderId="0" xfId="4" applyFont="1" applyFill="1" applyBorder="1" applyAlignment="1" applyProtection="1">
      <alignment horizontal="center"/>
      <protection hidden="1"/>
    </xf>
    <xf numFmtId="0" fontId="21" fillId="0" borderId="0" xfId="4" applyFont="1" applyFill="1" applyBorder="1" applyAlignment="1">
      <alignment horizontal="center" vertical="center"/>
    </xf>
    <xf numFmtId="0" fontId="21" fillId="0" borderId="0" xfId="4" applyFont="1" applyFill="1" applyBorder="1" applyAlignment="1" applyProtection="1">
      <alignment vertical="center"/>
      <protection hidden="1"/>
    </xf>
    <xf numFmtId="43" fontId="24" fillId="0" borderId="0" xfId="2" applyFont="1" applyFill="1" applyBorder="1" applyAlignment="1" applyProtection="1">
      <alignment vertical="center"/>
      <protection hidden="1"/>
    </xf>
    <xf numFmtId="0" fontId="24" fillId="0" borderId="0" xfId="4" applyFont="1" applyFill="1" applyBorder="1" applyAlignment="1" applyProtection="1">
      <alignment horizontal="center"/>
      <protection hidden="1"/>
    </xf>
    <xf numFmtId="3" fontId="21" fillId="3" borderId="1" xfId="0" applyNumberFormat="1" applyFont="1" applyFill="1" applyBorder="1" applyAlignment="1"/>
    <xf numFmtId="0" fontId="21" fillId="3" borderId="1" xfId="4" applyFont="1" applyFill="1" applyBorder="1" applyAlignment="1" applyProtection="1">
      <alignment wrapText="1"/>
      <protection hidden="1"/>
    </xf>
    <xf numFmtId="0" fontId="21" fillId="3" borderId="1" xfId="5" applyFont="1" applyFill="1" applyBorder="1" applyAlignment="1" applyProtection="1">
      <alignment wrapText="1"/>
      <protection hidden="1"/>
    </xf>
    <xf numFmtId="0" fontId="24" fillId="3" borderId="0" xfId="4" applyFont="1" applyFill="1" applyBorder="1" applyAlignment="1" applyProtection="1">
      <protection hidden="1"/>
    </xf>
    <xf numFmtId="0" fontId="36" fillId="0" borderId="0" xfId="4" applyNumberFormat="1" applyFont="1" applyFill="1" applyBorder="1" applyAlignment="1">
      <alignment vertical="center"/>
    </xf>
    <xf numFmtId="0" fontId="36" fillId="0" borderId="0" xfId="4" applyFont="1" applyFill="1" applyBorder="1" applyAlignment="1">
      <alignment vertical="center"/>
    </xf>
    <xf numFmtId="0" fontId="36" fillId="0" borderId="0" xfId="4" applyFont="1" applyFill="1" applyBorder="1" applyAlignment="1">
      <alignment vertical="center" wrapText="1"/>
    </xf>
    <xf numFmtId="0" fontId="36" fillId="0" borderId="0" xfId="4" applyFont="1" applyFill="1" applyBorder="1" applyAlignment="1">
      <alignment horizontal="center" vertical="center"/>
    </xf>
    <xf numFmtId="3" fontId="36" fillId="0" borderId="0" xfId="4" applyNumberFormat="1" applyFont="1" applyFill="1" applyBorder="1" applyAlignment="1">
      <alignment vertical="center"/>
    </xf>
    <xf numFmtId="0" fontId="36" fillId="0" borderId="12" xfId="4" applyNumberFormat="1" applyFont="1" applyFill="1" applyBorder="1" applyAlignment="1">
      <alignment vertical="center"/>
    </xf>
    <xf numFmtId="0" fontId="36" fillId="0" borderId="12" xfId="4" applyFont="1" applyFill="1" applyBorder="1" applyAlignment="1">
      <alignment vertical="center"/>
    </xf>
    <xf numFmtId="0" fontId="36" fillId="0" borderId="12" xfId="4" applyFont="1" applyFill="1" applyBorder="1" applyAlignment="1">
      <alignment vertical="center" wrapText="1"/>
    </xf>
    <xf numFmtId="0" fontId="36" fillId="0" borderId="12" xfId="4" applyFont="1" applyFill="1" applyBorder="1" applyAlignment="1">
      <alignment horizontal="center" vertical="center"/>
    </xf>
    <xf numFmtId="3" fontId="36" fillId="0" borderId="12" xfId="4" applyNumberFormat="1" applyFont="1" applyFill="1" applyBorder="1" applyAlignment="1">
      <alignment vertical="center"/>
    </xf>
    <xf numFmtId="0" fontId="12" fillId="0" borderId="0" xfId="4" applyFont="1" applyFill="1" applyBorder="1" applyAlignment="1" applyProtection="1">
      <alignment vertical="center" wrapText="1"/>
      <protection hidden="1"/>
    </xf>
    <xf numFmtId="199" fontId="12" fillId="0" borderId="0" xfId="4" applyNumberFormat="1" applyFont="1" applyFill="1" applyBorder="1" applyAlignment="1" applyProtection="1">
      <alignment vertical="center" wrapText="1"/>
      <protection hidden="1"/>
    </xf>
    <xf numFmtId="198" fontId="12" fillId="0" borderId="0" xfId="2" applyNumberFormat="1" applyFont="1" applyFill="1" applyBorder="1" applyAlignment="1">
      <alignment vertical="center" wrapText="1"/>
    </xf>
    <xf numFmtId="198" fontId="12" fillId="0" borderId="0" xfId="4" applyNumberFormat="1" applyFont="1" applyFill="1" applyBorder="1" applyAlignment="1" applyProtection="1">
      <alignment vertical="center"/>
      <protection hidden="1"/>
    </xf>
    <xf numFmtId="43" fontId="12" fillId="0" borderId="0" xfId="4" applyNumberFormat="1" applyFont="1" applyFill="1" applyBorder="1" applyAlignment="1" applyProtection="1">
      <alignment vertical="center"/>
      <protection hidden="1"/>
    </xf>
    <xf numFmtId="43" fontId="12" fillId="0" borderId="0" xfId="1" applyFont="1" applyFill="1" applyBorder="1" applyAlignment="1" applyProtection="1">
      <alignment horizontal="right" vertical="center"/>
      <protection hidden="1"/>
    </xf>
    <xf numFmtId="0" fontId="21" fillId="0" borderId="5" xfId="4" applyFont="1" applyFill="1" applyBorder="1" applyAlignment="1" applyProtection="1">
      <alignment horizontal="center" wrapText="1"/>
      <protection hidden="1"/>
    </xf>
    <xf numFmtId="0" fontId="68" fillId="2" borderId="1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37" fontId="21" fillId="3" borderId="1" xfId="4" applyNumberFormat="1" applyFont="1" applyFill="1" applyBorder="1" applyAlignment="1">
      <alignment wrapText="1"/>
    </xf>
    <xf numFmtId="37" fontId="21" fillId="3" borderId="1" xfId="4" applyNumberFormat="1" applyFont="1" applyFill="1" applyBorder="1" applyAlignment="1">
      <alignment horizontal="left" wrapText="1"/>
    </xf>
    <xf numFmtId="0" fontId="21" fillId="3" borderId="1" xfId="4" applyFont="1" applyFill="1" applyBorder="1" applyAlignment="1" applyProtection="1">
      <alignment horizontal="center" wrapText="1"/>
      <protection hidden="1"/>
    </xf>
    <xf numFmtId="49" fontId="21" fillId="3" borderId="1" xfId="4" applyNumberFormat="1" applyFont="1" applyFill="1" applyBorder="1" applyAlignment="1" applyProtection="1">
      <alignment horizontal="center" wrapText="1"/>
      <protection hidden="1"/>
    </xf>
    <xf numFmtId="3" fontId="21" fillId="3" borderId="1" xfId="4" applyNumberFormat="1" applyFont="1" applyFill="1" applyBorder="1" applyAlignment="1" applyProtection="1">
      <alignment wrapText="1"/>
      <protection hidden="1"/>
    </xf>
    <xf numFmtId="0" fontId="21" fillId="3" borderId="1" xfId="4" applyFont="1" applyFill="1" applyBorder="1" applyAlignment="1">
      <alignment horizontal="left" wrapText="1"/>
    </xf>
    <xf numFmtId="37" fontId="21" fillId="3" borderId="1" xfId="4" applyNumberFormat="1" applyFont="1" applyFill="1" applyBorder="1" applyAlignment="1">
      <alignment horizontal="center" wrapText="1"/>
    </xf>
    <xf numFmtId="3" fontId="33" fillId="0" borderId="1" xfId="4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16" fillId="0" borderId="1" xfId="4" applyFont="1" applyFill="1" applyBorder="1" applyAlignment="1" applyProtection="1">
      <alignment horizontal="center" wrapText="1"/>
      <protection hidden="1"/>
    </xf>
    <xf numFmtId="0" fontId="16" fillId="0" borderId="1" xfId="4" applyFont="1" applyFill="1" applyBorder="1" applyAlignment="1">
      <alignment horizontal="left" wrapText="1"/>
    </xf>
    <xf numFmtId="37" fontId="16" fillId="0" borderId="1" xfId="5" applyNumberFormat="1" applyFont="1" applyFill="1" applyBorder="1" applyAlignment="1">
      <alignment wrapText="1"/>
    </xf>
    <xf numFmtId="3" fontId="16" fillId="0" borderId="12" xfId="1" applyNumberFormat="1" applyFont="1" applyFill="1" applyBorder="1" applyAlignment="1">
      <alignment vertical="center"/>
    </xf>
    <xf numFmtId="0" fontId="16" fillId="0" borderId="0" xfId="0" applyFont="1" applyFill="1" applyAlignment="1">
      <alignment horizontal="center"/>
    </xf>
    <xf numFmtId="3" fontId="26" fillId="0" borderId="12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1" fillId="2" borderId="1" xfId="0" applyFont="1" applyFill="1" applyBorder="1"/>
    <xf numFmtId="198" fontId="21" fillId="3" borderId="1" xfId="2" applyNumberFormat="1" applyFont="1" applyFill="1" applyBorder="1" applyAlignment="1" applyProtection="1">
      <alignment wrapText="1"/>
      <protection hidden="1"/>
    </xf>
    <xf numFmtId="1" fontId="21" fillId="3" borderId="1" xfId="4" applyNumberFormat="1" applyFont="1" applyFill="1" applyBorder="1" applyAlignment="1">
      <alignment horizontal="center" wrapText="1"/>
    </xf>
    <xf numFmtId="0" fontId="31" fillId="3" borderId="1" xfId="4" applyFont="1" applyFill="1" applyBorder="1" applyAlignment="1" applyProtection="1">
      <alignment horizontal="center" wrapText="1"/>
      <protection hidden="1"/>
    </xf>
    <xf numFmtId="49" fontId="21" fillId="3" borderId="1" xfId="4" quotePrefix="1" applyNumberFormat="1" applyFont="1" applyFill="1" applyBorder="1" applyAlignment="1" applyProtection="1">
      <alignment horizontal="right" wrapText="1"/>
      <protection hidden="1"/>
    </xf>
    <xf numFmtId="37" fontId="21" fillId="0" borderId="1" xfId="5" applyNumberFormat="1" applyFont="1" applyBorder="1" applyAlignment="1">
      <alignment wrapText="1"/>
    </xf>
    <xf numFmtId="198" fontId="24" fillId="0" borderId="0" xfId="4" applyNumberFormat="1" applyFont="1" applyFill="1" applyBorder="1" applyAlignment="1" applyProtection="1">
      <protection hidden="1"/>
    </xf>
    <xf numFmtId="0" fontId="21" fillId="0" borderId="1" xfId="5" applyFont="1" applyBorder="1" applyAlignment="1">
      <alignment horizontal="left" wrapText="1"/>
    </xf>
    <xf numFmtId="49" fontId="21" fillId="3" borderId="1" xfId="4" applyNumberFormat="1" applyFont="1" applyFill="1" applyBorder="1" applyAlignment="1" applyProtection="1">
      <alignment horizontal="right" wrapText="1"/>
      <protection hidden="1"/>
    </xf>
    <xf numFmtId="3" fontId="21" fillId="3" borderId="1" xfId="0" applyNumberFormat="1" applyFont="1" applyFill="1" applyBorder="1" applyAlignment="1">
      <alignment wrapText="1"/>
    </xf>
    <xf numFmtId="3" fontId="16" fillId="0" borderId="2" xfId="1" applyNumberFormat="1" applyFont="1" applyFill="1" applyBorder="1" applyAlignment="1" applyProtection="1">
      <alignment vertical="center"/>
      <protection hidden="1"/>
    </xf>
    <xf numFmtId="3" fontId="16" fillId="0" borderId="2" xfId="0" applyNumberFormat="1" applyFont="1" applyFill="1" applyBorder="1" applyAlignment="1">
      <alignment horizontal="center" vertical="center"/>
    </xf>
    <xf numFmtId="3" fontId="16" fillId="0" borderId="2" xfId="1" applyNumberFormat="1" applyFont="1" applyFill="1" applyBorder="1" applyAlignment="1">
      <alignment vertical="center"/>
    </xf>
    <xf numFmtId="49" fontId="21" fillId="0" borderId="1" xfId="4" quotePrefix="1" applyNumberFormat="1" applyFont="1" applyFill="1" applyBorder="1" applyAlignment="1">
      <alignment horizontal="right" wrapText="1"/>
    </xf>
    <xf numFmtId="0" fontId="36" fillId="0" borderId="0" xfId="4" applyFont="1" applyFill="1" applyBorder="1" applyAlignment="1">
      <alignment horizontal="right" vertical="center"/>
    </xf>
    <xf numFmtId="0" fontId="36" fillId="0" borderId="12" xfId="4" applyFont="1" applyFill="1" applyBorder="1" applyAlignment="1">
      <alignment horizontal="right" vertical="center"/>
    </xf>
    <xf numFmtId="199" fontId="14" fillId="0" borderId="1" xfId="4" applyNumberFormat="1" applyFont="1" applyFill="1" applyBorder="1" applyAlignment="1">
      <alignment horizontal="right" vertical="center" wrapText="1"/>
    </xf>
    <xf numFmtId="49" fontId="71" fillId="0" borderId="1" xfId="0" quotePrefix="1" applyNumberFormat="1" applyFont="1" applyFill="1" applyBorder="1" applyAlignment="1">
      <alignment horizontal="right" wrapText="1"/>
    </xf>
    <xf numFmtId="3" fontId="16" fillId="0" borderId="1" xfId="0" quotePrefix="1" applyNumberFormat="1" applyFont="1" applyFill="1" applyBorder="1" applyAlignment="1">
      <alignment horizontal="right" wrapText="1"/>
    </xf>
    <xf numFmtId="49" fontId="68" fillId="2" borderId="1" xfId="0" applyNumberFormat="1" applyFont="1" applyFill="1" applyBorder="1" applyAlignment="1">
      <alignment horizontal="center" vertical="center"/>
    </xf>
    <xf numFmtId="49" fontId="21" fillId="0" borderId="1" xfId="4" applyNumberFormat="1" applyFont="1" applyFill="1" applyBorder="1" applyAlignment="1">
      <alignment wrapText="1"/>
    </xf>
    <xf numFmtId="0" fontId="21" fillId="3" borderId="1" xfId="4" quotePrefix="1" applyFont="1" applyFill="1" applyBorder="1" applyAlignment="1" applyProtection="1">
      <alignment wrapText="1"/>
      <protection hidden="1"/>
    </xf>
    <xf numFmtId="0" fontId="21" fillId="3" borderId="1" xfId="0" applyFont="1" applyFill="1" applyBorder="1" applyAlignment="1">
      <alignment horizontal="left"/>
    </xf>
    <xf numFmtId="37" fontId="21" fillId="3" borderId="1" xfId="5" applyNumberFormat="1" applyFont="1" applyFill="1" applyBorder="1" applyAlignment="1">
      <alignment wrapText="1"/>
    </xf>
    <xf numFmtId="49" fontId="21" fillId="3" borderId="1" xfId="5" applyNumberFormat="1" applyFont="1" applyFill="1" applyBorder="1" applyAlignment="1" applyProtection="1">
      <alignment horizontal="right" wrapText="1"/>
      <protection hidden="1"/>
    </xf>
    <xf numFmtId="0" fontId="21" fillId="3" borderId="1" xfId="5" applyFont="1" applyFill="1" applyBorder="1" applyAlignment="1" applyProtection="1">
      <alignment horizontal="center" wrapText="1"/>
      <protection hidden="1"/>
    </xf>
    <xf numFmtId="1" fontId="21" fillId="3" borderId="1" xfId="5" applyNumberFormat="1" applyFont="1" applyFill="1" applyBorder="1" applyAlignment="1">
      <alignment horizontal="center" wrapText="1"/>
    </xf>
    <xf numFmtId="0" fontId="31" fillId="3" borderId="1" xfId="5" applyFont="1" applyFill="1" applyBorder="1" applyAlignment="1" applyProtection="1">
      <alignment horizontal="center" wrapText="1"/>
      <protection hidden="1"/>
    </xf>
    <xf numFmtId="3" fontId="21" fillId="3" borderId="1" xfId="5" applyNumberFormat="1" applyFont="1" applyFill="1" applyBorder="1" applyAlignment="1" applyProtection="1">
      <alignment wrapText="1"/>
      <protection hidden="1"/>
    </xf>
    <xf numFmtId="198" fontId="21" fillId="3" borderId="1" xfId="3" applyNumberFormat="1" applyFont="1" applyFill="1" applyBorder="1" applyAlignment="1" applyProtection="1">
      <alignment wrapText="1"/>
      <protection hidden="1"/>
    </xf>
    <xf numFmtId="1" fontId="21" fillId="3" borderId="1" xfId="4" applyNumberFormat="1" applyFont="1" applyFill="1" applyBorder="1" applyAlignment="1" applyProtection="1">
      <alignment horizontal="center" wrapText="1"/>
      <protection hidden="1"/>
    </xf>
    <xf numFmtId="0" fontId="68" fillId="3" borderId="1" xfId="0" applyFont="1" applyFill="1" applyBorder="1" applyAlignment="1">
      <alignment horizontal="center" vertical="center"/>
    </xf>
    <xf numFmtId="37" fontId="21" fillId="3" borderId="1" xfId="5" applyNumberFormat="1" applyFont="1" applyFill="1" applyBorder="1" applyAlignment="1">
      <alignment horizontal="center" wrapText="1"/>
    </xf>
    <xf numFmtId="49" fontId="21" fillId="3" borderId="1" xfId="5" quotePrefix="1" applyNumberFormat="1" applyFont="1" applyFill="1" applyBorder="1" applyAlignment="1" applyProtection="1">
      <alignment horizontal="right" wrapText="1"/>
      <protection hidden="1"/>
    </xf>
    <xf numFmtId="49" fontId="21" fillId="3" borderId="1" xfId="5" applyNumberFormat="1" applyFont="1" applyFill="1" applyBorder="1" applyAlignment="1" applyProtection="1">
      <alignment horizontal="center" wrapText="1"/>
      <protection hidden="1"/>
    </xf>
    <xf numFmtId="49" fontId="21" fillId="2" borderId="1" xfId="5" quotePrefix="1" applyNumberFormat="1" applyFont="1" applyFill="1" applyBorder="1" applyAlignment="1" applyProtection="1">
      <alignment horizontal="right" wrapText="1"/>
      <protection hidden="1"/>
    </xf>
    <xf numFmtId="0" fontId="21" fillId="0" borderId="1" xfId="0" applyFont="1" applyBorder="1" applyAlignment="1">
      <alignment horizontal="center" wrapText="1"/>
    </xf>
    <xf numFmtId="0" fontId="21" fillId="0" borderId="1" xfId="5" applyFont="1" applyBorder="1" applyAlignment="1">
      <alignment horizontal="center" wrapText="1"/>
    </xf>
    <xf numFmtId="0" fontId="21" fillId="0" borderId="1" xfId="5" applyFont="1" applyBorder="1" applyProtection="1">
      <protection hidden="1"/>
    </xf>
    <xf numFmtId="3" fontId="21" fillId="0" borderId="1" xfId="0" applyNumberFormat="1" applyFont="1" applyBorder="1"/>
    <xf numFmtId="0" fontId="21" fillId="2" borderId="1" xfId="4" applyNumberFormat="1" applyFont="1" applyFill="1" applyBorder="1" applyAlignment="1">
      <alignment horizontal="center" wrapText="1"/>
    </xf>
    <xf numFmtId="0" fontId="21" fillId="2" borderId="1" xfId="4" applyFont="1" applyFill="1" applyBorder="1" applyAlignment="1">
      <alignment horizontal="left" wrapText="1"/>
    </xf>
    <xf numFmtId="0" fontId="21" fillId="2" borderId="1" xfId="4" applyFont="1" applyFill="1" applyBorder="1" applyAlignment="1">
      <alignment horizontal="left"/>
    </xf>
    <xf numFmtId="49" fontId="21" fillId="2" borderId="1" xfId="4" quotePrefix="1" applyNumberFormat="1" applyFont="1" applyFill="1" applyBorder="1" applyAlignment="1" applyProtection="1">
      <alignment horizontal="right" wrapText="1"/>
      <protection hidden="1"/>
    </xf>
    <xf numFmtId="0" fontId="21" fillId="2" borderId="1" xfId="4" applyFont="1" applyFill="1" applyBorder="1" applyAlignment="1">
      <alignment horizontal="center"/>
    </xf>
    <xf numFmtId="1" fontId="24" fillId="2" borderId="1" xfId="4" applyNumberFormat="1" applyFont="1" applyFill="1" applyBorder="1" applyAlignment="1">
      <alignment horizontal="center" wrapText="1"/>
    </xf>
    <xf numFmtId="49" fontId="21" fillId="2" borderId="1" xfId="4" applyNumberFormat="1" applyFont="1" applyFill="1" applyBorder="1" applyAlignment="1" applyProtection="1">
      <alignment horizontal="center" wrapText="1"/>
      <protection hidden="1"/>
    </xf>
    <xf numFmtId="0" fontId="31" fillId="2" borderId="1" xfId="4" applyFont="1" applyFill="1" applyBorder="1" applyAlignment="1">
      <alignment horizontal="center" wrapText="1"/>
    </xf>
    <xf numFmtId="3" fontId="21" fillId="2" borderId="1" xfId="0" applyNumberFormat="1" applyFont="1" applyFill="1" applyBorder="1" applyAlignment="1"/>
    <xf numFmtId="0" fontId="21" fillId="2" borderId="1" xfId="4" applyFont="1" applyFill="1" applyBorder="1" applyAlignment="1" applyProtection="1">
      <alignment horizontal="center" wrapText="1"/>
      <protection hidden="1"/>
    </xf>
    <xf numFmtId="3" fontId="21" fillId="2" borderId="1" xfId="4" applyNumberFormat="1" applyFont="1" applyFill="1" applyBorder="1" applyAlignment="1" applyProtection="1">
      <alignment wrapText="1"/>
      <protection hidden="1"/>
    </xf>
    <xf numFmtId="0" fontId="21" fillId="2" borderId="1" xfId="4" applyFont="1" applyFill="1" applyBorder="1" applyAlignment="1" applyProtection="1">
      <alignment wrapText="1"/>
      <protection hidden="1"/>
    </xf>
    <xf numFmtId="198" fontId="21" fillId="2" borderId="1" xfId="2" applyNumberFormat="1" applyFont="1" applyFill="1" applyBorder="1" applyAlignment="1" applyProtection="1">
      <alignment wrapText="1"/>
      <protection hidden="1"/>
    </xf>
    <xf numFmtId="0" fontId="24" fillId="2" borderId="0" xfId="4" applyFont="1" applyFill="1" applyBorder="1" applyAlignment="1" applyProtection="1">
      <protection hidden="1"/>
    </xf>
    <xf numFmtId="0" fontId="68" fillId="2" borderId="1" xfId="4" applyNumberFormat="1" applyFont="1" applyFill="1" applyBorder="1" applyAlignment="1">
      <alignment horizontal="center" wrapText="1"/>
    </xf>
    <xf numFmtId="3" fontId="21" fillId="2" borderId="1" xfId="4" applyNumberFormat="1" applyFont="1" applyFill="1" applyBorder="1" applyAlignment="1">
      <alignment horizontal="right"/>
    </xf>
    <xf numFmtId="37" fontId="21" fillId="2" borderId="1" xfId="4" applyNumberFormat="1" applyFont="1" applyFill="1" applyBorder="1" applyAlignment="1">
      <alignment wrapText="1"/>
    </xf>
    <xf numFmtId="49" fontId="21" fillId="2" borderId="1" xfId="4" quotePrefix="1" applyNumberFormat="1" applyFont="1" applyFill="1" applyBorder="1" applyAlignment="1" applyProtection="1">
      <alignment wrapText="1"/>
      <protection hidden="1"/>
    </xf>
    <xf numFmtId="1" fontId="21" fillId="2" borderId="1" xfId="4" applyNumberFormat="1" applyFont="1" applyFill="1" applyBorder="1" applyAlignment="1">
      <alignment horizontal="center" wrapText="1"/>
    </xf>
    <xf numFmtId="0" fontId="31" fillId="2" borderId="1" xfId="4" applyFont="1" applyFill="1" applyBorder="1" applyAlignment="1" applyProtection="1">
      <alignment horizontal="center" wrapText="1"/>
      <protection hidden="1"/>
    </xf>
    <xf numFmtId="0" fontId="68" fillId="3" borderId="1" xfId="4" applyNumberFormat="1" applyFont="1" applyFill="1" applyBorder="1" applyAlignment="1">
      <alignment horizontal="center" wrapText="1"/>
    </xf>
    <xf numFmtId="49" fontId="21" fillId="3" borderId="1" xfId="4" quotePrefix="1" applyNumberFormat="1" applyFont="1" applyFill="1" applyBorder="1" applyAlignment="1">
      <alignment horizontal="right" wrapText="1"/>
    </xf>
    <xf numFmtId="0" fontId="21" fillId="3" borderId="1" xfId="4" applyFont="1" applyFill="1" applyBorder="1" applyAlignment="1" applyProtection="1">
      <alignment horizontal="center"/>
      <protection hidden="1"/>
    </xf>
    <xf numFmtId="0" fontId="21" fillId="3" borderId="1" xfId="0" applyFont="1" applyFill="1" applyBorder="1"/>
    <xf numFmtId="0" fontId="21" fillId="3" borderId="1" xfId="4" applyNumberFormat="1" applyFont="1" applyFill="1" applyBorder="1" applyAlignment="1">
      <alignment horizontal="center" wrapText="1"/>
    </xf>
    <xf numFmtId="0" fontId="21" fillId="3" borderId="5" xfId="4" applyFont="1" applyFill="1" applyBorder="1" applyAlignment="1" applyProtection="1">
      <alignment horizontal="center" wrapText="1"/>
      <protection hidden="1"/>
    </xf>
    <xf numFmtId="0" fontId="9" fillId="0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43" fontId="47" fillId="0" borderId="14" xfId="0" applyNumberFormat="1" applyFont="1" applyFill="1" applyBorder="1" applyAlignment="1">
      <alignment horizontal="left" vertical="center" wrapText="1"/>
    </xf>
    <xf numFmtId="43" fontId="47" fillId="0" borderId="5" xfId="0" applyNumberFormat="1" applyFont="1" applyFill="1" applyBorder="1" applyAlignment="1">
      <alignment horizontal="left" vertical="center" wrapText="1"/>
    </xf>
    <xf numFmtId="0" fontId="31" fillId="0" borderId="0" xfId="0" quotePrefix="1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43" fontId="47" fillId="0" borderId="5" xfId="0" applyNumberFormat="1" applyFont="1" applyFill="1" applyBorder="1" applyAlignment="1">
      <alignment horizontal="left" vertical="top" wrapText="1"/>
    </xf>
    <xf numFmtId="0" fontId="3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48" fillId="0" borderId="11" xfId="0" applyFont="1" applyFill="1" applyBorder="1" applyAlignment="1">
      <alignment horizontal="right" vertical="center"/>
    </xf>
    <xf numFmtId="0" fontId="48" fillId="0" borderId="12" xfId="0" applyFont="1" applyFill="1" applyBorder="1" applyAlignment="1">
      <alignment horizontal="right" vertical="center"/>
    </xf>
    <xf numFmtId="0" fontId="48" fillId="0" borderId="13" xfId="0" applyFont="1" applyFill="1" applyBorder="1" applyAlignment="1">
      <alignment horizontal="right" vertical="center"/>
    </xf>
    <xf numFmtId="0" fontId="16" fillId="0" borderId="0" xfId="0" applyFont="1" applyFill="1" applyAlignment="1">
      <alignment horizontal="left" wrapText="1"/>
    </xf>
    <xf numFmtId="0" fontId="24" fillId="0" borderId="0" xfId="0" applyFont="1" applyAlignment="1">
      <alignment horizontal="center"/>
    </xf>
    <xf numFmtId="0" fontId="25" fillId="0" borderId="0" xfId="0" applyFont="1" applyFill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/>
    </xf>
    <xf numFmtId="3" fontId="16" fillId="0" borderId="14" xfId="0" applyNumberFormat="1" applyFont="1" applyFill="1" applyBorder="1" applyAlignment="1">
      <alignment horizontal="center" vertical="center" wrapText="1"/>
    </xf>
    <xf numFmtId="3" fontId="16" fillId="0" borderId="5" xfId="0" applyNumberFormat="1" applyFont="1" applyFill="1" applyBorder="1" applyAlignment="1">
      <alignment horizontal="center" vertical="center" wrapText="1"/>
    </xf>
    <xf numFmtId="3" fontId="16" fillId="0" borderId="1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3" fontId="48" fillId="0" borderId="7" xfId="0" applyNumberFormat="1" applyFont="1" applyFill="1" applyBorder="1" applyAlignment="1">
      <alignment horizontal="center" vertical="center"/>
    </xf>
    <xf numFmtId="3" fontId="48" fillId="0" borderId="8" xfId="0" applyNumberFormat="1" applyFont="1" applyFill="1" applyBorder="1" applyAlignment="1">
      <alignment horizontal="center" vertical="center"/>
    </xf>
    <xf numFmtId="3" fontId="48" fillId="0" borderId="9" xfId="0" applyNumberFormat="1" applyFont="1" applyFill="1" applyBorder="1" applyAlignment="1">
      <alignment horizontal="center" vertical="center"/>
    </xf>
    <xf numFmtId="0" fontId="68" fillId="0" borderId="1" xfId="4" applyNumberFormat="1" applyFont="1" applyFill="1" applyBorder="1" applyAlignment="1">
      <alignment horizontal="center" vertical="center" wrapText="1"/>
    </xf>
    <xf numFmtId="37" fontId="68" fillId="0" borderId="1" xfId="4" applyNumberFormat="1" applyFont="1" applyFill="1" applyBorder="1" applyAlignment="1">
      <alignment vertical="center" wrapText="1"/>
    </xf>
    <xf numFmtId="0" fontId="68" fillId="0" borderId="1" xfId="4" applyFont="1" applyFill="1" applyBorder="1" applyAlignment="1">
      <alignment horizontal="left" vertical="center" wrapText="1"/>
    </xf>
    <xf numFmtId="37" fontId="68" fillId="0" borderId="1" xfId="4" applyNumberFormat="1" applyFont="1" applyFill="1" applyBorder="1" applyAlignment="1">
      <alignment horizontal="center" vertical="center" wrapText="1"/>
    </xf>
    <xf numFmtId="0" fontId="68" fillId="0" borderId="1" xfId="4" applyFont="1" applyFill="1" applyBorder="1" applyAlignment="1" applyProtection="1">
      <alignment horizontal="left" vertical="center" wrapText="1"/>
      <protection hidden="1"/>
    </xf>
    <xf numFmtId="49" fontId="68" fillId="0" borderId="1" xfId="4" applyNumberFormat="1" applyFont="1" applyFill="1" applyBorder="1" applyAlignment="1" applyProtection="1">
      <alignment horizontal="right" vertical="center" wrapText="1"/>
      <protection hidden="1"/>
    </xf>
    <xf numFmtId="1" fontId="68" fillId="0" borderId="1" xfId="4" applyNumberFormat="1" applyFont="1" applyFill="1" applyBorder="1" applyAlignment="1" applyProtection="1">
      <alignment horizontal="center" vertical="center" wrapText="1"/>
      <protection hidden="1"/>
    </xf>
    <xf numFmtId="49" fontId="68" fillId="0" borderId="1" xfId="4" applyNumberFormat="1" applyFont="1" applyFill="1" applyBorder="1" applyAlignment="1" applyProtection="1">
      <alignment horizontal="center" vertical="center" wrapText="1"/>
      <protection hidden="1"/>
    </xf>
    <xf numFmtId="0" fontId="68" fillId="0" borderId="1" xfId="4" applyFont="1" applyFill="1" applyBorder="1" applyAlignment="1" applyProtection="1">
      <alignment horizontal="center" vertical="center" wrapText="1"/>
      <protection hidden="1"/>
    </xf>
    <xf numFmtId="37" fontId="69" fillId="0" borderId="1" xfId="4" applyNumberFormat="1" applyFont="1" applyFill="1" applyBorder="1" applyAlignment="1">
      <alignment horizontal="center" vertical="center" wrapText="1"/>
    </xf>
    <xf numFmtId="3" fontId="68" fillId="0" borderId="1" xfId="0" applyNumberFormat="1" applyFont="1" applyFill="1" applyBorder="1" applyAlignment="1">
      <alignment vertical="center" wrapText="1"/>
    </xf>
    <xf numFmtId="3" fontId="68" fillId="0" borderId="1" xfId="4" applyNumberFormat="1" applyFont="1" applyFill="1" applyBorder="1" applyAlignment="1" applyProtection="1">
      <alignment vertical="center" wrapText="1"/>
      <protection hidden="1"/>
    </xf>
    <xf numFmtId="0" fontId="68" fillId="0" borderId="1" xfId="4" applyFont="1" applyFill="1" applyBorder="1" applyAlignment="1" applyProtection="1">
      <alignment vertical="center" wrapText="1"/>
      <protection hidden="1"/>
    </xf>
    <xf numFmtId="198" fontId="68" fillId="0" borderId="1" xfId="2" applyNumberFormat="1" applyFont="1" applyFill="1" applyBorder="1" applyAlignment="1" applyProtection="1">
      <alignment vertical="center" wrapText="1"/>
      <protection hidden="1"/>
    </xf>
    <xf numFmtId="0" fontId="21" fillId="0" borderId="1" xfId="4" applyNumberFormat="1" applyFont="1" applyFill="1" applyBorder="1" applyAlignment="1">
      <alignment horizontal="center" vertical="center" wrapText="1"/>
    </xf>
    <xf numFmtId="37" fontId="21" fillId="0" borderId="1" xfId="4" applyNumberFormat="1" applyFont="1" applyFill="1" applyBorder="1" applyAlignment="1">
      <alignment vertical="center" wrapText="1"/>
    </xf>
    <xf numFmtId="49" fontId="21" fillId="0" borderId="1" xfId="4" quotePrefix="1" applyNumberFormat="1" applyFont="1" applyFill="1" applyBorder="1" applyAlignment="1" applyProtection="1">
      <alignment vertical="center" wrapText="1"/>
      <protection hidden="1"/>
    </xf>
    <xf numFmtId="49" fontId="21" fillId="0" borderId="1" xfId="4" quotePrefix="1" applyNumberFormat="1" applyFont="1" applyFill="1" applyBorder="1" applyAlignment="1" applyProtection="1">
      <alignment horizontal="right" vertical="center" wrapText="1"/>
      <protection hidden="1"/>
    </xf>
    <xf numFmtId="0" fontId="21" fillId="0" borderId="1" xfId="4" applyFont="1" applyFill="1" applyBorder="1" applyAlignment="1" applyProtection="1">
      <alignment horizontal="center" vertical="center" wrapText="1"/>
      <protection hidden="1"/>
    </xf>
    <xf numFmtId="49" fontId="21" fillId="0" borderId="1" xfId="4" applyNumberFormat="1" applyFont="1" applyFill="1" applyBorder="1" applyAlignment="1" applyProtection="1">
      <alignment horizontal="center" vertical="center" wrapText="1"/>
      <protection hidden="1"/>
    </xf>
    <xf numFmtId="37" fontId="31" fillId="0" borderId="1" xfId="4" applyNumberFormat="1" applyFont="1" applyFill="1" applyBorder="1" applyAlignment="1">
      <alignment horizontal="center" vertical="center" wrapText="1"/>
    </xf>
    <xf numFmtId="3" fontId="21" fillId="0" borderId="1" xfId="0" applyNumberFormat="1" applyFont="1" applyFill="1" applyBorder="1" applyAlignment="1">
      <alignment vertical="center" wrapText="1"/>
    </xf>
    <xf numFmtId="3" fontId="21" fillId="0" borderId="1" xfId="4" applyNumberFormat="1" applyFont="1" applyFill="1" applyBorder="1" applyAlignment="1" applyProtection="1">
      <alignment vertical="center" wrapText="1"/>
      <protection hidden="1"/>
    </xf>
    <xf numFmtId="0" fontId="21" fillId="0" borderId="1" xfId="4" applyFont="1" applyFill="1" applyBorder="1" applyAlignment="1" applyProtection="1">
      <alignment vertical="center" wrapText="1"/>
      <protection hidden="1"/>
    </xf>
    <xf numFmtId="0" fontId="21" fillId="0" borderId="1" xfId="4" applyFont="1" applyFill="1" applyBorder="1" applyAlignment="1">
      <alignment horizontal="left" vertical="center" wrapText="1"/>
    </xf>
    <xf numFmtId="37" fontId="21" fillId="0" borderId="1" xfId="4" applyNumberFormat="1" applyFont="1" applyFill="1" applyBorder="1" applyAlignment="1">
      <alignment horizontal="center" vertical="center" wrapText="1"/>
    </xf>
    <xf numFmtId="37" fontId="21" fillId="0" borderId="1" xfId="4" applyNumberFormat="1" applyFont="1" applyFill="1" applyBorder="1" applyAlignment="1">
      <alignment horizontal="left" vertical="center" wrapText="1"/>
    </xf>
    <xf numFmtId="49" fontId="21" fillId="0" borderId="1" xfId="4" applyNumberFormat="1" applyFont="1" applyFill="1" applyBorder="1" applyAlignment="1" applyProtection="1">
      <alignment horizontal="right" vertical="center" wrapText="1"/>
      <protection hidden="1"/>
    </xf>
    <xf numFmtId="1" fontId="21" fillId="0" borderId="1" xfId="4" applyNumberFormat="1" applyFont="1" applyFill="1" applyBorder="1" applyAlignment="1" applyProtection="1">
      <alignment horizontal="center" vertical="center" wrapText="1"/>
      <protection hidden="1"/>
    </xf>
    <xf numFmtId="0" fontId="31" fillId="0" borderId="1" xfId="4" applyFont="1" applyFill="1" applyBorder="1" applyAlignment="1" applyProtection="1">
      <alignment horizontal="center" vertical="center" wrapText="1"/>
      <protection hidden="1"/>
    </xf>
    <xf numFmtId="0" fontId="21" fillId="0" borderId="1" xfId="4" quotePrefix="1" applyFont="1" applyFill="1" applyBorder="1" applyAlignment="1" applyProtection="1">
      <alignment vertical="center" wrapText="1"/>
      <protection hidden="1"/>
    </xf>
    <xf numFmtId="37" fontId="21" fillId="0" borderId="1" xfId="4" quotePrefix="1" applyNumberFormat="1" applyFont="1" applyFill="1" applyBorder="1" applyAlignment="1">
      <alignment horizontal="left" vertical="center" wrapText="1"/>
    </xf>
    <xf numFmtId="1" fontId="21" fillId="0" borderId="1" xfId="4" applyNumberFormat="1" applyFont="1" applyFill="1" applyBorder="1" applyAlignment="1">
      <alignment horizontal="center" vertical="center" wrapText="1"/>
    </xf>
    <xf numFmtId="198" fontId="21" fillId="0" borderId="1" xfId="2" applyNumberFormat="1" applyFont="1" applyFill="1" applyBorder="1" applyAlignment="1" applyProtection="1">
      <alignment vertical="center" wrapText="1"/>
      <protection hidden="1"/>
    </xf>
    <xf numFmtId="0" fontId="21" fillId="0" borderId="1" xfId="4" quotePrefix="1" applyFont="1" applyFill="1" applyBorder="1" applyAlignment="1" applyProtection="1">
      <alignment horizontal="right" vertical="center" wrapText="1"/>
      <protection hidden="1"/>
    </xf>
    <xf numFmtId="0" fontId="21" fillId="0" borderId="1" xfId="4" applyFont="1" applyFill="1" applyBorder="1" applyAlignment="1">
      <alignment horizontal="center" vertical="center" wrapText="1"/>
    </xf>
    <xf numFmtId="0" fontId="31" fillId="0" borderId="1" xfId="4" applyFont="1" applyFill="1" applyBorder="1" applyAlignment="1">
      <alignment horizontal="center" vertical="center" wrapText="1"/>
    </xf>
    <xf numFmtId="0" fontId="21" fillId="3" borderId="1" xfId="4" applyFont="1" applyFill="1" applyBorder="1" applyAlignment="1" applyProtection="1">
      <alignment horizontal="center" vertical="center" wrapText="1"/>
      <protection hidden="1"/>
    </xf>
    <xf numFmtId="0" fontId="31" fillId="3" borderId="1" xfId="4" applyFont="1" applyFill="1" applyBorder="1" applyAlignment="1" applyProtection="1">
      <alignment horizontal="center" vertical="center" wrapText="1"/>
      <protection hidden="1"/>
    </xf>
    <xf numFmtId="3" fontId="21" fillId="3" borderId="1" xfId="4" applyNumberFormat="1" applyFont="1" applyFill="1" applyBorder="1" applyAlignment="1" applyProtection="1">
      <alignment vertical="center" wrapText="1"/>
      <protection hidden="1"/>
    </xf>
    <xf numFmtId="0" fontId="21" fillId="3" borderId="1" xfId="4" applyFont="1" applyFill="1" applyBorder="1" applyAlignment="1" applyProtection="1">
      <alignment vertical="center" wrapText="1"/>
      <protection hidden="1"/>
    </xf>
    <xf numFmtId="0" fontId="21" fillId="0" borderId="1" xfId="5" applyFont="1" applyFill="1" applyBorder="1" applyAlignment="1" applyProtection="1">
      <alignment vertical="center" wrapText="1"/>
      <protection hidden="1"/>
    </xf>
    <xf numFmtId="1" fontId="21" fillId="0" borderId="1" xfId="4" quotePrefix="1" applyNumberFormat="1" applyFont="1" applyFill="1" applyBorder="1" applyAlignment="1">
      <alignment horizontal="center" vertical="center" wrapText="1"/>
    </xf>
    <xf numFmtId="37" fontId="21" fillId="3" borderId="1" xfId="4" applyNumberFormat="1" applyFont="1" applyFill="1" applyBorder="1" applyAlignment="1">
      <alignment horizontal="center" vertical="center" wrapText="1"/>
    </xf>
    <xf numFmtId="1" fontId="21" fillId="3" borderId="1" xfId="4" applyNumberFormat="1" applyFont="1" applyFill="1" applyBorder="1" applyAlignment="1" applyProtection="1">
      <alignment horizontal="center" vertical="center" wrapText="1"/>
      <protection hidden="1"/>
    </xf>
    <xf numFmtId="37" fontId="31" fillId="3" borderId="1" xfId="4" applyNumberFormat="1" applyFont="1" applyFill="1" applyBorder="1" applyAlignment="1">
      <alignment horizontal="center" vertical="center" wrapText="1"/>
    </xf>
    <xf numFmtId="49" fontId="21" fillId="0" borderId="1" xfId="4" applyNumberFormat="1" applyFont="1" applyFill="1" applyBorder="1" applyAlignment="1">
      <alignment vertical="center" wrapText="1"/>
    </xf>
    <xf numFmtId="0" fontId="31" fillId="3" borderId="1" xfId="5" applyFont="1" applyFill="1" applyBorder="1" applyAlignment="1" applyProtection="1">
      <alignment horizontal="center" vertical="center" wrapText="1"/>
      <protection hidden="1"/>
    </xf>
    <xf numFmtId="49" fontId="24" fillId="0" borderId="1" xfId="5" quotePrefix="1" applyNumberFormat="1" applyFont="1" applyFill="1" applyBorder="1" applyAlignment="1" applyProtection="1">
      <alignment horizontal="right" vertical="center" wrapText="1"/>
      <protection hidden="1"/>
    </xf>
    <xf numFmtId="0" fontId="21" fillId="0" borderId="1" xfId="0" quotePrefix="1" applyFont="1" applyFill="1" applyBorder="1" applyAlignment="1">
      <alignment horizontal="right" vertical="center" wrapText="1"/>
    </xf>
    <xf numFmtId="49" fontId="21" fillId="0" borderId="1" xfId="4" applyNumberFormat="1" applyFont="1" applyFill="1" applyBorder="1" applyAlignment="1">
      <alignment horizontal="center" vertical="center" wrapText="1"/>
    </xf>
    <xf numFmtId="37" fontId="21" fillId="0" borderId="1" xfId="5" applyNumberFormat="1" applyFont="1" applyFill="1" applyBorder="1" applyAlignment="1">
      <alignment vertical="center" wrapText="1"/>
    </xf>
    <xf numFmtId="2" fontId="21" fillId="0" borderId="1" xfId="4" applyNumberFormat="1" applyFont="1" applyFill="1" applyBorder="1" applyAlignment="1" applyProtection="1">
      <alignment vertical="center" wrapText="1"/>
      <protection hidden="1"/>
    </xf>
    <xf numFmtId="37" fontId="21" fillId="0" borderId="1" xfId="5" applyNumberFormat="1" applyFont="1" applyFill="1" applyBorder="1" applyAlignment="1">
      <alignment horizontal="left" vertical="center" wrapText="1"/>
    </xf>
    <xf numFmtId="49" fontId="21" fillId="0" borderId="1" xfId="5" quotePrefix="1" applyNumberFormat="1" applyFont="1" applyFill="1" applyBorder="1" applyAlignment="1" applyProtection="1">
      <alignment horizontal="right" vertical="center" wrapText="1"/>
      <protection hidden="1"/>
    </xf>
    <xf numFmtId="0" fontId="21" fillId="0" borderId="1" xfId="5" applyFont="1" applyFill="1" applyBorder="1" applyAlignment="1" applyProtection="1">
      <alignment horizontal="center" vertical="center" wrapText="1"/>
      <protection hidden="1"/>
    </xf>
    <xf numFmtId="49" fontId="21" fillId="0" borderId="1" xfId="5" applyNumberFormat="1" applyFont="1" applyFill="1" applyBorder="1" applyAlignment="1" applyProtection="1">
      <alignment horizontal="right" vertical="center" wrapText="1"/>
      <protection hidden="1"/>
    </xf>
    <xf numFmtId="1" fontId="21" fillId="0" borderId="1" xfId="5" applyNumberFormat="1" applyFont="1" applyFill="1" applyBorder="1" applyAlignment="1">
      <alignment horizontal="center" vertical="center" wrapText="1"/>
    </xf>
    <xf numFmtId="0" fontId="31" fillId="0" borderId="1" xfId="5" applyFont="1" applyFill="1" applyBorder="1" applyAlignment="1" applyProtection="1">
      <alignment horizontal="center" vertical="center" wrapText="1"/>
      <protection hidden="1"/>
    </xf>
    <xf numFmtId="3" fontId="21" fillId="0" borderId="1" xfId="5" applyNumberFormat="1" applyFont="1" applyFill="1" applyBorder="1" applyAlignment="1" applyProtection="1">
      <alignment vertical="center" wrapText="1"/>
      <protection hidden="1"/>
    </xf>
    <xf numFmtId="198" fontId="21" fillId="0" borderId="1" xfId="3" applyNumberFormat="1" applyFont="1" applyFill="1" applyBorder="1" applyAlignment="1" applyProtection="1">
      <alignment vertical="center" wrapText="1"/>
      <protection hidden="1"/>
    </xf>
    <xf numFmtId="0" fontId="21" fillId="0" borderId="1" xfId="0" applyFont="1" applyFill="1" applyBorder="1" applyAlignment="1">
      <alignment horizontal="left" vertical="center" wrapText="1"/>
    </xf>
    <xf numFmtId="49" fontId="21" fillId="0" borderId="1" xfId="0" quotePrefix="1" applyNumberFormat="1" applyFont="1" applyFill="1" applyBorder="1" applyAlignment="1">
      <alignment horizontal="right" vertical="center" wrapText="1"/>
    </xf>
    <xf numFmtId="49" fontId="21" fillId="0" borderId="1" xfId="5" applyNumberFormat="1" applyFont="1" applyFill="1" applyBorder="1" applyAlignment="1" applyProtection="1">
      <alignment horizontal="center" vertical="center" wrapText="1"/>
      <protection hidden="1"/>
    </xf>
    <xf numFmtId="3" fontId="21" fillId="0" borderId="1" xfId="0" quotePrefix="1" applyNumberFormat="1" applyFont="1" applyFill="1" applyBorder="1" applyAlignment="1">
      <alignment vertical="center" wrapText="1"/>
    </xf>
    <xf numFmtId="0" fontId="21" fillId="0" borderId="1" xfId="5" applyFont="1" applyFill="1" applyBorder="1" applyAlignment="1">
      <alignment horizontal="left" vertical="center" wrapText="1"/>
    </xf>
    <xf numFmtId="49" fontId="21" fillId="0" borderId="1" xfId="4" quotePrefix="1" applyNumberFormat="1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vertical="center" wrapText="1"/>
    </xf>
    <xf numFmtId="0" fontId="31" fillId="3" borderId="1" xfId="4" applyFont="1" applyFill="1" applyBorder="1" applyAlignment="1">
      <alignment horizontal="center" vertical="center" wrapText="1"/>
    </xf>
    <xf numFmtId="37" fontId="21" fillId="0" borderId="1" xfId="5" applyNumberFormat="1" applyFont="1" applyFill="1" applyBorder="1" applyAlignment="1">
      <alignment horizontal="center" vertical="center" wrapText="1"/>
    </xf>
    <xf numFmtId="1" fontId="21" fillId="0" borderId="1" xfId="5" applyNumberFormat="1" applyFont="1" applyFill="1" applyBorder="1" applyAlignment="1" applyProtection="1">
      <alignment horizontal="center" vertical="center" wrapText="1"/>
      <protection hidden="1"/>
    </xf>
    <xf numFmtId="37" fontId="31" fillId="0" borderId="1" xfId="5" applyNumberFormat="1" applyFont="1" applyFill="1" applyBorder="1" applyAlignment="1">
      <alignment horizontal="center" vertical="center" wrapText="1"/>
    </xf>
    <xf numFmtId="3" fontId="21" fillId="0" borderId="1" xfId="0" applyNumberFormat="1" applyFont="1" applyBorder="1" applyAlignment="1">
      <alignment vertical="center" wrapText="1"/>
    </xf>
    <xf numFmtId="3" fontId="16" fillId="0" borderId="1" xfId="0" quotePrefix="1" applyNumberFormat="1" applyFont="1" applyFill="1" applyBorder="1" applyAlignment="1">
      <alignment horizontal="right" vertical="center" wrapText="1"/>
    </xf>
    <xf numFmtId="43" fontId="31" fillId="0" borderId="1" xfId="2" applyFont="1" applyFill="1" applyBorder="1" applyAlignment="1">
      <alignment vertical="center" wrapText="1"/>
    </xf>
    <xf numFmtId="43" fontId="21" fillId="0" borderId="1" xfId="2" applyFont="1" applyFill="1" applyBorder="1" applyAlignment="1">
      <alignment vertical="center" wrapText="1"/>
    </xf>
    <xf numFmtId="0" fontId="21" fillId="0" borderId="1" xfId="4" applyFont="1" applyFill="1" applyBorder="1" applyAlignment="1" applyProtection="1">
      <alignment horizontal="left" vertical="center" wrapText="1"/>
      <protection hidden="1"/>
    </xf>
    <xf numFmtId="198" fontId="31" fillId="0" borderId="1" xfId="4" applyNumberFormat="1" applyFont="1" applyFill="1" applyBorder="1" applyAlignment="1" applyProtection="1">
      <alignment vertical="center" wrapText="1"/>
      <protection hidden="1"/>
    </xf>
    <xf numFmtId="43" fontId="21" fillId="0" borderId="1" xfId="2" applyFont="1" applyFill="1" applyBorder="1" applyAlignment="1" applyProtection="1">
      <alignment vertical="center" wrapText="1"/>
      <protection hidden="1"/>
    </xf>
    <xf numFmtId="0" fontId="21" fillId="0" borderId="1" xfId="0" applyFont="1" applyFill="1" applyBorder="1" applyAlignment="1">
      <alignment horizontal="center" vertical="center" wrapText="1"/>
    </xf>
    <xf numFmtId="43" fontId="31" fillId="0" borderId="1" xfId="2" applyFont="1" applyFill="1" applyBorder="1" applyAlignment="1">
      <alignment horizontal="center" vertical="center" wrapText="1"/>
    </xf>
    <xf numFmtId="3" fontId="21" fillId="0" borderId="1" xfId="0" quotePrefix="1" applyNumberFormat="1" applyFont="1" applyFill="1" applyBorder="1" applyAlignment="1">
      <alignment horizontal="right" vertical="center" wrapText="1"/>
    </xf>
    <xf numFmtId="0" fontId="21" fillId="0" borderId="0" xfId="4" applyNumberFormat="1" applyFont="1" applyFill="1" applyBorder="1" applyAlignment="1">
      <alignment horizontal="center" vertical="center"/>
    </xf>
    <xf numFmtId="43" fontId="21" fillId="0" borderId="0" xfId="2" applyFont="1" applyFill="1" applyBorder="1" applyAlignment="1">
      <alignment vertical="center" wrapText="1"/>
    </xf>
    <xf numFmtId="0" fontId="21" fillId="0" borderId="0" xfId="4" applyFont="1" applyFill="1" applyBorder="1" applyAlignment="1" applyProtection="1">
      <alignment horizontal="left" vertical="center" wrapText="1"/>
      <protection hidden="1"/>
    </xf>
    <xf numFmtId="49" fontId="21" fillId="0" borderId="0" xfId="4" applyNumberFormat="1" applyFont="1" applyFill="1" applyBorder="1" applyAlignment="1" applyProtection="1">
      <alignment horizontal="right" vertical="center"/>
      <protection hidden="1"/>
    </xf>
    <xf numFmtId="0" fontId="21" fillId="0" borderId="0" xfId="4" applyFont="1" applyFill="1" applyBorder="1" applyAlignment="1" applyProtection="1">
      <alignment horizontal="center" vertical="center"/>
      <protection hidden="1"/>
    </xf>
    <xf numFmtId="49" fontId="21" fillId="0" borderId="0" xfId="4" applyNumberFormat="1" applyFont="1" applyFill="1" applyBorder="1" applyAlignment="1" applyProtection="1">
      <alignment horizontal="center" vertical="center"/>
      <protection hidden="1"/>
    </xf>
    <xf numFmtId="0" fontId="21" fillId="0" borderId="1" xfId="0" applyFont="1" applyFill="1" applyBorder="1" applyAlignment="1">
      <alignment vertical="center" wrapText="1"/>
    </xf>
    <xf numFmtId="3" fontId="21" fillId="0" borderId="1" xfId="4" applyNumberFormat="1" applyFont="1" applyFill="1" applyBorder="1" applyAlignment="1">
      <alignment horizontal="right" vertical="center" wrapText="1"/>
    </xf>
    <xf numFmtId="0" fontId="31" fillId="0" borderId="1" xfId="4" applyNumberFormat="1" applyFont="1" applyFill="1" applyBorder="1" applyAlignment="1">
      <alignment horizontal="center" vertical="center" wrapText="1"/>
    </xf>
    <xf numFmtId="49" fontId="31" fillId="0" borderId="1" xfId="4" applyNumberFormat="1" applyFont="1" applyFill="1" applyBorder="1" applyAlignment="1">
      <alignment horizontal="center" vertical="center" wrapText="1"/>
    </xf>
    <xf numFmtId="3" fontId="31" fillId="0" borderId="1" xfId="4" applyNumberFormat="1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 wrapText="1"/>
    </xf>
    <xf numFmtId="37" fontId="13" fillId="0" borderId="7" xfId="4" applyNumberFormat="1" applyFont="1" applyFill="1" applyBorder="1" applyAlignment="1">
      <alignment horizontal="center" vertical="center" wrapText="1"/>
    </xf>
    <xf numFmtId="1" fontId="13" fillId="0" borderId="7" xfId="4" applyNumberFormat="1" applyFont="1" applyFill="1" applyBorder="1" applyAlignment="1">
      <alignment horizontal="center" vertical="center" wrapText="1"/>
    </xf>
    <xf numFmtId="1" fontId="20" fillId="0" borderId="7" xfId="4" applyNumberFormat="1" applyFont="1" applyFill="1" applyBorder="1" applyAlignment="1">
      <alignment horizontal="center" vertical="center" wrapText="1"/>
    </xf>
    <xf numFmtId="0" fontId="21" fillId="0" borderId="7" xfId="4" applyFont="1" applyFill="1" applyBorder="1" applyAlignment="1" applyProtection="1">
      <alignment horizontal="center" vertical="center" wrapText="1"/>
      <protection hidden="1"/>
    </xf>
    <xf numFmtId="0" fontId="21" fillId="0" borderId="7" xfId="4" applyFont="1" applyFill="1" applyBorder="1" applyAlignment="1" applyProtection="1">
      <alignment vertical="center" wrapText="1"/>
      <protection hidden="1"/>
    </xf>
    <xf numFmtId="1" fontId="21" fillId="0" borderId="7" xfId="4" applyNumberFormat="1" applyFont="1" applyFill="1" applyBorder="1" applyAlignment="1">
      <alignment horizontal="center" vertical="center" wrapText="1"/>
    </xf>
    <xf numFmtId="1" fontId="21" fillId="0" borderId="7" xfId="4" applyNumberFormat="1" applyFont="1" applyFill="1" applyBorder="1" applyAlignment="1" applyProtection="1">
      <alignment horizontal="center" vertical="center" wrapText="1"/>
      <protection hidden="1"/>
    </xf>
    <xf numFmtId="1" fontId="21" fillId="3" borderId="7" xfId="4" applyNumberFormat="1" applyFont="1" applyFill="1" applyBorder="1" applyAlignment="1">
      <alignment horizontal="center" vertical="center" wrapText="1"/>
    </xf>
    <xf numFmtId="0" fontId="21" fillId="0" borderId="7" xfId="4" applyFont="1" applyFill="1" applyBorder="1" applyAlignment="1">
      <alignment horizontal="center" vertical="center" wrapText="1"/>
    </xf>
    <xf numFmtId="37" fontId="21" fillId="0" borderId="7" xfId="4" applyNumberFormat="1" applyFont="1" applyFill="1" applyBorder="1" applyAlignment="1">
      <alignment horizontal="center" vertical="center" wrapText="1"/>
    </xf>
    <xf numFmtId="0" fontId="21" fillId="3" borderId="7" xfId="4" applyFont="1" applyFill="1" applyBorder="1" applyAlignment="1" applyProtection="1">
      <alignment horizontal="center" vertical="center" wrapText="1"/>
      <protection hidden="1"/>
    </xf>
    <xf numFmtId="0" fontId="21" fillId="3" borderId="7" xfId="4" applyFont="1" applyFill="1" applyBorder="1" applyAlignment="1" applyProtection="1">
      <alignment vertical="center" wrapText="1"/>
      <protection hidden="1"/>
    </xf>
    <xf numFmtId="1" fontId="21" fillId="0" borderId="7" xfId="4" quotePrefix="1" applyNumberFormat="1" applyFont="1" applyFill="1" applyBorder="1" applyAlignment="1">
      <alignment horizontal="center" vertical="center" wrapText="1"/>
    </xf>
    <xf numFmtId="0" fontId="21" fillId="0" borderId="7" xfId="5" applyFont="1" applyFill="1" applyBorder="1" applyAlignment="1" applyProtection="1">
      <alignment vertical="center" wrapText="1"/>
      <protection hidden="1"/>
    </xf>
    <xf numFmtId="37" fontId="21" fillId="3" borderId="7" xfId="4" applyNumberFormat="1" applyFont="1" applyFill="1" applyBorder="1" applyAlignment="1">
      <alignment horizontal="center" vertical="center" wrapText="1"/>
    </xf>
    <xf numFmtId="1" fontId="21" fillId="3" borderId="7" xfId="4" applyNumberFormat="1" applyFont="1" applyFill="1" applyBorder="1" applyAlignment="1" applyProtection="1">
      <alignment horizontal="center" vertical="center" wrapText="1"/>
      <protection hidden="1"/>
    </xf>
    <xf numFmtId="1" fontId="21" fillId="3" borderId="7" xfId="5" applyNumberFormat="1" applyFont="1" applyFill="1" applyBorder="1" applyAlignment="1">
      <alignment horizontal="center" vertical="center" wrapText="1"/>
    </xf>
    <xf numFmtId="0" fontId="21" fillId="3" borderId="7" xfId="5" applyFont="1" applyFill="1" applyBorder="1" applyAlignment="1" applyProtection="1">
      <alignment horizontal="center" vertical="center" wrapText="1"/>
      <protection hidden="1"/>
    </xf>
    <xf numFmtId="0" fontId="21" fillId="3" borderId="7" xfId="5" applyFont="1" applyFill="1" applyBorder="1" applyAlignment="1" applyProtection="1">
      <alignment vertical="center" wrapText="1"/>
      <protection hidden="1"/>
    </xf>
    <xf numFmtId="1" fontId="21" fillId="0" borderId="7" xfId="5" applyNumberFormat="1" applyFont="1" applyFill="1" applyBorder="1" applyAlignment="1">
      <alignment horizontal="center" vertical="center" wrapText="1"/>
    </xf>
    <xf numFmtId="0" fontId="21" fillId="0" borderId="7" xfId="4" quotePrefix="1" applyNumberFormat="1" applyFont="1" applyFill="1" applyBorder="1" applyAlignment="1">
      <alignment horizontal="center" vertical="center" wrapText="1"/>
    </xf>
    <xf numFmtId="1" fontId="21" fillId="0" borderId="7" xfId="4" quotePrefix="1" applyNumberFormat="1" applyFont="1" applyFill="1" applyBorder="1" applyAlignment="1" applyProtection="1">
      <alignment horizontal="center" vertical="center" wrapText="1"/>
      <protection hidden="1"/>
    </xf>
    <xf numFmtId="1" fontId="24" fillId="3" borderId="7" xfId="4" applyNumberFormat="1" applyFont="1" applyFill="1" applyBorder="1" applyAlignment="1">
      <alignment horizontal="center" vertical="center" wrapText="1"/>
    </xf>
    <xf numFmtId="0" fontId="21" fillId="3" borderId="7" xfId="4" applyFont="1" applyFill="1" applyBorder="1" applyAlignment="1">
      <alignment horizontal="center" vertical="center" wrapText="1"/>
    </xf>
    <xf numFmtId="37" fontId="13" fillId="0" borderId="8" xfId="4" applyNumberFormat="1" applyFont="1" applyFill="1" applyBorder="1" applyAlignment="1">
      <alignment horizontal="center" vertical="center" wrapText="1"/>
    </xf>
    <xf numFmtId="37" fontId="13" fillId="0" borderId="9" xfId="4" applyNumberFormat="1" applyFont="1" applyFill="1" applyBorder="1" applyAlignment="1">
      <alignment horizontal="center" vertical="center" wrapText="1"/>
    </xf>
    <xf numFmtId="3" fontId="13" fillId="0" borderId="9" xfId="4" applyNumberFormat="1" applyFont="1" applyFill="1" applyBorder="1" applyAlignment="1">
      <alignment horizontal="center" vertical="center" wrapText="1"/>
    </xf>
    <xf numFmtId="49" fontId="21" fillId="0" borderId="8" xfId="4" quotePrefix="1" applyNumberFormat="1" applyFont="1" applyFill="1" applyBorder="1" applyAlignment="1" applyProtection="1">
      <alignment vertical="center" wrapText="1"/>
      <protection hidden="1"/>
    </xf>
    <xf numFmtId="0" fontId="21" fillId="0" borderId="9" xfId="4" applyFont="1" applyFill="1" applyBorder="1" applyAlignment="1" applyProtection="1">
      <alignment horizontal="center" vertical="center" wrapText="1"/>
      <protection hidden="1"/>
    </xf>
    <xf numFmtId="3" fontId="21" fillId="0" borderId="9" xfId="4" applyNumberFormat="1" applyFont="1" applyFill="1" applyBorder="1" applyAlignment="1" applyProtection="1">
      <alignment vertical="center" wrapText="1"/>
      <protection hidden="1"/>
    </xf>
    <xf numFmtId="0" fontId="21" fillId="0" borderId="9" xfId="4" applyFont="1" applyFill="1" applyBorder="1" applyAlignment="1" applyProtection="1">
      <alignment horizontal="center" wrapText="1"/>
      <protection hidden="1"/>
    </xf>
    <xf numFmtId="0" fontId="21" fillId="0" borderId="8" xfId="4" quotePrefix="1" applyFont="1" applyFill="1" applyBorder="1" applyAlignment="1" applyProtection="1">
      <alignment vertical="center" wrapText="1"/>
      <protection hidden="1"/>
    </xf>
    <xf numFmtId="0" fontId="21" fillId="0" borderId="8" xfId="4" applyFont="1" applyFill="1" applyBorder="1" applyAlignment="1" applyProtection="1">
      <alignment vertical="center" wrapText="1"/>
      <protection hidden="1"/>
    </xf>
    <xf numFmtId="0" fontId="21" fillId="0" borderId="8" xfId="4" quotePrefix="1" applyFont="1" applyFill="1" applyBorder="1" applyAlignment="1" applyProtection="1">
      <alignment horizontal="right" vertical="center" wrapText="1"/>
      <protection hidden="1"/>
    </xf>
    <xf numFmtId="0" fontId="21" fillId="0" borderId="8" xfId="4" quotePrefix="1" applyFont="1" applyFill="1" applyBorder="1" applyAlignment="1">
      <alignment horizontal="left" vertical="center" wrapText="1"/>
    </xf>
    <xf numFmtId="49" fontId="21" fillId="0" borderId="8" xfId="4" applyNumberFormat="1" applyFont="1" applyFill="1" applyBorder="1" applyAlignment="1" applyProtection="1">
      <alignment horizontal="center" vertical="center" wrapText="1"/>
      <protection hidden="1"/>
    </xf>
    <xf numFmtId="49" fontId="21" fillId="3" borderId="8" xfId="4" quotePrefix="1" applyNumberFormat="1" applyFont="1" applyFill="1" applyBorder="1" applyAlignment="1" applyProtection="1">
      <alignment vertical="center" wrapText="1"/>
      <protection hidden="1"/>
    </xf>
    <xf numFmtId="37" fontId="21" fillId="0" borderId="8" xfId="4" quotePrefix="1" applyNumberFormat="1" applyFont="1" applyFill="1" applyBorder="1" applyAlignment="1">
      <alignment horizontal="center" vertical="center" wrapText="1"/>
    </xf>
    <xf numFmtId="49" fontId="21" fillId="0" borderId="8" xfId="4" applyNumberFormat="1" applyFont="1" applyFill="1" applyBorder="1" applyAlignment="1" applyProtection="1">
      <alignment horizontal="right" vertical="center" wrapText="1"/>
      <protection hidden="1"/>
    </xf>
    <xf numFmtId="0" fontId="21" fillId="3" borderId="8" xfId="4" quotePrefix="1" applyFont="1" applyFill="1" applyBorder="1" applyAlignment="1" applyProtection="1">
      <alignment vertical="center" wrapText="1"/>
      <protection hidden="1"/>
    </xf>
    <xf numFmtId="0" fontId="21" fillId="0" borderId="9" xfId="4" applyFont="1" applyFill="1" applyBorder="1" applyAlignment="1">
      <alignment horizontal="center" vertical="center" wrapText="1"/>
    </xf>
    <xf numFmtId="37" fontId="21" fillId="0" borderId="9" xfId="4" applyNumberFormat="1" applyFont="1" applyFill="1" applyBorder="1" applyAlignment="1">
      <alignment horizontal="center" vertical="center" wrapText="1"/>
    </xf>
    <xf numFmtId="0" fontId="21" fillId="3" borderId="9" xfId="4" applyFont="1" applyFill="1" applyBorder="1" applyAlignment="1" applyProtection="1">
      <alignment horizontal="center" vertical="center" wrapText="1"/>
      <protection hidden="1"/>
    </xf>
    <xf numFmtId="0" fontId="21" fillId="0" borderId="9" xfId="4" applyFont="1" applyFill="1" applyBorder="1" applyAlignment="1">
      <alignment horizontal="left" vertical="center" wrapText="1"/>
    </xf>
    <xf numFmtId="3" fontId="21" fillId="3" borderId="9" xfId="4" applyNumberFormat="1" applyFont="1" applyFill="1" applyBorder="1" applyAlignment="1" applyProtection="1">
      <alignment vertical="center" wrapText="1"/>
      <protection hidden="1"/>
    </xf>
    <xf numFmtId="0" fontId="21" fillId="3" borderId="9" xfId="4" applyFont="1" applyFill="1" applyBorder="1" applyAlignment="1" applyProtection="1">
      <alignment horizontal="center" wrapText="1"/>
      <protection hidden="1"/>
    </xf>
    <xf numFmtId="49" fontId="68" fillId="2" borderId="8" xfId="0" applyNumberFormat="1" applyFont="1" applyFill="1" applyBorder="1" applyAlignment="1">
      <alignment horizontal="center" vertical="center" wrapText="1"/>
    </xf>
    <xf numFmtId="37" fontId="21" fillId="0" borderId="8" xfId="4" applyNumberFormat="1" applyFont="1" applyFill="1" applyBorder="1" applyAlignment="1">
      <alignment horizontal="center" vertical="center" wrapText="1"/>
    </xf>
    <xf numFmtId="37" fontId="21" fillId="3" borderId="8" xfId="4" applyNumberFormat="1" applyFont="1" applyFill="1" applyBorder="1" applyAlignment="1">
      <alignment horizontal="center" vertical="center" wrapText="1"/>
    </xf>
    <xf numFmtId="37" fontId="21" fillId="3" borderId="9" xfId="4" applyNumberFormat="1" applyFont="1" applyFill="1" applyBorder="1" applyAlignment="1">
      <alignment horizontal="center" vertical="center" wrapText="1"/>
    </xf>
    <xf numFmtId="0" fontId="21" fillId="3" borderId="8" xfId="4" applyFont="1" applyFill="1" applyBorder="1" applyAlignment="1" applyProtection="1">
      <alignment vertical="center" wrapText="1"/>
      <protection hidden="1"/>
    </xf>
    <xf numFmtId="0" fontId="68" fillId="3" borderId="8" xfId="0" applyFont="1" applyFill="1" applyBorder="1" applyAlignment="1">
      <alignment horizontal="center" vertical="center" wrapText="1"/>
    </xf>
    <xf numFmtId="0" fontId="21" fillId="3" borderId="9" xfId="5" applyFont="1" applyFill="1" applyBorder="1" applyAlignment="1" applyProtection="1">
      <alignment horizontal="center" vertical="center" wrapText="1"/>
      <protection hidden="1"/>
    </xf>
    <xf numFmtId="3" fontId="21" fillId="3" borderId="9" xfId="5" applyNumberFormat="1" applyFont="1" applyFill="1" applyBorder="1" applyAlignment="1" applyProtection="1">
      <alignment vertical="center" wrapText="1"/>
      <protection hidden="1"/>
    </xf>
    <xf numFmtId="0" fontId="21" fillId="3" borderId="9" xfId="5" applyFont="1" applyFill="1" applyBorder="1" applyAlignment="1" applyProtection="1">
      <alignment horizontal="center" wrapText="1"/>
      <protection hidden="1"/>
    </xf>
    <xf numFmtId="0" fontId="21" fillId="0" borderId="8" xfId="5" applyFont="1" applyFill="1" applyBorder="1" applyAlignment="1" applyProtection="1">
      <alignment vertical="center" wrapText="1"/>
      <protection hidden="1"/>
    </xf>
    <xf numFmtId="0" fontId="21" fillId="3" borderId="8" xfId="5" applyFont="1" applyFill="1" applyBorder="1" applyAlignment="1" applyProtection="1">
      <alignment vertical="center" wrapText="1"/>
      <protection hidden="1"/>
    </xf>
    <xf numFmtId="0" fontId="21" fillId="0" borderId="9" xfId="5" applyFont="1" applyFill="1" applyBorder="1" applyAlignment="1" applyProtection="1">
      <alignment horizontal="center" vertical="center" wrapText="1"/>
      <protection hidden="1"/>
    </xf>
    <xf numFmtId="1" fontId="21" fillId="0" borderId="9" xfId="4" applyNumberFormat="1" applyFont="1" applyFill="1" applyBorder="1" applyAlignment="1">
      <alignment horizontal="center" vertical="center" wrapText="1"/>
    </xf>
    <xf numFmtId="3" fontId="21" fillId="0" borderId="9" xfId="5" applyNumberFormat="1" applyFont="1" applyFill="1" applyBorder="1" applyAlignment="1" applyProtection="1">
      <alignment vertical="center" wrapText="1"/>
      <protection hidden="1"/>
    </xf>
    <xf numFmtId="0" fontId="21" fillId="0" borderId="9" xfId="5" applyFont="1" applyFill="1" applyBorder="1" applyAlignment="1" applyProtection="1">
      <alignment horizontal="center" wrapText="1"/>
      <protection hidden="1"/>
    </xf>
    <xf numFmtId="49" fontId="21" fillId="0" borderId="9" xfId="4" applyNumberFormat="1" applyFont="1" applyFill="1" applyBorder="1" applyAlignment="1" applyProtection="1">
      <alignment horizontal="center" vertical="center" wrapText="1"/>
      <protection hidden="1"/>
    </xf>
    <xf numFmtId="0" fontId="21" fillId="0" borderId="8" xfId="5" applyFont="1" applyBorder="1" applyAlignment="1" applyProtection="1">
      <alignment vertical="center" wrapText="1"/>
      <protection hidden="1"/>
    </xf>
    <xf numFmtId="3" fontId="21" fillId="0" borderId="9" xfId="4" applyNumberFormat="1" applyFont="1" applyFill="1" applyBorder="1" applyAlignment="1">
      <alignment horizontal="center" vertical="center" wrapText="1"/>
    </xf>
    <xf numFmtId="0" fontId="21" fillId="0" borderId="16" xfId="4" applyFont="1" applyFill="1" applyBorder="1" applyAlignment="1" applyProtection="1">
      <alignment horizontal="center" wrapText="1"/>
      <protection hidden="1"/>
    </xf>
    <xf numFmtId="0" fontId="21" fillId="3" borderId="8" xfId="4" applyFont="1" applyFill="1" applyBorder="1" applyAlignment="1">
      <alignment horizontal="left" vertical="center" wrapText="1"/>
    </xf>
    <xf numFmtId="0" fontId="21" fillId="3" borderId="9" xfId="4" applyFont="1" applyFill="1" applyBorder="1" applyAlignment="1">
      <alignment horizontal="center" vertical="center" wrapText="1"/>
    </xf>
    <xf numFmtId="0" fontId="21" fillId="3" borderId="9" xfId="4" applyFont="1" applyFill="1" applyBorder="1" applyAlignment="1">
      <alignment horizontal="left" vertical="center" wrapText="1"/>
    </xf>
    <xf numFmtId="0" fontId="21" fillId="0" borderId="9" xfId="4" applyFont="1" applyFill="1" applyBorder="1" applyAlignment="1" applyProtection="1">
      <alignment horizontal="center"/>
      <protection hidden="1"/>
    </xf>
    <xf numFmtId="199" fontId="14" fillId="0" borderId="10" xfId="4" applyNumberFormat="1" applyFont="1" applyFill="1" applyBorder="1" applyAlignment="1">
      <alignment horizontal="center" vertical="center" wrapText="1"/>
    </xf>
    <xf numFmtId="199" fontId="14" fillId="0" borderId="10" xfId="4" applyNumberFormat="1" applyFont="1" applyFill="1" applyBorder="1" applyAlignment="1">
      <alignment horizontal="right" vertical="center" wrapText="1"/>
    </xf>
    <xf numFmtId="3" fontId="33" fillId="0" borderId="10" xfId="4" applyNumberFormat="1" applyFont="1" applyFill="1" applyBorder="1" applyAlignment="1">
      <alignment horizontal="center" vertical="center" wrapText="1"/>
    </xf>
    <xf numFmtId="3" fontId="14" fillId="0" borderId="10" xfId="4" applyNumberFormat="1" applyFont="1" applyFill="1" applyBorder="1" applyAlignment="1">
      <alignment horizontal="center" vertical="center" wrapText="1"/>
    </xf>
    <xf numFmtId="0" fontId="68" fillId="0" borderId="10" xfId="4" applyNumberFormat="1" applyFont="1" applyFill="1" applyBorder="1" applyAlignment="1">
      <alignment horizontal="center" vertical="center" wrapText="1"/>
    </xf>
    <xf numFmtId="37" fontId="21" fillId="0" borderId="10" xfId="4" applyNumberFormat="1" applyFont="1" applyFill="1" applyBorder="1" applyAlignment="1">
      <alignment vertical="center" wrapText="1"/>
    </xf>
    <xf numFmtId="0" fontId="21" fillId="0" borderId="10" xfId="4" applyFont="1" applyFill="1" applyBorder="1" applyAlignment="1">
      <alignment horizontal="left" vertical="center" wrapText="1"/>
    </xf>
    <xf numFmtId="37" fontId="21" fillId="0" borderId="10" xfId="4" applyNumberFormat="1" applyFont="1" applyFill="1" applyBorder="1" applyAlignment="1">
      <alignment horizontal="left" vertical="center" wrapText="1"/>
    </xf>
    <xf numFmtId="49" fontId="21" fillId="0" borderId="10" xfId="4" applyNumberFormat="1" applyFont="1" applyFill="1" applyBorder="1" applyAlignment="1" applyProtection="1">
      <alignment horizontal="right" vertical="center" wrapText="1"/>
      <protection hidden="1"/>
    </xf>
    <xf numFmtId="37" fontId="21" fillId="0" borderId="10" xfId="4" applyNumberFormat="1" applyFont="1" applyFill="1" applyBorder="1" applyAlignment="1">
      <alignment horizontal="center" vertical="center" wrapText="1"/>
    </xf>
    <xf numFmtId="49" fontId="21" fillId="0" borderId="10" xfId="4" applyNumberFormat="1" applyFont="1" applyFill="1" applyBorder="1" applyAlignment="1" applyProtection="1">
      <alignment horizontal="center" vertical="center" wrapText="1"/>
      <protection hidden="1"/>
    </xf>
    <xf numFmtId="3" fontId="21" fillId="0" borderId="10" xfId="0" applyNumberFormat="1" applyFont="1" applyFill="1" applyBorder="1" applyAlignment="1">
      <alignment vertical="center" wrapText="1"/>
    </xf>
    <xf numFmtId="0" fontId="21" fillId="0" borderId="10" xfId="4" applyFont="1" applyFill="1" applyBorder="1" applyAlignment="1" applyProtection="1">
      <alignment horizontal="center" vertical="center" wrapText="1"/>
      <protection hidden="1"/>
    </xf>
    <xf numFmtId="0" fontId="21" fillId="0" borderId="10" xfId="4" applyFont="1" applyFill="1" applyBorder="1" applyAlignment="1" applyProtection="1">
      <alignment vertical="center" wrapText="1"/>
      <protection hidden="1"/>
    </xf>
    <xf numFmtId="198" fontId="68" fillId="0" borderId="10" xfId="2" applyNumberFormat="1" applyFont="1" applyFill="1" applyBorder="1" applyAlignment="1" applyProtection="1">
      <alignment vertical="center" wrapText="1"/>
      <protection hidden="1"/>
    </xf>
    <xf numFmtId="0" fontId="21" fillId="0" borderId="10" xfId="4" applyNumberFormat="1" applyFont="1" applyFill="1" applyBorder="1" applyAlignment="1">
      <alignment horizontal="center" vertical="center" wrapText="1"/>
    </xf>
    <xf numFmtId="198" fontId="21" fillId="0" borderId="10" xfId="2" applyNumberFormat="1" applyFont="1" applyFill="1" applyBorder="1" applyAlignment="1" applyProtection="1">
      <alignment vertical="center" wrapText="1"/>
      <protection hidden="1"/>
    </xf>
    <xf numFmtId="37" fontId="21" fillId="3" borderId="10" xfId="4" applyNumberFormat="1" applyFont="1" applyFill="1" applyBorder="1" applyAlignment="1">
      <alignment vertical="center" wrapText="1"/>
    </xf>
    <xf numFmtId="0" fontId="21" fillId="3" borderId="10" xfId="4" applyFont="1" applyFill="1" applyBorder="1" applyAlignment="1">
      <alignment horizontal="left" vertical="center" wrapText="1"/>
    </xf>
    <xf numFmtId="37" fontId="21" fillId="3" borderId="10" xfId="4" applyNumberFormat="1" applyFont="1" applyFill="1" applyBorder="1" applyAlignment="1">
      <alignment horizontal="left" vertical="center" wrapText="1"/>
    </xf>
    <xf numFmtId="49" fontId="21" fillId="3" borderId="10" xfId="4" quotePrefix="1" applyNumberFormat="1" applyFont="1" applyFill="1" applyBorder="1" applyAlignment="1" applyProtection="1">
      <alignment horizontal="right" vertical="center" wrapText="1"/>
      <protection hidden="1"/>
    </xf>
    <xf numFmtId="37" fontId="21" fillId="3" borderId="10" xfId="4" applyNumberFormat="1" applyFont="1" applyFill="1" applyBorder="1" applyAlignment="1">
      <alignment horizontal="center" vertical="center" wrapText="1"/>
    </xf>
    <xf numFmtId="49" fontId="21" fillId="3" borderId="10" xfId="4" applyNumberFormat="1" applyFont="1" applyFill="1" applyBorder="1" applyAlignment="1" applyProtection="1">
      <alignment horizontal="center" vertical="center" wrapText="1"/>
      <protection hidden="1"/>
    </xf>
    <xf numFmtId="3" fontId="21" fillId="3" borderId="10" xfId="0" applyNumberFormat="1" applyFont="1" applyFill="1" applyBorder="1" applyAlignment="1">
      <alignment vertical="center" wrapText="1"/>
    </xf>
    <xf numFmtId="0" fontId="21" fillId="3" borderId="10" xfId="4" applyFont="1" applyFill="1" applyBorder="1" applyAlignment="1" applyProtection="1">
      <alignment horizontal="center" vertical="center" wrapText="1"/>
      <protection hidden="1"/>
    </xf>
    <xf numFmtId="0" fontId="21" fillId="3" borderId="10" xfId="4" applyFont="1" applyFill="1" applyBorder="1" applyAlignment="1" applyProtection="1">
      <alignment vertical="center" wrapText="1"/>
      <protection hidden="1"/>
    </xf>
    <xf numFmtId="198" fontId="21" fillId="3" borderId="10" xfId="2" applyNumberFormat="1" applyFont="1" applyFill="1" applyBorder="1" applyAlignment="1" applyProtection="1">
      <alignment vertical="center" wrapText="1"/>
      <protection hidden="1"/>
    </xf>
    <xf numFmtId="49" fontId="21" fillId="0" borderId="10" xfId="4" quotePrefix="1" applyNumberFormat="1" applyFont="1" applyFill="1" applyBorder="1" applyAlignment="1" applyProtection="1">
      <alignment horizontal="right" vertical="center" wrapText="1"/>
      <protection hidden="1"/>
    </xf>
    <xf numFmtId="0" fontId="21" fillId="0" borderId="10" xfId="0" quotePrefix="1" applyFont="1" applyFill="1" applyBorder="1" applyAlignment="1">
      <alignment horizontal="right" vertical="center" wrapText="1"/>
    </xf>
    <xf numFmtId="3" fontId="21" fillId="0" borderId="10" xfId="4" applyNumberFormat="1" applyFont="1" applyFill="1" applyBorder="1" applyAlignment="1" applyProtection="1">
      <alignment vertical="center" wrapText="1"/>
      <protection hidden="1"/>
    </xf>
    <xf numFmtId="37" fontId="21" fillId="0" borderId="10" xfId="4" quotePrefix="1" applyNumberFormat="1" applyFont="1" applyFill="1" applyBorder="1" applyAlignment="1">
      <alignment horizontal="left" vertical="center" wrapText="1"/>
    </xf>
    <xf numFmtId="3" fontId="16" fillId="0" borderId="10" xfId="0" applyNumberFormat="1" applyFont="1" applyFill="1" applyBorder="1" applyAlignment="1">
      <alignment vertical="center" wrapText="1"/>
    </xf>
    <xf numFmtId="0" fontId="21" fillId="0" borderId="10" xfId="5" applyFont="1" applyFill="1" applyBorder="1" applyAlignment="1" applyProtection="1">
      <alignment horizontal="center" vertical="center" wrapText="1"/>
      <protection hidden="1"/>
    </xf>
    <xf numFmtId="0" fontId="21" fillId="0" borderId="10" xfId="0" applyFont="1" applyFill="1" applyBorder="1" applyAlignment="1">
      <alignment horizontal="left" vertical="center" wrapText="1"/>
    </xf>
    <xf numFmtId="49" fontId="21" fillId="0" borderId="10" xfId="0" quotePrefix="1" applyNumberFormat="1" applyFont="1" applyFill="1" applyBorder="1" applyAlignment="1">
      <alignment horizontal="right" vertical="center" wrapText="1"/>
    </xf>
    <xf numFmtId="49" fontId="21" fillId="0" borderId="10" xfId="4" quotePrefix="1" applyNumberFormat="1" applyFont="1" applyFill="1" applyBorder="1" applyAlignment="1">
      <alignment horizontal="right" vertical="center" wrapText="1"/>
    </xf>
    <xf numFmtId="0" fontId="21" fillId="2" borderId="10" xfId="0" applyFont="1" applyFill="1" applyBorder="1" applyAlignment="1">
      <alignment vertical="center" wrapText="1"/>
    </xf>
    <xf numFmtId="0" fontId="21" fillId="0" borderId="10" xfId="5" applyFont="1" applyFill="1" applyBorder="1" applyAlignment="1">
      <alignment horizontal="left" vertical="center" wrapText="1"/>
    </xf>
    <xf numFmtId="37" fontId="21" fillId="0" borderId="10" xfId="5" applyNumberFormat="1" applyFont="1" applyFill="1" applyBorder="1" applyAlignment="1">
      <alignment horizontal="left" vertical="center" wrapText="1"/>
    </xf>
    <xf numFmtId="49" fontId="21" fillId="0" borderId="10" xfId="5" applyNumberFormat="1" applyFont="1" applyFill="1" applyBorder="1" applyAlignment="1" applyProtection="1">
      <alignment horizontal="right" vertical="center" wrapText="1"/>
      <protection hidden="1"/>
    </xf>
    <xf numFmtId="37" fontId="21" fillId="0" borderId="10" xfId="5" applyNumberFormat="1" applyFont="1" applyFill="1" applyBorder="1" applyAlignment="1">
      <alignment horizontal="center" vertical="center" wrapText="1"/>
    </xf>
    <xf numFmtId="49" fontId="21" fillId="0" borderId="10" xfId="5" applyNumberFormat="1" applyFont="1" applyFill="1" applyBorder="1" applyAlignment="1" applyProtection="1">
      <alignment horizontal="center" vertical="center" wrapText="1"/>
      <protection hidden="1"/>
    </xf>
    <xf numFmtId="3" fontId="21" fillId="0" borderId="10" xfId="0" applyNumberFormat="1" applyFont="1" applyBorder="1" applyAlignment="1">
      <alignment vertical="center" wrapText="1"/>
    </xf>
    <xf numFmtId="0" fontId="21" fillId="0" borderId="10" xfId="5" applyFont="1" applyFill="1" applyBorder="1" applyAlignment="1" applyProtection="1">
      <alignment vertical="center" wrapText="1"/>
      <protection hidden="1"/>
    </xf>
  </cellXfs>
  <cellStyles count="6">
    <cellStyle name="Comma" xfId="1" builtinId="3"/>
    <cellStyle name="Comma 2" xfId="2" xr:uid="{28EA13CF-9D2A-4744-9513-51D2652DF24F}"/>
    <cellStyle name="Comma 2 2" xfId="3" xr:uid="{AE25BEF7-E75F-44A2-8296-1EE7AE91E296}"/>
    <cellStyle name="Normal" xfId="0" builtinId="0"/>
    <cellStyle name="Normal 2" xfId="4" xr:uid="{8C9D4FA3-5465-41EC-B8E2-108ABAD8FF71}"/>
    <cellStyle name="Normal 2 2" xfId="5" xr:uid="{06E8C7E3-C54D-4949-8A55-E9E2AE80D5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'Bảng kê'!$O$3:$O$19</c:f>
              <c:strCache>
                <c:ptCount val="17"/>
                <c:pt idx="0">
                  <c:v>Chỉ số mới</c:v>
                </c:pt>
                <c:pt idx="1">
                  <c:v>-15</c:v>
                </c:pt>
                <c:pt idx="2">
                  <c:v>5.788</c:v>
                </c:pt>
                <c:pt idx="3">
                  <c:v>135.902</c:v>
                </c:pt>
                <c:pt idx="4">
                  <c:v>177.823</c:v>
                </c:pt>
                <c:pt idx="5">
                  <c:v>25.168</c:v>
                </c:pt>
                <c:pt idx="6">
                  <c:v>430.404</c:v>
                </c:pt>
                <c:pt idx="7">
                  <c:v>81.088</c:v>
                </c:pt>
                <c:pt idx="8">
                  <c:v>97.163</c:v>
                </c:pt>
                <c:pt idx="9">
                  <c:v>15.512</c:v>
                </c:pt>
                <c:pt idx="10">
                  <c:v>473.309</c:v>
                </c:pt>
                <c:pt idx="11">
                  <c:v>12.320</c:v>
                </c:pt>
                <c:pt idx="12">
                  <c:v>100.668</c:v>
                </c:pt>
                <c:pt idx="13">
                  <c:v>7.904</c:v>
                </c:pt>
                <c:pt idx="14">
                  <c:v>336.037</c:v>
                </c:pt>
                <c:pt idx="15">
                  <c:v>189.466</c:v>
                </c:pt>
                <c:pt idx="16">
                  <c:v>86.812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multiLvlStrRef>
              <c:f>'Bảng kê'!$B$20:$N$80</c:f>
              <c:multiLvlStrCache>
                <c:ptCount val="61"/>
                <c:lvl>
                  <c:pt idx="0">
                    <c:v>11 </c:v>
                  </c:pt>
                  <c:pt idx="1">
                    <c:v>12</c:v>
                  </c:pt>
                  <c:pt idx="2">
                    <c:v>12</c:v>
                  </c:pt>
                  <c:pt idx="3">
                    <c:v>13</c:v>
                  </c:pt>
                  <c:pt idx="4">
                    <c:v>14 </c:v>
                  </c:pt>
                  <c:pt idx="5">
                    <c:v>15</c:v>
                  </c:pt>
                  <c:pt idx="6">
                    <c:v>18</c:v>
                  </c:pt>
                  <c:pt idx="7">
                    <c:v>18</c:v>
                  </c:pt>
                  <c:pt idx="8">
                    <c:v>19</c:v>
                  </c:pt>
                  <c:pt idx="9">
                    <c:v>20</c:v>
                  </c:pt>
                  <c:pt idx="10">
                    <c:v>20</c:v>
                  </c:pt>
                  <c:pt idx="11">
                    <c:v>21</c:v>
                  </c:pt>
                  <c:pt idx="12">
                    <c:v>19</c:v>
                  </c:pt>
                  <c:pt idx="13">
                    <c:v>22</c:v>
                  </c:pt>
                  <c:pt idx="14">
                    <c:v>23</c:v>
                  </c:pt>
                  <c:pt idx="15">
                    <c:v>27</c:v>
                  </c:pt>
                  <c:pt idx="16">
                    <c:v>27</c:v>
                  </c:pt>
                  <c:pt idx="17">
                    <c:v>23</c:v>
                  </c:pt>
                  <c:pt idx="18">
                    <c:v>29</c:v>
                  </c:pt>
                  <c:pt idx="19">
                    <c:v>29</c:v>
                  </c:pt>
                  <c:pt idx="20">
                    <c:v>30</c:v>
                  </c:pt>
                  <c:pt idx="21">
                    <c:v>31</c:v>
                  </c:pt>
                  <c:pt idx="22">
                    <c:v>31</c:v>
                  </c:pt>
                  <c:pt idx="23">
                    <c:v>32</c:v>
                  </c:pt>
                  <c:pt idx="24">
                    <c:v>32</c:v>
                  </c:pt>
                  <c:pt idx="25">
                    <c:v>27</c:v>
                  </c:pt>
                  <c:pt idx="26">
                    <c:v>27</c:v>
                  </c:pt>
                  <c:pt idx="27">
                    <c:v>37 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31</c:v>
                  </c:pt>
                  <c:pt idx="31">
                    <c:v>30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37</c:v>
                  </c:pt>
                  <c:pt idx="35">
                    <c:v>37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48</c:v>
                  </c:pt>
                  <c:pt idx="39">
                    <c:v>48</c:v>
                  </c:pt>
                  <c:pt idx="40">
                    <c:v>48</c:v>
                  </c:pt>
                  <c:pt idx="41">
                    <c:v>48</c:v>
                  </c:pt>
                  <c:pt idx="42">
                    <c:v>64</c:v>
                  </c:pt>
                  <c:pt idx="43">
                    <c:v>64</c:v>
                  </c:pt>
                  <c:pt idx="44">
                    <c:v>53</c:v>
                  </c:pt>
                  <c:pt idx="45">
                    <c:v>53</c:v>
                  </c:pt>
                  <c:pt idx="46">
                    <c:v>53</c:v>
                  </c:pt>
                  <c:pt idx="47">
                    <c:v>53</c:v>
                  </c:pt>
                  <c:pt idx="48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51">
                    <c:v>56</c:v>
                  </c:pt>
                  <c:pt idx="52">
                    <c:v>56</c:v>
                  </c:pt>
                  <c:pt idx="53">
                    <c:v>56</c:v>
                  </c:pt>
                  <c:pt idx="54">
                    <c:v>56</c:v>
                  </c:pt>
                  <c:pt idx="55">
                    <c:v>56</c:v>
                  </c:pt>
                  <c:pt idx="56">
                    <c:v>56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57</c:v>
                  </c:pt>
                  <c:pt idx="60">
                    <c:v>57</c:v>
                  </c:pt>
                </c:lvl>
                <c:lvl>
                  <c:pt idx="0">
                    <c:v>B1</c:v>
                  </c:pt>
                  <c:pt idx="1">
                    <c:v>B1</c:v>
                  </c:pt>
                  <c:pt idx="2">
                    <c:v>B1</c:v>
                  </c:pt>
                  <c:pt idx="3">
                    <c:v>ĐCĐT</c:v>
                  </c:pt>
                  <c:pt idx="4">
                    <c:v>TVĐT</c:v>
                  </c:pt>
                  <c:pt idx="5">
                    <c:v>TVĐT</c:v>
                  </c:pt>
                  <c:pt idx="6">
                    <c:v>B1</c:v>
                  </c:pt>
                  <c:pt idx="7">
                    <c:v>B1</c:v>
                  </c:pt>
                  <c:pt idx="8">
                    <c:v>THCK</c:v>
                  </c:pt>
                  <c:pt idx="9">
                    <c:v>B1</c:v>
                  </c:pt>
                  <c:pt idx="10">
                    <c:v>B1</c:v>
                  </c:pt>
                  <c:pt idx="11">
                    <c:v>B1</c:v>
                  </c:pt>
                  <c:pt idx="12">
                    <c:v>ĐCĐT</c:v>
                  </c:pt>
                  <c:pt idx="13">
                    <c:v>THCK</c:v>
                  </c:pt>
                  <c:pt idx="14">
                    <c:v>B1</c:v>
                  </c:pt>
                  <c:pt idx="15">
                    <c:v>ĐLK</c:v>
                  </c:pt>
                  <c:pt idx="16">
                    <c:v>ĐLK</c:v>
                  </c:pt>
                  <c:pt idx="17">
                    <c:v>ĐLK</c:v>
                  </c:pt>
                  <c:pt idx="18">
                    <c:v>ĐLK</c:v>
                  </c:pt>
                  <c:pt idx="19">
                    <c:v>ĐLK</c:v>
                  </c:pt>
                  <c:pt idx="20">
                    <c:v>TVĐT</c:v>
                  </c:pt>
                  <c:pt idx="21">
                    <c:v>TVĐT</c:v>
                  </c:pt>
                  <c:pt idx="22">
                    <c:v>TVĐT</c:v>
                  </c:pt>
                  <c:pt idx="23">
                    <c:v>TVĐT</c:v>
                  </c:pt>
                  <c:pt idx="24">
                    <c:v>TVĐT</c:v>
                  </c:pt>
                  <c:pt idx="25">
                    <c:v>TVĐT</c:v>
                  </c:pt>
                  <c:pt idx="26">
                    <c:v>TVĐT</c:v>
                  </c:pt>
                  <c:pt idx="27">
                    <c:v>TVĐT</c:v>
                  </c:pt>
                  <c:pt idx="28">
                    <c:v>BK3B</c:v>
                  </c:pt>
                  <c:pt idx="29">
                    <c:v>BK2</c:v>
                  </c:pt>
                  <c:pt idx="30">
                    <c:v>D8</c:v>
                  </c:pt>
                  <c:pt idx="31">
                    <c:v>D8</c:v>
                  </c:pt>
                  <c:pt idx="32">
                    <c:v>THCK</c:v>
                  </c:pt>
                  <c:pt idx="33">
                    <c:v>BK2</c:v>
                  </c:pt>
                  <c:pt idx="34">
                    <c:v>TVĐT</c:v>
                  </c:pt>
                  <c:pt idx="35">
                    <c:v>TVĐT</c:v>
                  </c:pt>
                  <c:pt idx="36">
                    <c:v>KTX</c:v>
                  </c:pt>
                  <c:pt idx="37">
                    <c:v>KTX</c:v>
                  </c:pt>
                  <c:pt idx="38">
                    <c:v>ĐCĐT</c:v>
                  </c:pt>
                  <c:pt idx="39">
                    <c:v>TVĐT</c:v>
                  </c:pt>
                  <c:pt idx="40">
                    <c:v>BK3B</c:v>
                  </c:pt>
                  <c:pt idx="41">
                    <c:v>TVĐT</c:v>
                  </c:pt>
                  <c:pt idx="42">
                    <c:v>BK2</c:v>
                  </c:pt>
                  <c:pt idx="43">
                    <c:v>BK2</c:v>
                  </c:pt>
                  <c:pt idx="44">
                    <c:v>KTX</c:v>
                  </c:pt>
                  <c:pt idx="45">
                    <c:v>B1</c:v>
                  </c:pt>
                  <c:pt idx="46">
                    <c:v>BK3</c:v>
                  </c:pt>
                  <c:pt idx="47">
                    <c:v>B1</c:v>
                  </c:pt>
                  <c:pt idx="48">
                    <c:v>THCK</c:v>
                  </c:pt>
                  <c:pt idx="49">
                    <c:v>THCK</c:v>
                  </c:pt>
                  <c:pt idx="50">
                    <c:v>B1</c:v>
                  </c:pt>
                  <c:pt idx="51">
                    <c:v>B1</c:v>
                  </c:pt>
                  <c:pt idx="52">
                    <c:v>B1</c:v>
                  </c:pt>
                  <c:pt idx="53">
                    <c:v>B1</c:v>
                  </c:pt>
                  <c:pt idx="54">
                    <c:v>B1</c:v>
                  </c:pt>
                  <c:pt idx="55">
                    <c:v>B1</c:v>
                  </c:pt>
                  <c:pt idx="56">
                    <c:v>B1</c:v>
                  </c:pt>
                  <c:pt idx="57">
                    <c:v>KTX</c:v>
                  </c:pt>
                  <c:pt idx="58">
                    <c:v>BK2</c:v>
                  </c:pt>
                  <c:pt idx="59">
                    <c:v>B1</c:v>
                  </c:pt>
                  <c:pt idx="60">
                    <c:v>KTX</c:v>
                  </c:pt>
                </c:lvl>
                <c:lvl>
                  <c:pt idx="0">
                    <c:v>KTĐ T11</c:v>
                  </c:pt>
                  <c:pt idx="1">
                    <c:v>KTĐ T1</c:v>
                  </c:pt>
                  <c:pt idx="2">
                    <c:v>KTĐ T1</c:v>
                  </c:pt>
                  <c:pt idx="3">
                    <c:v>KTĐ T1</c:v>
                  </c:pt>
                  <c:pt idx="4">
                    <c:v>Tầng 1 D2A</c:v>
                  </c:pt>
                  <c:pt idx="5">
                    <c:v>T1 D6</c:v>
                  </c:pt>
                  <c:pt idx="6">
                    <c:v>Tủ ĐN1</c:v>
                  </c:pt>
                  <c:pt idx="7">
                    <c:v>Tủ ĐN1</c:v>
                  </c:pt>
                  <c:pt idx="8">
                    <c:v>Tầng 3</c:v>
                  </c:pt>
                  <c:pt idx="9">
                    <c:v>Tủ ĐN2</c:v>
                  </c:pt>
                  <c:pt idx="10">
                    <c:v>Tủ ĐN2</c:v>
                  </c:pt>
                  <c:pt idx="11">
                    <c:v>Tủ ĐN2</c:v>
                  </c:pt>
                  <c:pt idx="12">
                    <c:v>Tủ ĐN2</c:v>
                  </c:pt>
                  <c:pt idx="13">
                    <c:v>T1 TC</c:v>
                  </c:pt>
                  <c:pt idx="14">
                    <c:v>Tường ngoài</c:v>
                  </c:pt>
                  <c:pt idx="15">
                    <c:v>T1  D3</c:v>
                  </c:pt>
                  <c:pt idx="16">
                    <c:v>T1 D3</c:v>
                  </c:pt>
                  <c:pt idx="17">
                    <c:v>T1 D5</c:v>
                  </c:pt>
                  <c:pt idx="18">
                    <c:v>T1 D9</c:v>
                  </c:pt>
                  <c:pt idx="19">
                    <c:v>Tủ tổng KCN</c:v>
                  </c:pt>
                  <c:pt idx="20">
                    <c:v>TV 1C </c:v>
                  </c:pt>
                  <c:pt idx="21">
                    <c:v>TV 1D </c:v>
                  </c:pt>
                  <c:pt idx="22">
                    <c:v>TV 1D </c:v>
                  </c:pt>
                  <c:pt idx="23">
                    <c:v>TV 4C </c:v>
                  </c:pt>
                  <c:pt idx="24">
                    <c:v>TV 6C</c:v>
                  </c:pt>
                  <c:pt idx="25">
                    <c:v>D2D T1 </c:v>
                  </c:pt>
                  <c:pt idx="26">
                    <c:v>TV 6C</c:v>
                  </c:pt>
                  <c:pt idx="27">
                    <c:v>TV 9D</c:v>
                  </c:pt>
                  <c:pt idx="28">
                    <c:v>Quán tròn C9</c:v>
                  </c:pt>
                  <c:pt idx="29">
                    <c:v>Quán tròn C5</c:v>
                  </c:pt>
                  <c:pt idx="30">
                    <c:v>KTĐ T6</c:v>
                  </c:pt>
                  <c:pt idx="31">
                    <c:v>KTĐ T11</c:v>
                  </c:pt>
                  <c:pt idx="32">
                    <c:v>Nhà khách </c:v>
                  </c:pt>
                  <c:pt idx="33">
                    <c:v>Quán tròn C10B</c:v>
                  </c:pt>
                  <c:pt idx="34">
                    <c:v>KTĐ D</c:v>
                  </c:pt>
                  <c:pt idx="35">
                    <c:v>KTĐ C</c:v>
                  </c:pt>
                  <c:pt idx="36">
                    <c:v>Tủ tổng TT</c:v>
                  </c:pt>
                  <c:pt idx="38">
                    <c:v>ĐCĐT</c:v>
                  </c:pt>
                  <c:pt idx="39">
                    <c:v>P228</c:v>
                  </c:pt>
                  <c:pt idx="40">
                    <c:v>Tủ tổng TT</c:v>
                  </c:pt>
                  <c:pt idx="41">
                    <c:v>Tầng 2</c:v>
                  </c:pt>
                  <c:pt idx="42">
                    <c:v>T2-C1B</c:v>
                  </c:pt>
                  <c:pt idx="43">
                    <c:v>T3-C1B</c:v>
                  </c:pt>
                  <c:pt idx="50">
                    <c:v> Phòng trực</c:v>
                  </c:pt>
                  <c:pt idx="51">
                    <c:v>Tủ ĐN2</c:v>
                  </c:pt>
                  <c:pt idx="52">
                    <c:v>Tủ cầu thang T2</c:v>
                  </c:pt>
                  <c:pt idx="53">
                    <c:v>Tủ ĐN2</c:v>
                  </c:pt>
                  <c:pt idx="54">
                    <c:v>Tủ ĐN 2</c:v>
                  </c:pt>
                  <c:pt idx="55">
                    <c:v>Tủ ĐN2</c:v>
                  </c:pt>
                  <c:pt idx="56">
                    <c:v>Tủ ĐN2</c:v>
                  </c:pt>
                  <c:pt idx="57">
                    <c:v>Trạm B4BK</c:v>
                  </c:pt>
                  <c:pt idx="58">
                    <c:v>Trạm BK2</c:v>
                  </c:pt>
                  <c:pt idx="59">
                    <c:v>Trạm B1</c:v>
                  </c:pt>
                  <c:pt idx="60">
                    <c:v>Cầu thang T3 </c:v>
                  </c:pt>
                </c:lvl>
                <c:lvl>
                  <c:pt idx="0">
                    <c:v>3 pha</c:v>
                  </c:pt>
                  <c:pt idx="1">
                    <c:v>3 pha</c:v>
                  </c:pt>
                  <c:pt idx="2">
                    <c:v>3 pha</c:v>
                  </c:pt>
                  <c:pt idx="3">
                    <c:v>3 pha</c:v>
                  </c:pt>
                  <c:pt idx="4">
                    <c:v>3 pha</c:v>
                  </c:pt>
                  <c:pt idx="5">
                    <c:v>1 pha</c:v>
                  </c:pt>
                  <c:pt idx="6">
                    <c:v>3 pha</c:v>
                  </c:pt>
                  <c:pt idx="7">
                    <c:v>1 pha</c:v>
                  </c:pt>
                  <c:pt idx="8">
                    <c:v>3 pha</c:v>
                  </c:pt>
                  <c:pt idx="9">
                    <c:v>1 pha</c:v>
                  </c:pt>
                  <c:pt idx="10">
                    <c:v>3 pha</c:v>
                  </c:pt>
                  <c:pt idx="11">
                    <c:v>3 pha</c:v>
                  </c:pt>
                  <c:pt idx="12">
                    <c:v>3 pha</c:v>
                  </c:pt>
                  <c:pt idx="13">
                    <c:v>1 pha</c:v>
                  </c:pt>
                  <c:pt idx="14">
                    <c:v>1 pha</c:v>
                  </c:pt>
                  <c:pt idx="15">
                    <c:v>1 pha</c:v>
                  </c:pt>
                  <c:pt idx="16">
                    <c:v>1 pha</c:v>
                  </c:pt>
                  <c:pt idx="17">
                    <c:v>1 pha</c:v>
                  </c:pt>
                  <c:pt idx="18">
                    <c:v>1 pha</c:v>
                  </c:pt>
                  <c:pt idx="19">
                    <c:v>1 pha</c:v>
                  </c:pt>
                  <c:pt idx="20">
                    <c:v>3 pha</c:v>
                  </c:pt>
                  <c:pt idx="21">
                    <c:v>1 pha</c:v>
                  </c:pt>
                  <c:pt idx="22">
                    <c:v>3 pha</c:v>
                  </c:pt>
                  <c:pt idx="23">
                    <c:v>3 pha</c:v>
                  </c:pt>
                  <c:pt idx="24">
                    <c:v>3 pha</c:v>
                  </c:pt>
                  <c:pt idx="25">
                    <c:v>3 pha</c:v>
                  </c:pt>
                  <c:pt idx="26">
                    <c:v>3 pha</c:v>
                  </c:pt>
                  <c:pt idx="27">
                    <c:v>3 pha</c:v>
                  </c:pt>
                  <c:pt idx="28">
                    <c:v>1 pha</c:v>
                  </c:pt>
                  <c:pt idx="29">
                    <c:v>1 pha</c:v>
                  </c:pt>
                  <c:pt idx="30">
                    <c:v>3 pha</c:v>
                  </c:pt>
                  <c:pt idx="31">
                    <c:v>3 pha</c:v>
                  </c:pt>
                  <c:pt idx="32">
                    <c:v>3 pha</c:v>
                  </c:pt>
                  <c:pt idx="33">
                    <c:v>1 pha</c:v>
                  </c:pt>
                  <c:pt idx="34">
                    <c:v>3 pha</c:v>
                  </c:pt>
                  <c:pt idx="35">
                    <c:v>3 pha</c:v>
                  </c:pt>
                  <c:pt idx="36">
                    <c:v>3 pha</c:v>
                  </c:pt>
                  <c:pt idx="37">
                    <c:v>3 pha</c:v>
                  </c:pt>
                  <c:pt idx="38">
                    <c:v>3 pha</c:v>
                  </c:pt>
                  <c:pt idx="39">
                    <c:v>1 pha</c:v>
                  </c:pt>
                  <c:pt idx="40">
                    <c:v>3 pha</c:v>
                  </c:pt>
                  <c:pt idx="41">
                    <c:v>1 pha</c:v>
                  </c:pt>
                  <c:pt idx="42">
                    <c:v>3 pha</c:v>
                  </c:pt>
                  <c:pt idx="43">
                    <c:v>3 pha</c:v>
                  </c:pt>
                  <c:pt idx="44">
                    <c:v>1 pha</c:v>
                  </c:pt>
                  <c:pt idx="45">
                    <c:v>1 pha</c:v>
                  </c:pt>
                  <c:pt idx="46">
                    <c:v>1 pha</c:v>
                  </c:pt>
                  <c:pt idx="47">
                    <c:v>1 pha</c:v>
                  </c:pt>
                  <c:pt idx="48">
                    <c:v>1 pha</c:v>
                  </c:pt>
                  <c:pt idx="49">
                    <c:v>1 pha</c:v>
                  </c:pt>
                  <c:pt idx="50">
                    <c:v>1 pha</c:v>
                  </c:pt>
                  <c:pt idx="51">
                    <c:v>3 pha</c:v>
                  </c:pt>
                  <c:pt idx="52">
                    <c:v>3 pha</c:v>
                  </c:pt>
                  <c:pt idx="53">
                    <c:v>3 pha</c:v>
                  </c:pt>
                  <c:pt idx="54">
                    <c:v>3 pha</c:v>
                  </c:pt>
                  <c:pt idx="55">
                    <c:v>3 pha</c:v>
                  </c:pt>
                  <c:pt idx="56">
                    <c:v>1 pha</c:v>
                  </c:pt>
                  <c:pt idx="57">
                    <c:v>3 pha</c:v>
                  </c:pt>
                  <c:pt idx="58">
                    <c:v>3 pha</c:v>
                  </c:pt>
                  <c:pt idx="59">
                    <c:v>3 pha</c:v>
                  </c:pt>
                  <c:pt idx="60">
                    <c:v>3 pha</c:v>
                  </c:pt>
                </c:lvl>
                <c:lvl>
                  <c:pt idx="0">
                    <c:v>1478</c:v>
                  </c:pt>
                  <c:pt idx="1">
                    <c:v>90445</c:v>
                  </c:pt>
                  <c:pt idx="2">
                    <c:v>3307</c:v>
                  </c:pt>
                  <c:pt idx="3">
                    <c:v>9094, 4383</c:v>
                  </c:pt>
                  <c:pt idx="4">
                    <c:v>9045</c:v>
                  </c:pt>
                  <c:pt idx="5">
                    <c:v> 3842</c:v>
                  </c:pt>
                  <c:pt idx="6">
                    <c:v>0566</c:v>
                  </c:pt>
                  <c:pt idx="7">
                    <c:v>5125</c:v>
                  </c:pt>
                  <c:pt idx="8">
                    <c:v>0322</c:v>
                  </c:pt>
                  <c:pt idx="9">
                    <c:v>8820</c:v>
                  </c:pt>
                  <c:pt idx="10">
                    <c:v>9838</c:v>
                  </c:pt>
                  <c:pt idx="11">
                    <c:v>1735</c:v>
                  </c:pt>
                  <c:pt idx="12">
                    <c:v>1324</c:v>
                  </c:pt>
                  <c:pt idx="13">
                    <c:v>2184</c:v>
                  </c:pt>
                  <c:pt idx="14">
                    <c:v>3218</c:v>
                  </c:pt>
                  <c:pt idx="15">
                    <c:v>9876</c:v>
                  </c:pt>
                  <c:pt idx="16">
                    <c:v>9903</c:v>
                  </c:pt>
                  <c:pt idx="17">
                    <c:v>6203</c:v>
                  </c:pt>
                  <c:pt idx="18">
                    <c:v>9682</c:v>
                  </c:pt>
                  <c:pt idx="19">
                    <c:v>4881</c:v>
                  </c:pt>
                  <c:pt idx="20">
                    <c:v>2172</c:v>
                  </c:pt>
                  <c:pt idx="21">
                    <c:v>0804</c:v>
                  </c:pt>
                  <c:pt idx="22">
                    <c:v>2526</c:v>
                  </c:pt>
                  <c:pt idx="23">
                    <c:v>4311</c:v>
                  </c:pt>
                  <c:pt idx="24">
                    <c:v>10004862</c:v>
                  </c:pt>
                  <c:pt idx="25">
                    <c:v>4332</c:v>
                  </c:pt>
                  <c:pt idx="26">
                    <c:v>80529</c:v>
                  </c:pt>
                  <c:pt idx="27">
                    <c:v>1793</c:v>
                  </c:pt>
                  <c:pt idx="28">
                    <c:v>5545</c:v>
                  </c:pt>
                  <c:pt idx="29">
                    <c:v>6385</c:v>
                  </c:pt>
                  <c:pt idx="30">
                    <c:v>0931</c:v>
                  </c:pt>
                  <c:pt idx="31">
                    <c:v>1624</c:v>
                  </c:pt>
                  <c:pt idx="32">
                    <c:v>4061</c:v>
                  </c:pt>
                  <c:pt idx="33">
                    <c:v>9504</c:v>
                  </c:pt>
                  <c:pt idx="34">
                    <c:v>1724</c:v>
                  </c:pt>
                  <c:pt idx="35">
                    <c:v>6333</c:v>
                  </c:pt>
                  <c:pt idx="36">
                    <c:v>3833</c:v>
                  </c:pt>
                  <c:pt idx="37">
                    <c:v>2148</c:v>
                  </c:pt>
                  <c:pt idx="38">
                    <c:v>7971</c:v>
                  </c:pt>
                  <c:pt idx="39">
                    <c:v>3543</c:v>
                  </c:pt>
                  <c:pt idx="40">
                    <c:v>9514</c:v>
                  </c:pt>
                  <c:pt idx="41">
                    <c:v>8240</c:v>
                  </c:pt>
                  <c:pt idx="42">
                    <c:v>6085</c:v>
                  </c:pt>
                  <c:pt idx="43">
                    <c:v>4248</c:v>
                  </c:pt>
                  <c:pt idx="44">
                    <c:v>3113</c:v>
                  </c:pt>
                  <c:pt idx="45">
                    <c:v>6460, 1098</c:v>
                  </c:pt>
                  <c:pt idx="46">
                    <c:v>1415</c:v>
                  </c:pt>
                  <c:pt idx="47">
                    <c:v>3927</c:v>
                  </c:pt>
                  <c:pt idx="48">
                    <c:v>2673</c:v>
                  </c:pt>
                  <c:pt idx="49">
                    <c:v>4855</c:v>
                  </c:pt>
                  <c:pt idx="50">
                    <c:v>0651</c:v>
                  </c:pt>
                  <c:pt idx="51">
                    <c:v>5163</c:v>
                  </c:pt>
                  <c:pt idx="52">
                    <c:v>0757</c:v>
                  </c:pt>
                  <c:pt idx="53">
                    <c:v>9357</c:v>
                  </c:pt>
                  <c:pt idx="54">
                    <c:v>9497</c:v>
                  </c:pt>
                  <c:pt idx="55">
                    <c:v>9277</c:v>
                  </c:pt>
                  <c:pt idx="56">
                    <c:v>9310</c:v>
                  </c:pt>
                  <c:pt idx="57">
                    <c:v>40857</c:v>
                  </c:pt>
                  <c:pt idx="58">
                    <c:v>3259</c:v>
                  </c:pt>
                  <c:pt idx="59">
                    <c:v>80030</c:v>
                  </c:pt>
                  <c:pt idx="60">
                    <c:v>1124</c:v>
                  </c:pt>
                </c:lvl>
                <c:lvl>
                  <c:pt idx="0">
                    <c:v>B1</c:v>
                  </c:pt>
                  <c:pt idx="1">
                    <c:v>B1</c:v>
                  </c:pt>
                  <c:pt idx="3">
                    <c:v>B7 BIS</c:v>
                  </c:pt>
                  <c:pt idx="4">
                    <c:v>D2A</c:v>
                  </c:pt>
                  <c:pt idx="5">
                    <c:v>D6</c:v>
                  </c:pt>
                  <c:pt idx="6">
                    <c:v>A17</c:v>
                  </c:pt>
                  <c:pt idx="7">
                    <c:v>A17</c:v>
                  </c:pt>
                  <c:pt idx="8">
                    <c:v>A17</c:v>
                  </c:pt>
                  <c:pt idx="9">
                    <c:v>A17</c:v>
                  </c:pt>
                  <c:pt idx="10">
                    <c:v>A17</c:v>
                  </c:pt>
                  <c:pt idx="11">
                    <c:v>A17</c:v>
                  </c:pt>
                  <c:pt idx="12">
                    <c:v>A17</c:v>
                  </c:pt>
                  <c:pt idx="13">
                    <c:v>TC</c:v>
                  </c:pt>
                  <c:pt idx="14">
                    <c:v>Bể bơi</c:v>
                  </c:pt>
                  <c:pt idx="15">
                    <c:v>D3</c:v>
                  </c:pt>
                  <c:pt idx="16">
                    <c:v>D3</c:v>
                  </c:pt>
                  <c:pt idx="17">
                    <c:v>D5</c:v>
                  </c:pt>
                  <c:pt idx="18">
                    <c:v>D9</c:v>
                  </c:pt>
                  <c:pt idx="19">
                    <c:v>D9</c:v>
                  </c:pt>
                  <c:pt idx="20">
                    <c:v>TVĐT</c:v>
                  </c:pt>
                  <c:pt idx="21">
                    <c:v>TVĐT</c:v>
                  </c:pt>
                  <c:pt idx="22">
                    <c:v>TVĐT</c:v>
                  </c:pt>
                  <c:pt idx="23">
                    <c:v>TVĐT</c:v>
                  </c:pt>
                  <c:pt idx="24">
                    <c:v>TVĐT</c:v>
                  </c:pt>
                  <c:pt idx="25">
                    <c:v>D2D</c:v>
                  </c:pt>
                  <c:pt idx="26">
                    <c:v>TVĐT</c:v>
                  </c:pt>
                  <c:pt idx="27">
                    <c:v>TVĐT</c:v>
                  </c:pt>
                  <c:pt idx="28">
                    <c:v>C9</c:v>
                  </c:pt>
                  <c:pt idx="29">
                    <c:v>C5</c:v>
                  </c:pt>
                  <c:pt idx="30">
                    <c:v>D8</c:v>
                  </c:pt>
                  <c:pt idx="31">
                    <c:v>D8</c:v>
                  </c:pt>
                  <c:pt idx="32">
                    <c:v>Ngõ 17</c:v>
                  </c:pt>
                  <c:pt idx="34">
                    <c:v>TVĐT</c:v>
                  </c:pt>
                  <c:pt idx="35">
                    <c:v>TVĐT</c:v>
                  </c:pt>
                  <c:pt idx="37">
                    <c:v>KTX</c:v>
                  </c:pt>
                  <c:pt idx="38">
                    <c:v>C3B</c:v>
                  </c:pt>
                  <c:pt idx="39">
                    <c:v>TVĐT</c:v>
                  </c:pt>
                  <c:pt idx="40">
                    <c:v>D2C</c:v>
                  </c:pt>
                  <c:pt idx="41">
                    <c:v>D6</c:v>
                  </c:pt>
                  <c:pt idx="42">
                    <c:v>C1B</c:v>
                  </c:pt>
                  <c:pt idx="43">
                    <c:v>C1B</c:v>
                  </c:pt>
                  <c:pt idx="44">
                    <c:v>15 TQB</c:v>
                  </c:pt>
                  <c:pt idx="45">
                    <c:v>F</c:v>
                  </c:pt>
                  <c:pt idx="46">
                    <c:v>C1</c:v>
                  </c:pt>
                  <c:pt idx="47">
                    <c:v>B1</c:v>
                  </c:pt>
                  <c:pt idx="48">
                    <c:v>Ngõ 17</c:v>
                  </c:pt>
                  <c:pt idx="49">
                    <c:v>Ngõ 42</c:v>
                  </c:pt>
                  <c:pt idx="50">
                    <c:v>Bể bơi</c:v>
                  </c:pt>
                  <c:pt idx="51">
                    <c:v>A17</c:v>
                  </c:pt>
                  <c:pt idx="52">
                    <c:v>A17</c:v>
                  </c:pt>
                  <c:pt idx="53">
                    <c:v>A17</c:v>
                  </c:pt>
                  <c:pt idx="54">
                    <c:v>A17</c:v>
                  </c:pt>
                  <c:pt idx="55">
                    <c:v>A17</c:v>
                  </c:pt>
                  <c:pt idx="56">
                    <c:v>A17</c:v>
                  </c:pt>
                  <c:pt idx="57">
                    <c:v>Ngõ 15</c:v>
                  </c:pt>
                  <c:pt idx="58">
                    <c:v>C4B</c:v>
                  </c:pt>
                  <c:pt idx="59">
                    <c:v>11 TQB</c:v>
                  </c:pt>
                  <c:pt idx="60">
                    <c:v>15 TQB</c:v>
                  </c:pt>
                </c:lvl>
                <c:lvl>
                  <c:pt idx="0">
                    <c:v>0977295439</c:v>
                  </c:pt>
                  <c:pt idx="1">
                    <c:v>0948742589</c:v>
                  </c:pt>
                  <c:pt idx="2">
                    <c:v>0975744134</c:v>
                  </c:pt>
                  <c:pt idx="3">
                    <c:v>0982886906</c:v>
                  </c:pt>
                  <c:pt idx="5">
                    <c:v>0819906149</c:v>
                  </c:pt>
                  <c:pt idx="6">
                    <c:v>0915805666</c:v>
                  </c:pt>
                  <c:pt idx="7">
                    <c:v>0915805666</c:v>
                  </c:pt>
                  <c:pt idx="9">
                    <c:v>0834214946</c:v>
                  </c:pt>
                  <c:pt idx="10">
                    <c:v>0976596779</c:v>
                  </c:pt>
                  <c:pt idx="11">
                    <c:v>0936865486</c:v>
                  </c:pt>
                  <c:pt idx="12">
                    <c:v>912212968</c:v>
                  </c:pt>
                  <c:pt idx="13">
                    <c:v>0949318686</c:v>
                  </c:pt>
                  <c:pt idx="14">
                    <c:v>0942567886</c:v>
                  </c:pt>
                  <c:pt idx="15">
                    <c:v>0986675792</c:v>
                  </c:pt>
                  <c:pt idx="16">
                    <c:v>0393953999</c:v>
                  </c:pt>
                  <c:pt idx="17">
                    <c:v>0912372528</c:v>
                  </c:pt>
                  <c:pt idx="18">
                    <c:v>0942373388</c:v>
                  </c:pt>
                  <c:pt idx="19">
                    <c:v>0393245710</c:v>
                  </c:pt>
                  <c:pt idx="20">
                    <c:v>0944838353</c:v>
                  </c:pt>
                  <c:pt idx="21">
                    <c:v>0902171933</c:v>
                  </c:pt>
                  <c:pt idx="22">
                    <c:v>0902171933</c:v>
                  </c:pt>
                  <c:pt idx="23">
                    <c:v>0944838353</c:v>
                  </c:pt>
                  <c:pt idx="24">
                    <c:v>091 4343833</c:v>
                  </c:pt>
                  <c:pt idx="25">
                    <c:v>091 4343833</c:v>
                  </c:pt>
                  <c:pt idx="26">
                    <c:v>0947279988</c:v>
                  </c:pt>
                  <c:pt idx="27">
                    <c:v>0912265004</c:v>
                  </c:pt>
                  <c:pt idx="28">
                    <c:v>0913521321</c:v>
                  </c:pt>
                  <c:pt idx="29">
                    <c:v>0913521321</c:v>
                  </c:pt>
                  <c:pt idx="30">
                    <c:v>0379997777</c:v>
                  </c:pt>
                  <c:pt idx="31">
                    <c:v>0379997777</c:v>
                  </c:pt>
                  <c:pt idx="32">
                    <c:v>0915678432</c:v>
                  </c:pt>
                  <c:pt idx="33">
                    <c:v>0976636216</c:v>
                  </c:pt>
                  <c:pt idx="34">
                    <c:v>0988355343</c:v>
                  </c:pt>
                  <c:pt idx="35">
                    <c:v>0988355343</c:v>
                  </c:pt>
                  <c:pt idx="36">
                    <c:v>0912772168</c:v>
                  </c:pt>
                  <c:pt idx="37">
                    <c:v>0912998468</c:v>
                  </c:pt>
                  <c:pt idx="38">
                    <c:v>0987439889</c:v>
                  </c:pt>
                  <c:pt idx="39">
                    <c:v>0987439889</c:v>
                  </c:pt>
                  <c:pt idx="40">
                    <c:v>0987439889</c:v>
                  </c:pt>
                  <c:pt idx="41">
                    <c:v>0987439889</c:v>
                  </c:pt>
                  <c:pt idx="42">
                    <c:v>0986329918</c:v>
                  </c:pt>
                  <c:pt idx="43">
                    <c:v>0986329918</c:v>
                  </c:pt>
                  <c:pt idx="44">
                    <c:v>0978817568</c:v>
                  </c:pt>
                  <c:pt idx="45">
                    <c:v>0978817568</c:v>
                  </c:pt>
                  <c:pt idx="46">
                    <c:v>0978817568</c:v>
                  </c:pt>
                  <c:pt idx="47">
                    <c:v>0978817568</c:v>
                  </c:pt>
                  <c:pt idx="48">
                    <c:v>0978817568</c:v>
                  </c:pt>
                  <c:pt idx="49">
                    <c:v>0978817568</c:v>
                  </c:pt>
                  <c:pt idx="50">
                    <c:v>0978817568</c:v>
                  </c:pt>
                  <c:pt idx="51">
                    <c:v>0906123357</c:v>
                  </c:pt>
                  <c:pt idx="52">
                    <c:v>0906123357</c:v>
                  </c:pt>
                  <c:pt idx="53">
                    <c:v>0906123357</c:v>
                  </c:pt>
                  <c:pt idx="54">
                    <c:v>0973253788</c:v>
                  </c:pt>
                  <c:pt idx="55">
                    <c:v>0973253788</c:v>
                  </c:pt>
                  <c:pt idx="56">
                    <c:v>0906123357</c:v>
                  </c:pt>
                  <c:pt idx="57">
                    <c:v>0345890588</c:v>
                  </c:pt>
                  <c:pt idx="58">
                    <c:v>0904173826</c:v>
                  </c:pt>
                  <c:pt idx="59">
                    <c:v>0904173826</c:v>
                  </c:pt>
                  <c:pt idx="60">
                    <c:v>0904173826</c:v>
                  </c:pt>
                </c:lvl>
                <c:lvl>
                  <c:pt idx="0">
                    <c:v>Lương Thị Minh Ngoc</c:v>
                  </c:pt>
                  <c:pt idx="1">
                    <c:v>Trịnh Thị My</c:v>
                  </c:pt>
                  <c:pt idx="2">
                    <c:v>A Quang</c:v>
                  </c:pt>
                  <c:pt idx="3">
                    <c:v>Lê Thị Thanh Tâm</c:v>
                  </c:pt>
                  <c:pt idx="5">
                    <c:v>Tạ Thanh Hằng</c:v>
                  </c:pt>
                  <c:pt idx="6">
                    <c:v>Hoàng Tuấn Bằng</c:v>
                  </c:pt>
                  <c:pt idx="7">
                    <c:v>Hoàng Tuấn Bằng</c:v>
                  </c:pt>
                  <c:pt idx="8">
                    <c:v>Chị Liễu</c:v>
                  </c:pt>
                  <c:pt idx="9">
                    <c:v>Ngọc</c:v>
                  </c:pt>
                  <c:pt idx="10">
                    <c:v>Đỗ Đ.Tâm (Q.Anh) </c:v>
                  </c:pt>
                  <c:pt idx="11">
                    <c:v>Anh Sơn</c:v>
                  </c:pt>
                  <c:pt idx="12">
                    <c:v>Nguyễn Thái Bình</c:v>
                  </c:pt>
                  <c:pt idx="13">
                    <c:v>Hoàng thị Thanh Duyên</c:v>
                  </c:pt>
                  <c:pt idx="14">
                    <c:v>Duy Anh (Thu D8)</c:v>
                  </c:pt>
                  <c:pt idx="15">
                    <c:v>Nguyễn Thu Trang</c:v>
                  </c:pt>
                  <c:pt idx="16">
                    <c:v>Anh Tuấn</c:v>
                  </c:pt>
                  <c:pt idx="17">
                    <c:v>Ông Nam</c:v>
                  </c:pt>
                  <c:pt idx="18">
                    <c:v>Nguyễn Thị Phượng</c:v>
                  </c:pt>
                  <c:pt idx="19">
                    <c:v>Võ Thị Tĩnh</c:v>
                  </c:pt>
                  <c:pt idx="20">
                    <c:v>Chị Quyên</c:v>
                  </c:pt>
                  <c:pt idx="21">
                    <c:v>A Lâm</c:v>
                  </c:pt>
                  <c:pt idx="22">
                    <c:v>A Lâm</c:v>
                  </c:pt>
                  <c:pt idx="23">
                    <c:v>Chị Quyên</c:v>
                  </c:pt>
                  <c:pt idx="24">
                    <c:v>C Hòa</c:v>
                  </c:pt>
                  <c:pt idx="25">
                    <c:v>C Hòa</c:v>
                  </c:pt>
                  <c:pt idx="26">
                    <c:v>A Sơn</c:v>
                  </c:pt>
                  <c:pt idx="27">
                    <c:v>Lê Huy Cường</c:v>
                  </c:pt>
                  <c:pt idx="28">
                    <c:v>Nguyễn Thu Lương</c:v>
                  </c:pt>
                  <c:pt idx="29">
                    <c:v>Nguyễn Thu Lương</c:v>
                  </c:pt>
                  <c:pt idx="30">
                    <c:v>A Hưng</c:v>
                  </c:pt>
                  <c:pt idx="31">
                    <c:v>A Hưng</c:v>
                  </c:pt>
                  <c:pt idx="32">
                    <c:v>Lê Thị Hạnh</c:v>
                  </c:pt>
                  <c:pt idx="33">
                    <c:v>C Khánh</c:v>
                  </c:pt>
                  <c:pt idx="34">
                    <c:v>Nguyễn Tiến Dũng</c:v>
                  </c:pt>
                  <c:pt idx="35">
                    <c:v>Nguyễn Tiến Dũng</c:v>
                  </c:pt>
                  <c:pt idx="36">
                    <c:v>Trương Hữu Ninh</c:v>
                  </c:pt>
                  <c:pt idx="37">
                    <c:v>Phạm Đắc Huấn</c:v>
                  </c:pt>
                  <c:pt idx="38">
                    <c:v>Vũ Hiền Phương</c:v>
                  </c:pt>
                  <c:pt idx="39">
                    <c:v>Vũ Hiền Phương</c:v>
                  </c:pt>
                  <c:pt idx="40">
                    <c:v>Vũ Hiền Phương</c:v>
                  </c:pt>
                  <c:pt idx="41">
                    <c:v>Vũ Hiền Phương</c:v>
                  </c:pt>
                  <c:pt idx="42">
                    <c:v>Nguyễn Quang Địch</c:v>
                  </c:pt>
                  <c:pt idx="43">
                    <c:v>Nguyễn Quang Địch</c:v>
                  </c:pt>
                  <c:pt idx="44">
                    <c:v>Trần Thị Thu</c:v>
                  </c:pt>
                  <c:pt idx="45">
                    <c:v>Trần Thị Thu</c:v>
                  </c:pt>
                  <c:pt idx="46">
                    <c:v>Trần Thị Thu</c:v>
                  </c:pt>
                  <c:pt idx="47">
                    <c:v>Trần Thị Thu</c:v>
                  </c:pt>
                  <c:pt idx="48">
                    <c:v>Trần Thị Thu</c:v>
                  </c:pt>
                  <c:pt idx="49">
                    <c:v>Trần Thị Thu</c:v>
                  </c:pt>
                  <c:pt idx="50">
                    <c:v>Trần Thị Thu</c:v>
                  </c:pt>
                  <c:pt idx="51">
                    <c:v>BK Holdings</c:v>
                  </c:pt>
                  <c:pt idx="52">
                    <c:v>BK Holdings</c:v>
                  </c:pt>
                  <c:pt idx="53">
                    <c:v>BK Holdings</c:v>
                  </c:pt>
                  <c:pt idx="54">
                    <c:v>Nguyễn Ngọc Tuấn</c:v>
                  </c:pt>
                  <c:pt idx="55">
                    <c:v>Nguyễn Ngọc Tuấn</c:v>
                  </c:pt>
                  <c:pt idx="56">
                    <c:v>BK Holdings</c:v>
                  </c:pt>
                  <c:pt idx="57">
                    <c:v>C Hằng</c:v>
                  </c:pt>
                  <c:pt idx="58">
                    <c:v>Nguyễn Khắc Kiểm</c:v>
                  </c:pt>
                  <c:pt idx="59">
                    <c:v>Nguyễn Khắc Kiểm</c:v>
                  </c:pt>
                  <c:pt idx="60">
                    <c:v>Nguyễn Khắc Kiểm</c:v>
                  </c:pt>
                </c:lvl>
                <c:lvl>
                  <c:pt idx="0">
                    <c:v>0243.7379150</c:v>
                  </c:pt>
                  <c:pt idx="1">
                    <c:v>0988051418</c:v>
                  </c:pt>
                  <c:pt idx="3">
                    <c:v>38694323</c:v>
                  </c:pt>
                  <c:pt idx="6">
                    <c:v>38684569</c:v>
                  </c:pt>
                  <c:pt idx="7">
                    <c:v>36230568</c:v>
                  </c:pt>
                  <c:pt idx="8">
                    <c:v>38684569</c:v>
                  </c:pt>
                  <c:pt idx="9">
                    <c:v>0834214946</c:v>
                  </c:pt>
                  <c:pt idx="12">
                    <c:v>912212968</c:v>
                  </c:pt>
                  <c:pt idx="15">
                    <c:v>0359933033</c:v>
                  </c:pt>
                  <c:pt idx="16">
                    <c:v>38694529</c:v>
                  </c:pt>
                  <c:pt idx="17">
                    <c:v>38692116</c:v>
                  </c:pt>
                  <c:pt idx="30">
                    <c:v>38693782</c:v>
                  </c:pt>
                  <c:pt idx="31">
                    <c:v>38693782</c:v>
                  </c:pt>
                  <c:pt idx="32">
                    <c:v>36230351</c:v>
                  </c:pt>
                  <c:pt idx="34">
                    <c:v>38693782</c:v>
                  </c:pt>
                  <c:pt idx="35">
                    <c:v>38693782</c:v>
                  </c:pt>
                  <c:pt idx="37">
                    <c:v>38692942</c:v>
                  </c:pt>
                  <c:pt idx="39">
                    <c:v>36231722</c:v>
                  </c:pt>
                  <c:pt idx="40">
                    <c:v>38682179</c:v>
                  </c:pt>
                  <c:pt idx="41">
                    <c:v>36231722</c:v>
                  </c:pt>
                  <c:pt idx="42">
                    <c:v>38683518</c:v>
                  </c:pt>
                  <c:pt idx="43">
                    <c:v>38683518</c:v>
                  </c:pt>
                  <c:pt idx="51">
                    <c:v>02436230870</c:v>
                  </c:pt>
                  <c:pt idx="52">
                    <c:v>02436230870</c:v>
                  </c:pt>
                  <c:pt idx="53">
                    <c:v>02436230870</c:v>
                  </c:pt>
                  <c:pt idx="54">
                    <c:v>36230870</c:v>
                  </c:pt>
                  <c:pt idx="55">
                    <c:v>36230870</c:v>
                  </c:pt>
                  <c:pt idx="56">
                    <c:v>38683713</c:v>
                  </c:pt>
                  <c:pt idx="57">
                    <c:v>38682778</c:v>
                  </c:pt>
                  <c:pt idx="58">
                    <c:v>38682917</c:v>
                  </c:pt>
                  <c:pt idx="59">
                    <c:v>38682917</c:v>
                  </c:pt>
                  <c:pt idx="60">
                    <c:v>38682917</c:v>
                  </c:pt>
                </c:lvl>
                <c:lvl>
                  <c:pt idx="0">
                    <c:v>Tầng 11 nhà B1</c:v>
                  </c:pt>
                  <c:pt idx="1">
                    <c:v>Cửa hàng Highlands B1-TĐN</c:v>
                  </c:pt>
                  <c:pt idx="2">
                    <c:v>Nhà sách B1- TĐN</c:v>
                  </c:pt>
                  <c:pt idx="3">
                    <c:v>B7 BIS phố TĐN</c:v>
                  </c:pt>
                  <c:pt idx="4">
                    <c:v>Tầng 3 - D2A</c:v>
                  </c:pt>
                  <c:pt idx="5">
                    <c:v>Nhà D6 </c:v>
                  </c:pt>
                  <c:pt idx="6">
                    <c:v>Lô 2,3,4 tầng 1-A17</c:v>
                  </c:pt>
                  <c:pt idx="7">
                    <c:v>Lô 1, tầng 1- A17 </c:v>
                  </c:pt>
                  <c:pt idx="8">
                    <c:v>Nhà E</c:v>
                  </c:pt>
                  <c:pt idx="9">
                    <c:v>Lô 12, tầng 1- A17</c:v>
                  </c:pt>
                  <c:pt idx="10">
                    <c:v>Lô 11, tầng 1- A17</c:v>
                  </c:pt>
                  <c:pt idx="11">
                    <c:v>Lô 10, tầng 1-A17 </c:v>
                  </c:pt>
                  <c:pt idx="12">
                    <c:v>Lô 9, tầng 1 A17</c:v>
                  </c:pt>
                  <c:pt idx="13">
                    <c:v> Cầu thang TC</c:v>
                  </c:pt>
                  <c:pt idx="14">
                    <c:v>Cổng Bể bơi</c:v>
                  </c:pt>
                  <c:pt idx="15">
                    <c:v>Tầng 1 - D3</c:v>
                  </c:pt>
                  <c:pt idx="16">
                    <c:v>Tầng 1 - D3</c:v>
                  </c:pt>
                  <c:pt idx="17">
                    <c:v>Tầng 1 - D5</c:v>
                  </c:pt>
                  <c:pt idx="18">
                    <c:v>Tầng 1 - D9</c:v>
                  </c:pt>
                  <c:pt idx="19">
                    <c:v>Tầng 1 - D9</c:v>
                  </c:pt>
                  <c:pt idx="20">
                    <c:v>111A</c:v>
                  </c:pt>
                  <c:pt idx="21">
                    <c:v>227 TV TQB</c:v>
                  </c:pt>
                  <c:pt idx="22">
                    <c:v>Tầng 6 TV TQB</c:v>
                  </c:pt>
                  <c:pt idx="23">
                    <c:v>411, 526 TV TQB</c:v>
                  </c:pt>
                  <c:pt idx="24">
                    <c:v>TV 609</c:v>
                  </c:pt>
                  <c:pt idx="25">
                    <c:v>D2D tầng 1</c:v>
                  </c:pt>
                  <c:pt idx="26">
                    <c:v>TV 618</c:v>
                  </c:pt>
                  <c:pt idx="27">
                    <c:v>915 TVĐT</c:v>
                  </c:pt>
                  <c:pt idx="28">
                    <c:v>C9 </c:v>
                  </c:pt>
                  <c:pt idx="29">
                    <c:v>C5</c:v>
                  </c:pt>
                  <c:pt idx="30">
                    <c:v>D8 Tầng 6</c:v>
                  </c:pt>
                  <c:pt idx="31">
                    <c:v>D8 Tầng 11</c:v>
                  </c:pt>
                  <c:pt idx="32">
                    <c:v>Số 1 - Ngõ 17 TQB</c:v>
                  </c:pt>
                  <c:pt idx="33">
                    <c:v>C10B</c:v>
                  </c:pt>
                  <c:pt idx="34">
                    <c:v>TV TQB</c:v>
                  </c:pt>
                  <c:pt idx="35">
                    <c:v>TV TQB</c:v>
                  </c:pt>
                  <c:pt idx="36">
                    <c:v>Số 5 TQB</c:v>
                  </c:pt>
                  <c:pt idx="37">
                    <c:v>KTX</c:v>
                  </c:pt>
                  <c:pt idx="38">
                    <c:v>C3B</c:v>
                  </c:pt>
                  <c:pt idx="39">
                    <c:v>Phòng 228-Thư viện TQB</c:v>
                  </c:pt>
                  <c:pt idx="40">
                    <c:v>D2C</c:v>
                  </c:pt>
                  <c:pt idx="41">
                    <c:v>Phòng 201,202- D6</c:v>
                  </c:pt>
                  <c:pt idx="42">
                    <c:v>C1B tầng 2</c:v>
                  </c:pt>
                  <c:pt idx="43">
                    <c:v>C1B tầng 3</c:v>
                  </c:pt>
                  <c:pt idx="44">
                    <c:v>Trông xe ô tô ngõ 15 TQB</c:v>
                  </c:pt>
                  <c:pt idx="45">
                    <c:v>Trông xe ô tô nhà F </c:v>
                  </c:pt>
                  <c:pt idx="46">
                    <c:v>Trông xe ô tô C1</c:v>
                  </c:pt>
                  <c:pt idx="47">
                    <c:v>Trông xe ô tô B1</c:v>
                  </c:pt>
                  <c:pt idx="48">
                    <c:v>Trông xe ô tô nhà khách</c:v>
                  </c:pt>
                  <c:pt idx="49">
                    <c:v>Trông xe ô tô ngõ 42</c:v>
                  </c:pt>
                  <c:pt idx="50">
                    <c:v>Cổng Bảo vệ - Bể bơi BK</c:v>
                  </c:pt>
                  <c:pt idx="51">
                    <c:v>Tầng 2 ĐN2 - A17 TQB</c:v>
                  </c:pt>
                  <c:pt idx="52">
                    <c:v>Tầng 2 ĐN 2 - A17</c:v>
                  </c:pt>
                  <c:pt idx="53">
                    <c:v>Tầng 3 ĐN2 -  A17</c:v>
                  </c:pt>
                  <c:pt idx="54">
                    <c:v>Tầng 5 ĐN2 - A17</c:v>
                  </c:pt>
                  <c:pt idx="55">
                    <c:v>Tầng 2 ĐN1- A17</c:v>
                  </c:pt>
                  <c:pt idx="56">
                    <c:v>Tầng 3 ĐN1 -  A17</c:v>
                  </c:pt>
                  <c:pt idx="57">
                    <c:v>Số 7 ngõ 15 - TQB </c:v>
                  </c:pt>
                  <c:pt idx="58">
                    <c:v>C4B</c:v>
                  </c:pt>
                  <c:pt idx="59">
                    <c:v>11 TQB</c:v>
                  </c:pt>
                  <c:pt idx="60">
                    <c:v>15 TQB</c:v>
                  </c:pt>
                </c:lvl>
                <c:lvl>
                  <c:pt idx="0">
                    <c:v>Công ty CP Công nghệ cao GENE Việt</c:v>
                  </c:pt>
                  <c:pt idx="1">
                    <c:v>Công ty CP dịch vụ và cà phê Cao Nguyên</c:v>
                  </c:pt>
                  <c:pt idx="3">
                    <c:v>Trường ĐH KHXH và NV</c:v>
                  </c:pt>
                  <c:pt idx="4">
                    <c:v> Nhà ăn T3-D2A</c:v>
                  </c:pt>
                  <c:pt idx="5">
                    <c:v>HĐKT</c:v>
                  </c:pt>
                  <c:pt idx="6">
                    <c:v>Nhà xuất bản BK </c:v>
                  </c:pt>
                  <c:pt idx="7">
                    <c:v>Nhà xuất bản BK </c:v>
                  </c:pt>
                  <c:pt idx="8">
                    <c:v>Nhà xuất bản BK </c:v>
                  </c:pt>
                  <c:pt idx="9">
                    <c:v>Bưu điện BK</c:v>
                  </c:pt>
                  <c:pt idx="10">
                    <c:v>HĐKT</c:v>
                  </c:pt>
                  <c:pt idx="11">
                    <c:v>HĐKT</c:v>
                  </c:pt>
                  <c:pt idx="12">
                    <c:v>HĐKT</c:v>
                  </c:pt>
                  <c:pt idx="13">
                    <c:v>HĐKT</c:v>
                  </c:pt>
                  <c:pt idx="14">
                    <c:v>HĐKT</c:v>
                  </c:pt>
                  <c:pt idx="15">
                    <c:v>HĐKT</c:v>
                  </c:pt>
                  <c:pt idx="16">
                    <c:v>HĐKT</c:v>
                  </c:pt>
                  <c:pt idx="17">
                    <c:v>HĐKT</c:v>
                  </c:pt>
                  <c:pt idx="18">
                    <c:v>HĐKT</c:v>
                  </c:pt>
                  <c:pt idx="19">
                    <c:v>HĐKT</c:v>
                  </c:pt>
                  <c:pt idx="27">
                    <c:v>TT tâm chuyển đổi số</c:v>
                  </c:pt>
                  <c:pt idx="28">
                    <c:v>HĐKT</c:v>
                  </c:pt>
                  <c:pt idx="29">
                    <c:v>HĐKT</c:v>
                  </c:pt>
                  <c:pt idx="30">
                    <c:v>Viện NCCN không gian và dưới nước</c:v>
                  </c:pt>
                  <c:pt idx="31">
                    <c:v>Viện NCCN không gian và dưới nước</c:v>
                  </c:pt>
                  <c:pt idx="32">
                    <c:v>HĐKT</c:v>
                  </c:pt>
                  <c:pt idx="33">
                    <c:v>HĐKT</c:v>
                  </c:pt>
                  <c:pt idx="34">
                    <c:v>TT Đào tạo liên tục</c:v>
                  </c:pt>
                  <c:pt idx="35">
                    <c:v>TT Đào tạo liên tục</c:v>
                  </c:pt>
                  <c:pt idx="36">
                    <c:v>TT Y tế</c:v>
                  </c:pt>
                  <c:pt idx="38">
                    <c:v>TT Ngôn ngữ và trao đổi học thuật</c:v>
                  </c:pt>
                  <c:pt idx="39">
                    <c:v>TT Ngôn ngữ và trao đổi học thuật</c:v>
                  </c:pt>
                  <c:pt idx="40">
                    <c:v>TT Ngôn ngữ và trao đổi học thuật</c:v>
                  </c:pt>
                  <c:pt idx="41">
                    <c:v>TT Ngôn ngữ và trao đổi học thuật</c:v>
                  </c:pt>
                  <c:pt idx="42">
                    <c:v>Viện Kỹ thuật ĐK &amp; TĐH</c:v>
                  </c:pt>
                  <c:pt idx="43">
                    <c:v>Viện Kỹ thuật ĐK &amp; TĐH</c:v>
                  </c:pt>
                  <c:pt idx="44">
                    <c:v>TTDV và HT BK</c:v>
                  </c:pt>
                  <c:pt idx="45">
                    <c:v>TTDV và HT BK</c:v>
                  </c:pt>
                  <c:pt idx="46">
                    <c:v>TTDV và HT BK</c:v>
                  </c:pt>
                  <c:pt idx="47">
                    <c:v>TTDV và HT BK</c:v>
                  </c:pt>
                  <c:pt idx="48">
                    <c:v>TTDV và HT BK</c:v>
                  </c:pt>
                  <c:pt idx="49">
                    <c:v>TTDV và HT BK</c:v>
                  </c:pt>
                  <c:pt idx="50">
                    <c:v>TTDV và HT BK</c:v>
                  </c:pt>
                  <c:pt idx="51">
                    <c:v>BK Holding</c:v>
                  </c:pt>
                  <c:pt idx="52">
                    <c:v>BK Holding</c:v>
                  </c:pt>
                  <c:pt idx="53">
                    <c:v>BK Holding</c:v>
                  </c:pt>
                  <c:pt idx="54">
                    <c:v>Nguyễn Ngọc Tuấn</c:v>
                  </c:pt>
                  <c:pt idx="55">
                    <c:v>Nguyễn Ngọc Tuấn</c:v>
                  </c:pt>
                  <c:pt idx="56">
                    <c:v>BK Holding</c:v>
                  </c:pt>
                  <c:pt idx="57">
                    <c:v>BK Holding</c:v>
                  </c:pt>
                  <c:pt idx="58">
                    <c:v>BK Holding</c:v>
                  </c:pt>
                  <c:pt idx="59">
                    <c:v>BK Holding</c:v>
                  </c:pt>
                  <c:pt idx="60">
                    <c:v>BK Holding</c:v>
                  </c:pt>
                </c:lvl>
                <c:lvl>
                  <c:pt idx="0">
                    <c:v>Công ty CP Công nghệ cao GENE Việt</c:v>
                  </c:pt>
                  <c:pt idx="1">
                    <c:v>Cửa hàng Highlands BK</c:v>
                  </c:pt>
                  <c:pt idx="2">
                    <c:v>Nhà sách ADC Trần Đại Nghĩa</c:v>
                  </c:pt>
                  <c:pt idx="3">
                    <c:v>Khoa Việt Nam học và Tiếng việt (t thụ)</c:v>
                  </c:pt>
                  <c:pt idx="4">
                    <c:v>Nhà ăn T3-D2A</c:v>
                  </c:pt>
                  <c:pt idx="5">
                    <c:v>Tạ Thanh Hằng - Photocopy</c:v>
                  </c:pt>
                  <c:pt idx="6">
                    <c:v>Nhà sách BK </c:v>
                  </c:pt>
                  <c:pt idx="7">
                    <c:v>Nhà sách BK </c:v>
                  </c:pt>
                  <c:pt idx="8">
                    <c:v>Nhà xuất bản BK </c:v>
                  </c:pt>
                  <c:pt idx="9">
                    <c:v>Bưu điện BK</c:v>
                  </c:pt>
                  <c:pt idx="10">
                    <c:v>Siêu thị MINI BK</c:v>
                  </c:pt>
                  <c:pt idx="11">
                    <c:v>Bún cá Anh Sơn</c:v>
                  </c:pt>
                  <c:pt idx="12">
                    <c:v>Kiot hàng ăn - A Bình A17</c:v>
                  </c:pt>
                  <c:pt idx="13">
                    <c:v>Chị Duyên - photocopy </c:v>
                  </c:pt>
                  <c:pt idx="14">
                    <c:v>Duy Anh - photocopy</c:v>
                  </c:pt>
                  <c:pt idx="15">
                    <c:v>Nguyễn Thu Trang -Photocopy</c:v>
                  </c:pt>
                  <c:pt idx="16">
                    <c:v>Công ty TNHH Thương mại HTP Photocopy</c:v>
                  </c:pt>
                  <c:pt idx="17">
                    <c:v>Ông Nam - Photocopy</c:v>
                  </c:pt>
                  <c:pt idx="18">
                    <c:v>Chị Phượng -Photocopy</c:v>
                  </c:pt>
                  <c:pt idx="19">
                    <c:v>Chị Tình -Photocopy </c:v>
                  </c:pt>
                  <c:pt idx="20">
                    <c:v>ĐH phòng đọc Thư viện TQB</c:v>
                  </c:pt>
                  <c:pt idx="21">
                    <c:v>TT kỹ thuật số Pháp ngữ CNF (AUF)</c:v>
                  </c:pt>
                  <c:pt idx="22">
                    <c:v>TT kỹ thuật số Pháp ngữ CNF (AUF)</c:v>
                  </c:pt>
                  <c:pt idx="23">
                    <c:v>ĐH phòng đọc Thư viện TQB</c:v>
                  </c:pt>
                  <c:pt idx="24">
                    <c:v>Viện CN và KT số</c:v>
                  </c:pt>
                  <c:pt idx="25">
                    <c:v>Viện CN và KT số (MB)</c:v>
                  </c:pt>
                  <c:pt idx="26">
                    <c:v>Viện NC và ứng dụng TTNT</c:v>
                  </c:pt>
                  <c:pt idx="27">
                    <c:v>ELEARNING CENTER</c:v>
                  </c:pt>
                  <c:pt idx="28">
                    <c:v>Quán tròn C9</c:v>
                  </c:pt>
                  <c:pt idx="29">
                    <c:v>Quán tròn C5 </c:v>
                  </c:pt>
                  <c:pt idx="30">
                    <c:v>Viện NCCN không gian và dưới nước</c:v>
                  </c:pt>
                  <c:pt idx="31">
                    <c:v>Viện NCCN không gian và dưới nước</c:v>
                  </c:pt>
                  <c:pt idx="32">
                    <c:v>Văn phòng GIZ </c:v>
                  </c:pt>
                  <c:pt idx="33">
                    <c:v>Quán tròn C10B</c:v>
                  </c:pt>
                  <c:pt idx="34">
                    <c:v>TT Đào tạo liên tục - phòng máy TV (D)</c:v>
                  </c:pt>
                  <c:pt idx="35">
                    <c:v>TT Đào tạo liên tục - phòng máy TV ( C)</c:v>
                  </c:pt>
                  <c:pt idx="36">
                    <c:v>Trung tâm y tế (t thụ)</c:v>
                  </c:pt>
                  <c:pt idx="37">
                    <c:v>Trung tâm KTX  (t thụ)</c:v>
                  </c:pt>
                  <c:pt idx="38">
                    <c:v>Trung tâm Ngôn ngữ và trao đổi học thuật C3B</c:v>
                  </c:pt>
                  <c:pt idx="39">
                    <c:v>Trung tâm Ngôn ngữ và trao đổi học thuật TVĐT</c:v>
                  </c:pt>
                  <c:pt idx="40">
                    <c:v>Trung tâm Ngôn ngữ và trao đổi học thuật D2C</c:v>
                  </c:pt>
                  <c:pt idx="41">
                    <c:v>Trung tâm Ngôn ngữ và trao đổi học thuật D6-Đèn quạt</c:v>
                  </c:pt>
                  <c:pt idx="42">
                    <c:v>Viện Kỹ thuật ĐK &amp; TĐH T2 (c tơ 2 chiều)</c:v>
                  </c:pt>
                  <c:pt idx="43">
                    <c:v>Viện Kỹ thuật ĐK &amp; TĐH T3</c:v>
                  </c:pt>
                  <c:pt idx="44">
                    <c:v>TT Dịch vụ và hỗ trợ BK.1/15</c:v>
                  </c:pt>
                  <c:pt idx="45">
                    <c:v>TT Dịch vụ và hỗ trợ BK.F (t thụ)</c:v>
                  </c:pt>
                  <c:pt idx="46">
                    <c:v>TT Dịch vụ và hỗ trợ BK.C1 (t thụ)</c:v>
                  </c:pt>
                  <c:pt idx="47">
                    <c:v>TT Dịch vụ và hỗ trợ BK.B1</c:v>
                  </c:pt>
                  <c:pt idx="48">
                    <c:v>TT Dịch vụ và hỗ trợ BK.17</c:v>
                  </c:pt>
                  <c:pt idx="49">
                    <c:v>TT Dịch vụ và hỗ trợ BK42</c:v>
                  </c:pt>
                  <c:pt idx="50">
                    <c:v>TT Dịch vụ và hỗ trợ BK.BB</c:v>
                  </c:pt>
                  <c:pt idx="51">
                    <c:v>BK Holdings</c:v>
                  </c:pt>
                  <c:pt idx="52">
                    <c:v>BK Holdings</c:v>
                  </c:pt>
                  <c:pt idx="53">
                    <c:v>BK Holdings</c:v>
                  </c:pt>
                  <c:pt idx="54">
                    <c:v>Cty CPĐT triển khai Dịch vụ CNTT &amp; VT BK HN</c:v>
                  </c:pt>
                  <c:pt idx="55">
                    <c:v>Cty CPĐT triển khai Dịch vụ CNTT &amp; VT BK HN</c:v>
                  </c:pt>
                  <c:pt idx="56">
                    <c:v>BK Holdings</c:v>
                  </c:pt>
                  <c:pt idx="57">
                    <c:v>Công ty CP công nghệ vật liệu và thiết bị Bách Khoa HN</c:v>
                  </c:pt>
                  <c:pt idx="58">
                    <c:v>Trường Cao Đẳng nghề BK -C4B</c:v>
                  </c:pt>
                  <c:pt idx="59">
                    <c:v>Trường Cao Đẳng nghề BK- 11 TQB</c:v>
                  </c:pt>
                  <c:pt idx="60">
                    <c:v>Trường Cao Đẳng nghề BK - VP trường cũ</c:v>
                  </c:pt>
                </c:lvl>
              </c:multiLvlStrCache>
            </c:multiLvlStrRef>
          </c:cat>
          <c:val>
            <c:numRef>
              <c:f>'Bảng kê'!$O$20:$O$80</c:f>
              <c:numCache>
                <c:formatCode>#,##0</c:formatCode>
                <c:ptCount val="61"/>
                <c:pt idx="0">
                  <c:v>299403</c:v>
                </c:pt>
                <c:pt idx="1">
                  <c:v>466332</c:v>
                </c:pt>
                <c:pt idx="2">
                  <c:v>66481</c:v>
                </c:pt>
                <c:pt idx="3">
                  <c:v>1405</c:v>
                </c:pt>
                <c:pt idx="4">
                  <c:v>195372</c:v>
                </c:pt>
                <c:pt idx="5">
                  <c:v>44919</c:v>
                </c:pt>
                <c:pt idx="6">
                  <c:v>317660</c:v>
                </c:pt>
                <c:pt idx="7">
                  <c:v>33796</c:v>
                </c:pt>
                <c:pt idx="8">
                  <c:v>143497</c:v>
                </c:pt>
                <c:pt idx="9">
                  <c:v>89688</c:v>
                </c:pt>
                <c:pt idx="10">
                  <c:v>125079</c:v>
                </c:pt>
                <c:pt idx="11">
                  <c:v>159004</c:v>
                </c:pt>
                <c:pt idx="12">
                  <c:v>113371</c:v>
                </c:pt>
                <c:pt idx="13">
                  <c:v>32728</c:v>
                </c:pt>
                <c:pt idx="14">
                  <c:v>16492</c:v>
                </c:pt>
                <c:pt idx="15">
                  <c:v>60251</c:v>
                </c:pt>
                <c:pt idx="16">
                  <c:v>20001</c:v>
                </c:pt>
                <c:pt idx="17">
                  <c:v>16985</c:v>
                </c:pt>
                <c:pt idx="18">
                  <c:v>298</c:v>
                </c:pt>
                <c:pt idx="19">
                  <c:v>67345</c:v>
                </c:pt>
                <c:pt idx="20">
                  <c:v>53319</c:v>
                </c:pt>
                <c:pt idx="21">
                  <c:v>8212</c:v>
                </c:pt>
                <c:pt idx="22">
                  <c:v>27925</c:v>
                </c:pt>
                <c:pt idx="23">
                  <c:v>6587</c:v>
                </c:pt>
                <c:pt idx="24">
                  <c:v>21637</c:v>
                </c:pt>
                <c:pt idx="25">
                  <c:v>9455</c:v>
                </c:pt>
                <c:pt idx="26">
                  <c:v>13150</c:v>
                </c:pt>
                <c:pt idx="27">
                  <c:v>163512</c:v>
                </c:pt>
                <c:pt idx="28">
                  <c:v>60431</c:v>
                </c:pt>
                <c:pt idx="29">
                  <c:v>35460</c:v>
                </c:pt>
                <c:pt idx="30">
                  <c:v>133976</c:v>
                </c:pt>
                <c:pt idx="31">
                  <c:v>16065</c:v>
                </c:pt>
                <c:pt idx="32">
                  <c:v>42022</c:v>
                </c:pt>
                <c:pt idx="33">
                  <c:v>38244</c:v>
                </c:pt>
                <c:pt idx="34">
                  <c:v>49019</c:v>
                </c:pt>
                <c:pt idx="35">
                  <c:v>69237</c:v>
                </c:pt>
                <c:pt idx="36">
                  <c:v>2759</c:v>
                </c:pt>
                <c:pt idx="37">
                  <c:v>121542</c:v>
                </c:pt>
                <c:pt idx="38">
                  <c:v>6649</c:v>
                </c:pt>
                <c:pt idx="39">
                  <c:v>112635</c:v>
                </c:pt>
                <c:pt idx="40">
                  <c:v>151180</c:v>
                </c:pt>
                <c:pt idx="41">
                  <c:v>9829</c:v>
                </c:pt>
                <c:pt idx="42">
                  <c:v>28538</c:v>
                </c:pt>
                <c:pt idx="43">
                  <c:v>125146</c:v>
                </c:pt>
                <c:pt idx="44">
                  <c:v>14827</c:v>
                </c:pt>
                <c:pt idx="45">
                  <c:v>488</c:v>
                </c:pt>
                <c:pt idx="46">
                  <c:v>450</c:v>
                </c:pt>
                <c:pt idx="47">
                  <c:v>26721</c:v>
                </c:pt>
                <c:pt idx="48">
                  <c:v>29009</c:v>
                </c:pt>
                <c:pt idx="49">
                  <c:v>56896</c:v>
                </c:pt>
                <c:pt idx="50">
                  <c:v>22982</c:v>
                </c:pt>
                <c:pt idx="51">
                  <c:v>169575</c:v>
                </c:pt>
                <c:pt idx="52">
                  <c:v>110791</c:v>
                </c:pt>
                <c:pt idx="53">
                  <c:v>639348</c:v>
                </c:pt>
                <c:pt idx="54">
                  <c:v>711120</c:v>
                </c:pt>
                <c:pt idx="55">
                  <c:v>345025</c:v>
                </c:pt>
                <c:pt idx="56">
                  <c:v>466012</c:v>
                </c:pt>
                <c:pt idx="57">
                  <c:v>155017</c:v>
                </c:pt>
                <c:pt idx="58">
                  <c:v>14921</c:v>
                </c:pt>
                <c:pt idx="59">
                  <c:v>81041</c:v>
                </c:pt>
                <c:pt idx="60">
                  <c:v>98037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843-A2F7-37AFB558500B}"/>
            </c:ext>
          </c:extLst>
        </c:ser>
        <c:ser>
          <c:idx val="1"/>
          <c:order val="1"/>
          <c:tx>
            <c:strRef>
              <c:f>'Bảng kê'!$P$3:$P$19</c:f>
              <c:strCache>
                <c:ptCount val="17"/>
                <c:pt idx="0">
                  <c:v>Chỉ số cũ</c:v>
                </c:pt>
                <c:pt idx="1">
                  <c:v>-15</c:v>
                </c:pt>
                <c:pt idx="2">
                  <c:v>5.725</c:v>
                </c:pt>
                <c:pt idx="3">
                  <c:v>134.676</c:v>
                </c:pt>
                <c:pt idx="4">
                  <c:v>175.018</c:v>
                </c:pt>
                <c:pt idx="5">
                  <c:v>24.016</c:v>
                </c:pt>
                <c:pt idx="6">
                  <c:v>428.007</c:v>
                </c:pt>
                <c:pt idx="7">
                  <c:v>80.845</c:v>
                </c:pt>
                <c:pt idx="8">
                  <c:v>95.380</c:v>
                </c:pt>
                <c:pt idx="9">
                  <c:v>14.382</c:v>
                </c:pt>
                <c:pt idx="10">
                  <c:v>470.248</c:v>
                </c:pt>
                <c:pt idx="11">
                  <c:v>11.764</c:v>
                </c:pt>
                <c:pt idx="12">
                  <c:v>99.309</c:v>
                </c:pt>
                <c:pt idx="13">
                  <c:v>7.303</c:v>
                </c:pt>
                <c:pt idx="14">
                  <c:v>334.264</c:v>
                </c:pt>
                <c:pt idx="15">
                  <c:v>186.518</c:v>
                </c:pt>
                <c:pt idx="16">
                  <c:v>86.110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multiLvlStrRef>
              <c:f>'Bảng kê'!$B$20:$N$80</c:f>
              <c:multiLvlStrCache>
                <c:ptCount val="61"/>
                <c:lvl>
                  <c:pt idx="0">
                    <c:v>11 </c:v>
                  </c:pt>
                  <c:pt idx="1">
                    <c:v>12</c:v>
                  </c:pt>
                  <c:pt idx="2">
                    <c:v>12</c:v>
                  </c:pt>
                  <c:pt idx="3">
                    <c:v>13</c:v>
                  </c:pt>
                  <c:pt idx="4">
                    <c:v>14 </c:v>
                  </c:pt>
                  <c:pt idx="5">
                    <c:v>15</c:v>
                  </c:pt>
                  <c:pt idx="6">
                    <c:v>18</c:v>
                  </c:pt>
                  <c:pt idx="7">
                    <c:v>18</c:v>
                  </c:pt>
                  <c:pt idx="8">
                    <c:v>19</c:v>
                  </c:pt>
                  <c:pt idx="9">
                    <c:v>20</c:v>
                  </c:pt>
                  <c:pt idx="10">
                    <c:v>20</c:v>
                  </c:pt>
                  <c:pt idx="11">
                    <c:v>21</c:v>
                  </c:pt>
                  <c:pt idx="12">
                    <c:v>19</c:v>
                  </c:pt>
                  <c:pt idx="13">
                    <c:v>22</c:v>
                  </c:pt>
                  <c:pt idx="14">
                    <c:v>23</c:v>
                  </c:pt>
                  <c:pt idx="15">
                    <c:v>27</c:v>
                  </c:pt>
                  <c:pt idx="16">
                    <c:v>27</c:v>
                  </c:pt>
                  <c:pt idx="17">
                    <c:v>23</c:v>
                  </c:pt>
                  <c:pt idx="18">
                    <c:v>29</c:v>
                  </c:pt>
                  <c:pt idx="19">
                    <c:v>29</c:v>
                  </c:pt>
                  <c:pt idx="20">
                    <c:v>30</c:v>
                  </c:pt>
                  <c:pt idx="21">
                    <c:v>31</c:v>
                  </c:pt>
                  <c:pt idx="22">
                    <c:v>31</c:v>
                  </c:pt>
                  <c:pt idx="23">
                    <c:v>32</c:v>
                  </c:pt>
                  <c:pt idx="24">
                    <c:v>32</c:v>
                  </c:pt>
                  <c:pt idx="25">
                    <c:v>27</c:v>
                  </c:pt>
                  <c:pt idx="26">
                    <c:v>27</c:v>
                  </c:pt>
                  <c:pt idx="27">
                    <c:v>37 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31</c:v>
                  </c:pt>
                  <c:pt idx="31">
                    <c:v>30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37</c:v>
                  </c:pt>
                  <c:pt idx="35">
                    <c:v>37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48</c:v>
                  </c:pt>
                  <c:pt idx="39">
                    <c:v>48</c:v>
                  </c:pt>
                  <c:pt idx="40">
                    <c:v>48</c:v>
                  </c:pt>
                  <c:pt idx="41">
                    <c:v>48</c:v>
                  </c:pt>
                  <c:pt idx="42">
                    <c:v>64</c:v>
                  </c:pt>
                  <c:pt idx="43">
                    <c:v>64</c:v>
                  </c:pt>
                  <c:pt idx="44">
                    <c:v>53</c:v>
                  </c:pt>
                  <c:pt idx="45">
                    <c:v>53</c:v>
                  </c:pt>
                  <c:pt idx="46">
                    <c:v>53</c:v>
                  </c:pt>
                  <c:pt idx="47">
                    <c:v>53</c:v>
                  </c:pt>
                  <c:pt idx="48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51">
                    <c:v>56</c:v>
                  </c:pt>
                  <c:pt idx="52">
                    <c:v>56</c:v>
                  </c:pt>
                  <c:pt idx="53">
                    <c:v>56</c:v>
                  </c:pt>
                  <c:pt idx="54">
                    <c:v>56</c:v>
                  </c:pt>
                  <c:pt idx="55">
                    <c:v>56</c:v>
                  </c:pt>
                  <c:pt idx="56">
                    <c:v>56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57</c:v>
                  </c:pt>
                  <c:pt idx="60">
                    <c:v>57</c:v>
                  </c:pt>
                </c:lvl>
                <c:lvl>
                  <c:pt idx="0">
                    <c:v>B1</c:v>
                  </c:pt>
                  <c:pt idx="1">
                    <c:v>B1</c:v>
                  </c:pt>
                  <c:pt idx="2">
                    <c:v>B1</c:v>
                  </c:pt>
                  <c:pt idx="3">
                    <c:v>ĐCĐT</c:v>
                  </c:pt>
                  <c:pt idx="4">
                    <c:v>TVĐT</c:v>
                  </c:pt>
                  <c:pt idx="5">
                    <c:v>TVĐT</c:v>
                  </c:pt>
                  <c:pt idx="6">
                    <c:v>B1</c:v>
                  </c:pt>
                  <c:pt idx="7">
                    <c:v>B1</c:v>
                  </c:pt>
                  <c:pt idx="8">
                    <c:v>THCK</c:v>
                  </c:pt>
                  <c:pt idx="9">
                    <c:v>B1</c:v>
                  </c:pt>
                  <c:pt idx="10">
                    <c:v>B1</c:v>
                  </c:pt>
                  <c:pt idx="11">
                    <c:v>B1</c:v>
                  </c:pt>
                  <c:pt idx="12">
                    <c:v>ĐCĐT</c:v>
                  </c:pt>
                  <c:pt idx="13">
                    <c:v>THCK</c:v>
                  </c:pt>
                  <c:pt idx="14">
                    <c:v>B1</c:v>
                  </c:pt>
                  <c:pt idx="15">
                    <c:v>ĐLK</c:v>
                  </c:pt>
                  <c:pt idx="16">
                    <c:v>ĐLK</c:v>
                  </c:pt>
                  <c:pt idx="17">
                    <c:v>ĐLK</c:v>
                  </c:pt>
                  <c:pt idx="18">
                    <c:v>ĐLK</c:v>
                  </c:pt>
                  <c:pt idx="19">
                    <c:v>ĐLK</c:v>
                  </c:pt>
                  <c:pt idx="20">
                    <c:v>TVĐT</c:v>
                  </c:pt>
                  <c:pt idx="21">
                    <c:v>TVĐT</c:v>
                  </c:pt>
                  <c:pt idx="22">
                    <c:v>TVĐT</c:v>
                  </c:pt>
                  <c:pt idx="23">
                    <c:v>TVĐT</c:v>
                  </c:pt>
                  <c:pt idx="24">
                    <c:v>TVĐT</c:v>
                  </c:pt>
                  <c:pt idx="25">
                    <c:v>TVĐT</c:v>
                  </c:pt>
                  <c:pt idx="26">
                    <c:v>TVĐT</c:v>
                  </c:pt>
                  <c:pt idx="27">
                    <c:v>TVĐT</c:v>
                  </c:pt>
                  <c:pt idx="28">
                    <c:v>BK3B</c:v>
                  </c:pt>
                  <c:pt idx="29">
                    <c:v>BK2</c:v>
                  </c:pt>
                  <c:pt idx="30">
                    <c:v>D8</c:v>
                  </c:pt>
                  <c:pt idx="31">
                    <c:v>D8</c:v>
                  </c:pt>
                  <c:pt idx="32">
                    <c:v>THCK</c:v>
                  </c:pt>
                  <c:pt idx="33">
                    <c:v>BK2</c:v>
                  </c:pt>
                  <c:pt idx="34">
                    <c:v>TVĐT</c:v>
                  </c:pt>
                  <c:pt idx="35">
                    <c:v>TVĐT</c:v>
                  </c:pt>
                  <c:pt idx="36">
                    <c:v>KTX</c:v>
                  </c:pt>
                  <c:pt idx="37">
                    <c:v>KTX</c:v>
                  </c:pt>
                  <c:pt idx="38">
                    <c:v>ĐCĐT</c:v>
                  </c:pt>
                  <c:pt idx="39">
                    <c:v>TVĐT</c:v>
                  </c:pt>
                  <c:pt idx="40">
                    <c:v>BK3B</c:v>
                  </c:pt>
                  <c:pt idx="41">
                    <c:v>TVĐT</c:v>
                  </c:pt>
                  <c:pt idx="42">
                    <c:v>BK2</c:v>
                  </c:pt>
                  <c:pt idx="43">
                    <c:v>BK2</c:v>
                  </c:pt>
                  <c:pt idx="44">
                    <c:v>KTX</c:v>
                  </c:pt>
                  <c:pt idx="45">
                    <c:v>B1</c:v>
                  </c:pt>
                  <c:pt idx="46">
                    <c:v>BK3</c:v>
                  </c:pt>
                  <c:pt idx="47">
                    <c:v>B1</c:v>
                  </c:pt>
                  <c:pt idx="48">
                    <c:v>THCK</c:v>
                  </c:pt>
                  <c:pt idx="49">
                    <c:v>THCK</c:v>
                  </c:pt>
                  <c:pt idx="50">
                    <c:v>B1</c:v>
                  </c:pt>
                  <c:pt idx="51">
                    <c:v>B1</c:v>
                  </c:pt>
                  <c:pt idx="52">
                    <c:v>B1</c:v>
                  </c:pt>
                  <c:pt idx="53">
                    <c:v>B1</c:v>
                  </c:pt>
                  <c:pt idx="54">
                    <c:v>B1</c:v>
                  </c:pt>
                  <c:pt idx="55">
                    <c:v>B1</c:v>
                  </c:pt>
                  <c:pt idx="56">
                    <c:v>B1</c:v>
                  </c:pt>
                  <c:pt idx="57">
                    <c:v>KTX</c:v>
                  </c:pt>
                  <c:pt idx="58">
                    <c:v>BK2</c:v>
                  </c:pt>
                  <c:pt idx="59">
                    <c:v>B1</c:v>
                  </c:pt>
                  <c:pt idx="60">
                    <c:v>KTX</c:v>
                  </c:pt>
                </c:lvl>
                <c:lvl>
                  <c:pt idx="0">
                    <c:v>KTĐ T11</c:v>
                  </c:pt>
                  <c:pt idx="1">
                    <c:v>KTĐ T1</c:v>
                  </c:pt>
                  <c:pt idx="2">
                    <c:v>KTĐ T1</c:v>
                  </c:pt>
                  <c:pt idx="3">
                    <c:v>KTĐ T1</c:v>
                  </c:pt>
                  <c:pt idx="4">
                    <c:v>Tầng 1 D2A</c:v>
                  </c:pt>
                  <c:pt idx="5">
                    <c:v>T1 D6</c:v>
                  </c:pt>
                  <c:pt idx="6">
                    <c:v>Tủ ĐN1</c:v>
                  </c:pt>
                  <c:pt idx="7">
                    <c:v>Tủ ĐN1</c:v>
                  </c:pt>
                  <c:pt idx="8">
                    <c:v>Tầng 3</c:v>
                  </c:pt>
                  <c:pt idx="9">
                    <c:v>Tủ ĐN2</c:v>
                  </c:pt>
                  <c:pt idx="10">
                    <c:v>Tủ ĐN2</c:v>
                  </c:pt>
                  <c:pt idx="11">
                    <c:v>Tủ ĐN2</c:v>
                  </c:pt>
                  <c:pt idx="12">
                    <c:v>Tủ ĐN2</c:v>
                  </c:pt>
                  <c:pt idx="13">
                    <c:v>T1 TC</c:v>
                  </c:pt>
                  <c:pt idx="14">
                    <c:v>Tường ngoài</c:v>
                  </c:pt>
                  <c:pt idx="15">
                    <c:v>T1  D3</c:v>
                  </c:pt>
                  <c:pt idx="16">
                    <c:v>T1 D3</c:v>
                  </c:pt>
                  <c:pt idx="17">
                    <c:v>T1 D5</c:v>
                  </c:pt>
                  <c:pt idx="18">
                    <c:v>T1 D9</c:v>
                  </c:pt>
                  <c:pt idx="19">
                    <c:v>Tủ tổng KCN</c:v>
                  </c:pt>
                  <c:pt idx="20">
                    <c:v>TV 1C </c:v>
                  </c:pt>
                  <c:pt idx="21">
                    <c:v>TV 1D </c:v>
                  </c:pt>
                  <c:pt idx="22">
                    <c:v>TV 1D </c:v>
                  </c:pt>
                  <c:pt idx="23">
                    <c:v>TV 4C </c:v>
                  </c:pt>
                  <c:pt idx="24">
                    <c:v>TV 6C</c:v>
                  </c:pt>
                  <c:pt idx="25">
                    <c:v>D2D T1 </c:v>
                  </c:pt>
                  <c:pt idx="26">
                    <c:v>TV 6C</c:v>
                  </c:pt>
                  <c:pt idx="27">
                    <c:v>TV 9D</c:v>
                  </c:pt>
                  <c:pt idx="28">
                    <c:v>Quán tròn C9</c:v>
                  </c:pt>
                  <c:pt idx="29">
                    <c:v>Quán tròn C5</c:v>
                  </c:pt>
                  <c:pt idx="30">
                    <c:v>KTĐ T6</c:v>
                  </c:pt>
                  <c:pt idx="31">
                    <c:v>KTĐ T11</c:v>
                  </c:pt>
                  <c:pt idx="32">
                    <c:v>Nhà khách </c:v>
                  </c:pt>
                  <c:pt idx="33">
                    <c:v>Quán tròn C10B</c:v>
                  </c:pt>
                  <c:pt idx="34">
                    <c:v>KTĐ D</c:v>
                  </c:pt>
                  <c:pt idx="35">
                    <c:v>KTĐ C</c:v>
                  </c:pt>
                  <c:pt idx="36">
                    <c:v>Tủ tổng TT</c:v>
                  </c:pt>
                  <c:pt idx="38">
                    <c:v>ĐCĐT</c:v>
                  </c:pt>
                  <c:pt idx="39">
                    <c:v>P228</c:v>
                  </c:pt>
                  <c:pt idx="40">
                    <c:v>Tủ tổng TT</c:v>
                  </c:pt>
                  <c:pt idx="41">
                    <c:v>Tầng 2</c:v>
                  </c:pt>
                  <c:pt idx="42">
                    <c:v>T2-C1B</c:v>
                  </c:pt>
                  <c:pt idx="43">
                    <c:v>T3-C1B</c:v>
                  </c:pt>
                  <c:pt idx="50">
                    <c:v> Phòng trực</c:v>
                  </c:pt>
                  <c:pt idx="51">
                    <c:v>Tủ ĐN2</c:v>
                  </c:pt>
                  <c:pt idx="52">
                    <c:v>Tủ cầu thang T2</c:v>
                  </c:pt>
                  <c:pt idx="53">
                    <c:v>Tủ ĐN2</c:v>
                  </c:pt>
                  <c:pt idx="54">
                    <c:v>Tủ ĐN 2</c:v>
                  </c:pt>
                  <c:pt idx="55">
                    <c:v>Tủ ĐN2</c:v>
                  </c:pt>
                  <c:pt idx="56">
                    <c:v>Tủ ĐN2</c:v>
                  </c:pt>
                  <c:pt idx="57">
                    <c:v>Trạm B4BK</c:v>
                  </c:pt>
                  <c:pt idx="58">
                    <c:v>Trạm BK2</c:v>
                  </c:pt>
                  <c:pt idx="59">
                    <c:v>Trạm B1</c:v>
                  </c:pt>
                  <c:pt idx="60">
                    <c:v>Cầu thang T3 </c:v>
                  </c:pt>
                </c:lvl>
                <c:lvl>
                  <c:pt idx="0">
                    <c:v>3 pha</c:v>
                  </c:pt>
                  <c:pt idx="1">
                    <c:v>3 pha</c:v>
                  </c:pt>
                  <c:pt idx="2">
                    <c:v>3 pha</c:v>
                  </c:pt>
                  <c:pt idx="3">
                    <c:v>3 pha</c:v>
                  </c:pt>
                  <c:pt idx="4">
                    <c:v>3 pha</c:v>
                  </c:pt>
                  <c:pt idx="5">
                    <c:v>1 pha</c:v>
                  </c:pt>
                  <c:pt idx="6">
                    <c:v>3 pha</c:v>
                  </c:pt>
                  <c:pt idx="7">
                    <c:v>1 pha</c:v>
                  </c:pt>
                  <c:pt idx="8">
                    <c:v>3 pha</c:v>
                  </c:pt>
                  <c:pt idx="9">
                    <c:v>1 pha</c:v>
                  </c:pt>
                  <c:pt idx="10">
                    <c:v>3 pha</c:v>
                  </c:pt>
                  <c:pt idx="11">
                    <c:v>3 pha</c:v>
                  </c:pt>
                  <c:pt idx="12">
                    <c:v>3 pha</c:v>
                  </c:pt>
                  <c:pt idx="13">
                    <c:v>1 pha</c:v>
                  </c:pt>
                  <c:pt idx="14">
                    <c:v>1 pha</c:v>
                  </c:pt>
                  <c:pt idx="15">
                    <c:v>1 pha</c:v>
                  </c:pt>
                  <c:pt idx="16">
                    <c:v>1 pha</c:v>
                  </c:pt>
                  <c:pt idx="17">
                    <c:v>1 pha</c:v>
                  </c:pt>
                  <c:pt idx="18">
                    <c:v>1 pha</c:v>
                  </c:pt>
                  <c:pt idx="19">
                    <c:v>1 pha</c:v>
                  </c:pt>
                  <c:pt idx="20">
                    <c:v>3 pha</c:v>
                  </c:pt>
                  <c:pt idx="21">
                    <c:v>1 pha</c:v>
                  </c:pt>
                  <c:pt idx="22">
                    <c:v>3 pha</c:v>
                  </c:pt>
                  <c:pt idx="23">
                    <c:v>3 pha</c:v>
                  </c:pt>
                  <c:pt idx="24">
                    <c:v>3 pha</c:v>
                  </c:pt>
                  <c:pt idx="25">
                    <c:v>3 pha</c:v>
                  </c:pt>
                  <c:pt idx="26">
                    <c:v>3 pha</c:v>
                  </c:pt>
                  <c:pt idx="27">
                    <c:v>3 pha</c:v>
                  </c:pt>
                  <c:pt idx="28">
                    <c:v>1 pha</c:v>
                  </c:pt>
                  <c:pt idx="29">
                    <c:v>1 pha</c:v>
                  </c:pt>
                  <c:pt idx="30">
                    <c:v>3 pha</c:v>
                  </c:pt>
                  <c:pt idx="31">
                    <c:v>3 pha</c:v>
                  </c:pt>
                  <c:pt idx="32">
                    <c:v>3 pha</c:v>
                  </c:pt>
                  <c:pt idx="33">
                    <c:v>1 pha</c:v>
                  </c:pt>
                  <c:pt idx="34">
                    <c:v>3 pha</c:v>
                  </c:pt>
                  <c:pt idx="35">
                    <c:v>3 pha</c:v>
                  </c:pt>
                  <c:pt idx="36">
                    <c:v>3 pha</c:v>
                  </c:pt>
                  <c:pt idx="37">
                    <c:v>3 pha</c:v>
                  </c:pt>
                  <c:pt idx="38">
                    <c:v>3 pha</c:v>
                  </c:pt>
                  <c:pt idx="39">
                    <c:v>1 pha</c:v>
                  </c:pt>
                  <c:pt idx="40">
                    <c:v>3 pha</c:v>
                  </c:pt>
                  <c:pt idx="41">
                    <c:v>1 pha</c:v>
                  </c:pt>
                  <c:pt idx="42">
                    <c:v>3 pha</c:v>
                  </c:pt>
                  <c:pt idx="43">
                    <c:v>3 pha</c:v>
                  </c:pt>
                  <c:pt idx="44">
                    <c:v>1 pha</c:v>
                  </c:pt>
                  <c:pt idx="45">
                    <c:v>1 pha</c:v>
                  </c:pt>
                  <c:pt idx="46">
                    <c:v>1 pha</c:v>
                  </c:pt>
                  <c:pt idx="47">
                    <c:v>1 pha</c:v>
                  </c:pt>
                  <c:pt idx="48">
                    <c:v>1 pha</c:v>
                  </c:pt>
                  <c:pt idx="49">
                    <c:v>1 pha</c:v>
                  </c:pt>
                  <c:pt idx="50">
                    <c:v>1 pha</c:v>
                  </c:pt>
                  <c:pt idx="51">
                    <c:v>3 pha</c:v>
                  </c:pt>
                  <c:pt idx="52">
                    <c:v>3 pha</c:v>
                  </c:pt>
                  <c:pt idx="53">
                    <c:v>3 pha</c:v>
                  </c:pt>
                  <c:pt idx="54">
                    <c:v>3 pha</c:v>
                  </c:pt>
                  <c:pt idx="55">
                    <c:v>3 pha</c:v>
                  </c:pt>
                  <c:pt idx="56">
                    <c:v>1 pha</c:v>
                  </c:pt>
                  <c:pt idx="57">
                    <c:v>3 pha</c:v>
                  </c:pt>
                  <c:pt idx="58">
                    <c:v>3 pha</c:v>
                  </c:pt>
                  <c:pt idx="59">
                    <c:v>3 pha</c:v>
                  </c:pt>
                  <c:pt idx="60">
                    <c:v>3 pha</c:v>
                  </c:pt>
                </c:lvl>
                <c:lvl>
                  <c:pt idx="0">
                    <c:v>1478</c:v>
                  </c:pt>
                  <c:pt idx="1">
                    <c:v>90445</c:v>
                  </c:pt>
                  <c:pt idx="2">
                    <c:v>3307</c:v>
                  </c:pt>
                  <c:pt idx="3">
                    <c:v>9094, 4383</c:v>
                  </c:pt>
                  <c:pt idx="4">
                    <c:v>9045</c:v>
                  </c:pt>
                  <c:pt idx="5">
                    <c:v> 3842</c:v>
                  </c:pt>
                  <c:pt idx="6">
                    <c:v>0566</c:v>
                  </c:pt>
                  <c:pt idx="7">
                    <c:v>5125</c:v>
                  </c:pt>
                  <c:pt idx="8">
                    <c:v>0322</c:v>
                  </c:pt>
                  <c:pt idx="9">
                    <c:v>8820</c:v>
                  </c:pt>
                  <c:pt idx="10">
                    <c:v>9838</c:v>
                  </c:pt>
                  <c:pt idx="11">
                    <c:v>1735</c:v>
                  </c:pt>
                  <c:pt idx="12">
                    <c:v>1324</c:v>
                  </c:pt>
                  <c:pt idx="13">
                    <c:v>2184</c:v>
                  </c:pt>
                  <c:pt idx="14">
                    <c:v>3218</c:v>
                  </c:pt>
                  <c:pt idx="15">
                    <c:v>9876</c:v>
                  </c:pt>
                  <c:pt idx="16">
                    <c:v>9903</c:v>
                  </c:pt>
                  <c:pt idx="17">
                    <c:v>6203</c:v>
                  </c:pt>
                  <c:pt idx="18">
                    <c:v>9682</c:v>
                  </c:pt>
                  <c:pt idx="19">
                    <c:v>4881</c:v>
                  </c:pt>
                  <c:pt idx="20">
                    <c:v>2172</c:v>
                  </c:pt>
                  <c:pt idx="21">
                    <c:v>0804</c:v>
                  </c:pt>
                  <c:pt idx="22">
                    <c:v>2526</c:v>
                  </c:pt>
                  <c:pt idx="23">
                    <c:v>4311</c:v>
                  </c:pt>
                  <c:pt idx="24">
                    <c:v>10004862</c:v>
                  </c:pt>
                  <c:pt idx="25">
                    <c:v>4332</c:v>
                  </c:pt>
                  <c:pt idx="26">
                    <c:v>80529</c:v>
                  </c:pt>
                  <c:pt idx="27">
                    <c:v>1793</c:v>
                  </c:pt>
                  <c:pt idx="28">
                    <c:v>5545</c:v>
                  </c:pt>
                  <c:pt idx="29">
                    <c:v>6385</c:v>
                  </c:pt>
                  <c:pt idx="30">
                    <c:v>0931</c:v>
                  </c:pt>
                  <c:pt idx="31">
                    <c:v>1624</c:v>
                  </c:pt>
                  <c:pt idx="32">
                    <c:v>4061</c:v>
                  </c:pt>
                  <c:pt idx="33">
                    <c:v>9504</c:v>
                  </c:pt>
                  <c:pt idx="34">
                    <c:v>1724</c:v>
                  </c:pt>
                  <c:pt idx="35">
                    <c:v>6333</c:v>
                  </c:pt>
                  <c:pt idx="36">
                    <c:v>3833</c:v>
                  </c:pt>
                  <c:pt idx="37">
                    <c:v>2148</c:v>
                  </c:pt>
                  <c:pt idx="38">
                    <c:v>7971</c:v>
                  </c:pt>
                  <c:pt idx="39">
                    <c:v>3543</c:v>
                  </c:pt>
                  <c:pt idx="40">
                    <c:v>9514</c:v>
                  </c:pt>
                  <c:pt idx="41">
                    <c:v>8240</c:v>
                  </c:pt>
                  <c:pt idx="42">
                    <c:v>6085</c:v>
                  </c:pt>
                  <c:pt idx="43">
                    <c:v>4248</c:v>
                  </c:pt>
                  <c:pt idx="44">
                    <c:v>3113</c:v>
                  </c:pt>
                  <c:pt idx="45">
                    <c:v>6460, 1098</c:v>
                  </c:pt>
                  <c:pt idx="46">
                    <c:v>1415</c:v>
                  </c:pt>
                  <c:pt idx="47">
                    <c:v>3927</c:v>
                  </c:pt>
                  <c:pt idx="48">
                    <c:v>2673</c:v>
                  </c:pt>
                  <c:pt idx="49">
                    <c:v>4855</c:v>
                  </c:pt>
                  <c:pt idx="50">
                    <c:v>0651</c:v>
                  </c:pt>
                  <c:pt idx="51">
                    <c:v>5163</c:v>
                  </c:pt>
                  <c:pt idx="52">
                    <c:v>0757</c:v>
                  </c:pt>
                  <c:pt idx="53">
                    <c:v>9357</c:v>
                  </c:pt>
                  <c:pt idx="54">
                    <c:v>9497</c:v>
                  </c:pt>
                  <c:pt idx="55">
                    <c:v>9277</c:v>
                  </c:pt>
                  <c:pt idx="56">
                    <c:v>9310</c:v>
                  </c:pt>
                  <c:pt idx="57">
                    <c:v>40857</c:v>
                  </c:pt>
                  <c:pt idx="58">
                    <c:v>3259</c:v>
                  </c:pt>
                  <c:pt idx="59">
                    <c:v>80030</c:v>
                  </c:pt>
                  <c:pt idx="60">
                    <c:v>1124</c:v>
                  </c:pt>
                </c:lvl>
                <c:lvl>
                  <c:pt idx="0">
                    <c:v>B1</c:v>
                  </c:pt>
                  <c:pt idx="1">
                    <c:v>B1</c:v>
                  </c:pt>
                  <c:pt idx="3">
                    <c:v>B7 BIS</c:v>
                  </c:pt>
                  <c:pt idx="4">
                    <c:v>D2A</c:v>
                  </c:pt>
                  <c:pt idx="5">
                    <c:v>D6</c:v>
                  </c:pt>
                  <c:pt idx="6">
                    <c:v>A17</c:v>
                  </c:pt>
                  <c:pt idx="7">
                    <c:v>A17</c:v>
                  </c:pt>
                  <c:pt idx="8">
                    <c:v>A17</c:v>
                  </c:pt>
                  <c:pt idx="9">
                    <c:v>A17</c:v>
                  </c:pt>
                  <c:pt idx="10">
                    <c:v>A17</c:v>
                  </c:pt>
                  <c:pt idx="11">
                    <c:v>A17</c:v>
                  </c:pt>
                  <c:pt idx="12">
                    <c:v>A17</c:v>
                  </c:pt>
                  <c:pt idx="13">
                    <c:v>TC</c:v>
                  </c:pt>
                  <c:pt idx="14">
                    <c:v>Bể bơi</c:v>
                  </c:pt>
                  <c:pt idx="15">
                    <c:v>D3</c:v>
                  </c:pt>
                  <c:pt idx="16">
                    <c:v>D3</c:v>
                  </c:pt>
                  <c:pt idx="17">
                    <c:v>D5</c:v>
                  </c:pt>
                  <c:pt idx="18">
                    <c:v>D9</c:v>
                  </c:pt>
                  <c:pt idx="19">
                    <c:v>D9</c:v>
                  </c:pt>
                  <c:pt idx="20">
                    <c:v>TVĐT</c:v>
                  </c:pt>
                  <c:pt idx="21">
                    <c:v>TVĐT</c:v>
                  </c:pt>
                  <c:pt idx="22">
                    <c:v>TVĐT</c:v>
                  </c:pt>
                  <c:pt idx="23">
                    <c:v>TVĐT</c:v>
                  </c:pt>
                  <c:pt idx="24">
                    <c:v>TVĐT</c:v>
                  </c:pt>
                  <c:pt idx="25">
                    <c:v>D2D</c:v>
                  </c:pt>
                  <c:pt idx="26">
                    <c:v>TVĐT</c:v>
                  </c:pt>
                  <c:pt idx="27">
                    <c:v>TVĐT</c:v>
                  </c:pt>
                  <c:pt idx="28">
                    <c:v>C9</c:v>
                  </c:pt>
                  <c:pt idx="29">
                    <c:v>C5</c:v>
                  </c:pt>
                  <c:pt idx="30">
                    <c:v>D8</c:v>
                  </c:pt>
                  <c:pt idx="31">
                    <c:v>D8</c:v>
                  </c:pt>
                  <c:pt idx="32">
                    <c:v>Ngõ 17</c:v>
                  </c:pt>
                  <c:pt idx="34">
                    <c:v>TVĐT</c:v>
                  </c:pt>
                  <c:pt idx="35">
                    <c:v>TVĐT</c:v>
                  </c:pt>
                  <c:pt idx="37">
                    <c:v>KTX</c:v>
                  </c:pt>
                  <c:pt idx="38">
                    <c:v>C3B</c:v>
                  </c:pt>
                  <c:pt idx="39">
                    <c:v>TVĐT</c:v>
                  </c:pt>
                  <c:pt idx="40">
                    <c:v>D2C</c:v>
                  </c:pt>
                  <c:pt idx="41">
                    <c:v>D6</c:v>
                  </c:pt>
                  <c:pt idx="42">
                    <c:v>C1B</c:v>
                  </c:pt>
                  <c:pt idx="43">
                    <c:v>C1B</c:v>
                  </c:pt>
                  <c:pt idx="44">
                    <c:v>15 TQB</c:v>
                  </c:pt>
                  <c:pt idx="45">
                    <c:v>F</c:v>
                  </c:pt>
                  <c:pt idx="46">
                    <c:v>C1</c:v>
                  </c:pt>
                  <c:pt idx="47">
                    <c:v>B1</c:v>
                  </c:pt>
                  <c:pt idx="48">
                    <c:v>Ngõ 17</c:v>
                  </c:pt>
                  <c:pt idx="49">
                    <c:v>Ngõ 42</c:v>
                  </c:pt>
                  <c:pt idx="50">
                    <c:v>Bể bơi</c:v>
                  </c:pt>
                  <c:pt idx="51">
                    <c:v>A17</c:v>
                  </c:pt>
                  <c:pt idx="52">
                    <c:v>A17</c:v>
                  </c:pt>
                  <c:pt idx="53">
                    <c:v>A17</c:v>
                  </c:pt>
                  <c:pt idx="54">
                    <c:v>A17</c:v>
                  </c:pt>
                  <c:pt idx="55">
                    <c:v>A17</c:v>
                  </c:pt>
                  <c:pt idx="56">
                    <c:v>A17</c:v>
                  </c:pt>
                  <c:pt idx="57">
                    <c:v>Ngõ 15</c:v>
                  </c:pt>
                  <c:pt idx="58">
                    <c:v>C4B</c:v>
                  </c:pt>
                  <c:pt idx="59">
                    <c:v>11 TQB</c:v>
                  </c:pt>
                  <c:pt idx="60">
                    <c:v>15 TQB</c:v>
                  </c:pt>
                </c:lvl>
                <c:lvl>
                  <c:pt idx="0">
                    <c:v>0977295439</c:v>
                  </c:pt>
                  <c:pt idx="1">
                    <c:v>0948742589</c:v>
                  </c:pt>
                  <c:pt idx="2">
                    <c:v>0975744134</c:v>
                  </c:pt>
                  <c:pt idx="3">
                    <c:v>0982886906</c:v>
                  </c:pt>
                  <c:pt idx="5">
                    <c:v>0819906149</c:v>
                  </c:pt>
                  <c:pt idx="6">
                    <c:v>0915805666</c:v>
                  </c:pt>
                  <c:pt idx="7">
                    <c:v>0915805666</c:v>
                  </c:pt>
                  <c:pt idx="9">
                    <c:v>0834214946</c:v>
                  </c:pt>
                  <c:pt idx="10">
                    <c:v>0976596779</c:v>
                  </c:pt>
                  <c:pt idx="11">
                    <c:v>0936865486</c:v>
                  </c:pt>
                  <c:pt idx="12">
                    <c:v>912212968</c:v>
                  </c:pt>
                  <c:pt idx="13">
                    <c:v>0949318686</c:v>
                  </c:pt>
                  <c:pt idx="14">
                    <c:v>0942567886</c:v>
                  </c:pt>
                  <c:pt idx="15">
                    <c:v>0986675792</c:v>
                  </c:pt>
                  <c:pt idx="16">
                    <c:v>0393953999</c:v>
                  </c:pt>
                  <c:pt idx="17">
                    <c:v>0912372528</c:v>
                  </c:pt>
                  <c:pt idx="18">
                    <c:v>0942373388</c:v>
                  </c:pt>
                  <c:pt idx="19">
                    <c:v>0393245710</c:v>
                  </c:pt>
                  <c:pt idx="20">
                    <c:v>0944838353</c:v>
                  </c:pt>
                  <c:pt idx="21">
                    <c:v>0902171933</c:v>
                  </c:pt>
                  <c:pt idx="22">
                    <c:v>0902171933</c:v>
                  </c:pt>
                  <c:pt idx="23">
                    <c:v>0944838353</c:v>
                  </c:pt>
                  <c:pt idx="24">
                    <c:v>091 4343833</c:v>
                  </c:pt>
                  <c:pt idx="25">
                    <c:v>091 4343833</c:v>
                  </c:pt>
                  <c:pt idx="26">
                    <c:v>0947279988</c:v>
                  </c:pt>
                  <c:pt idx="27">
                    <c:v>0912265004</c:v>
                  </c:pt>
                  <c:pt idx="28">
                    <c:v>0913521321</c:v>
                  </c:pt>
                  <c:pt idx="29">
                    <c:v>0913521321</c:v>
                  </c:pt>
                  <c:pt idx="30">
                    <c:v>0379997777</c:v>
                  </c:pt>
                  <c:pt idx="31">
                    <c:v>0379997777</c:v>
                  </c:pt>
                  <c:pt idx="32">
                    <c:v>0915678432</c:v>
                  </c:pt>
                  <c:pt idx="33">
                    <c:v>0976636216</c:v>
                  </c:pt>
                  <c:pt idx="34">
                    <c:v>0988355343</c:v>
                  </c:pt>
                  <c:pt idx="35">
                    <c:v>0988355343</c:v>
                  </c:pt>
                  <c:pt idx="36">
                    <c:v>0912772168</c:v>
                  </c:pt>
                  <c:pt idx="37">
                    <c:v>0912998468</c:v>
                  </c:pt>
                  <c:pt idx="38">
                    <c:v>0987439889</c:v>
                  </c:pt>
                  <c:pt idx="39">
                    <c:v>0987439889</c:v>
                  </c:pt>
                  <c:pt idx="40">
                    <c:v>0987439889</c:v>
                  </c:pt>
                  <c:pt idx="41">
                    <c:v>0987439889</c:v>
                  </c:pt>
                  <c:pt idx="42">
                    <c:v>0986329918</c:v>
                  </c:pt>
                  <c:pt idx="43">
                    <c:v>0986329918</c:v>
                  </c:pt>
                  <c:pt idx="44">
                    <c:v>0978817568</c:v>
                  </c:pt>
                  <c:pt idx="45">
                    <c:v>0978817568</c:v>
                  </c:pt>
                  <c:pt idx="46">
                    <c:v>0978817568</c:v>
                  </c:pt>
                  <c:pt idx="47">
                    <c:v>0978817568</c:v>
                  </c:pt>
                  <c:pt idx="48">
                    <c:v>0978817568</c:v>
                  </c:pt>
                  <c:pt idx="49">
                    <c:v>0978817568</c:v>
                  </c:pt>
                  <c:pt idx="50">
                    <c:v>0978817568</c:v>
                  </c:pt>
                  <c:pt idx="51">
                    <c:v>0906123357</c:v>
                  </c:pt>
                  <c:pt idx="52">
                    <c:v>0906123357</c:v>
                  </c:pt>
                  <c:pt idx="53">
                    <c:v>0906123357</c:v>
                  </c:pt>
                  <c:pt idx="54">
                    <c:v>0973253788</c:v>
                  </c:pt>
                  <c:pt idx="55">
                    <c:v>0973253788</c:v>
                  </c:pt>
                  <c:pt idx="56">
                    <c:v>0906123357</c:v>
                  </c:pt>
                  <c:pt idx="57">
                    <c:v>0345890588</c:v>
                  </c:pt>
                  <c:pt idx="58">
                    <c:v>0904173826</c:v>
                  </c:pt>
                  <c:pt idx="59">
                    <c:v>0904173826</c:v>
                  </c:pt>
                  <c:pt idx="60">
                    <c:v>0904173826</c:v>
                  </c:pt>
                </c:lvl>
                <c:lvl>
                  <c:pt idx="0">
                    <c:v>Lương Thị Minh Ngoc</c:v>
                  </c:pt>
                  <c:pt idx="1">
                    <c:v>Trịnh Thị My</c:v>
                  </c:pt>
                  <c:pt idx="2">
                    <c:v>A Quang</c:v>
                  </c:pt>
                  <c:pt idx="3">
                    <c:v>Lê Thị Thanh Tâm</c:v>
                  </c:pt>
                  <c:pt idx="5">
                    <c:v>Tạ Thanh Hằng</c:v>
                  </c:pt>
                  <c:pt idx="6">
                    <c:v>Hoàng Tuấn Bằng</c:v>
                  </c:pt>
                  <c:pt idx="7">
                    <c:v>Hoàng Tuấn Bằng</c:v>
                  </c:pt>
                  <c:pt idx="8">
                    <c:v>Chị Liễu</c:v>
                  </c:pt>
                  <c:pt idx="9">
                    <c:v>Ngọc</c:v>
                  </c:pt>
                  <c:pt idx="10">
                    <c:v>Đỗ Đ.Tâm (Q.Anh) </c:v>
                  </c:pt>
                  <c:pt idx="11">
                    <c:v>Anh Sơn</c:v>
                  </c:pt>
                  <c:pt idx="12">
                    <c:v>Nguyễn Thái Bình</c:v>
                  </c:pt>
                  <c:pt idx="13">
                    <c:v>Hoàng thị Thanh Duyên</c:v>
                  </c:pt>
                  <c:pt idx="14">
                    <c:v>Duy Anh (Thu D8)</c:v>
                  </c:pt>
                  <c:pt idx="15">
                    <c:v>Nguyễn Thu Trang</c:v>
                  </c:pt>
                  <c:pt idx="16">
                    <c:v>Anh Tuấn</c:v>
                  </c:pt>
                  <c:pt idx="17">
                    <c:v>Ông Nam</c:v>
                  </c:pt>
                  <c:pt idx="18">
                    <c:v>Nguyễn Thị Phượng</c:v>
                  </c:pt>
                  <c:pt idx="19">
                    <c:v>Võ Thị Tĩnh</c:v>
                  </c:pt>
                  <c:pt idx="20">
                    <c:v>Chị Quyên</c:v>
                  </c:pt>
                  <c:pt idx="21">
                    <c:v>A Lâm</c:v>
                  </c:pt>
                  <c:pt idx="22">
                    <c:v>A Lâm</c:v>
                  </c:pt>
                  <c:pt idx="23">
                    <c:v>Chị Quyên</c:v>
                  </c:pt>
                  <c:pt idx="24">
                    <c:v>C Hòa</c:v>
                  </c:pt>
                  <c:pt idx="25">
                    <c:v>C Hòa</c:v>
                  </c:pt>
                  <c:pt idx="26">
                    <c:v>A Sơn</c:v>
                  </c:pt>
                  <c:pt idx="27">
                    <c:v>Lê Huy Cường</c:v>
                  </c:pt>
                  <c:pt idx="28">
                    <c:v>Nguyễn Thu Lương</c:v>
                  </c:pt>
                  <c:pt idx="29">
                    <c:v>Nguyễn Thu Lương</c:v>
                  </c:pt>
                  <c:pt idx="30">
                    <c:v>A Hưng</c:v>
                  </c:pt>
                  <c:pt idx="31">
                    <c:v>A Hưng</c:v>
                  </c:pt>
                  <c:pt idx="32">
                    <c:v>Lê Thị Hạnh</c:v>
                  </c:pt>
                  <c:pt idx="33">
                    <c:v>C Khánh</c:v>
                  </c:pt>
                  <c:pt idx="34">
                    <c:v>Nguyễn Tiến Dũng</c:v>
                  </c:pt>
                  <c:pt idx="35">
                    <c:v>Nguyễn Tiến Dũng</c:v>
                  </c:pt>
                  <c:pt idx="36">
                    <c:v>Trương Hữu Ninh</c:v>
                  </c:pt>
                  <c:pt idx="37">
                    <c:v>Phạm Đắc Huấn</c:v>
                  </c:pt>
                  <c:pt idx="38">
                    <c:v>Vũ Hiền Phương</c:v>
                  </c:pt>
                  <c:pt idx="39">
                    <c:v>Vũ Hiền Phương</c:v>
                  </c:pt>
                  <c:pt idx="40">
                    <c:v>Vũ Hiền Phương</c:v>
                  </c:pt>
                  <c:pt idx="41">
                    <c:v>Vũ Hiền Phương</c:v>
                  </c:pt>
                  <c:pt idx="42">
                    <c:v>Nguyễn Quang Địch</c:v>
                  </c:pt>
                  <c:pt idx="43">
                    <c:v>Nguyễn Quang Địch</c:v>
                  </c:pt>
                  <c:pt idx="44">
                    <c:v>Trần Thị Thu</c:v>
                  </c:pt>
                  <c:pt idx="45">
                    <c:v>Trần Thị Thu</c:v>
                  </c:pt>
                  <c:pt idx="46">
                    <c:v>Trần Thị Thu</c:v>
                  </c:pt>
                  <c:pt idx="47">
                    <c:v>Trần Thị Thu</c:v>
                  </c:pt>
                  <c:pt idx="48">
                    <c:v>Trần Thị Thu</c:v>
                  </c:pt>
                  <c:pt idx="49">
                    <c:v>Trần Thị Thu</c:v>
                  </c:pt>
                  <c:pt idx="50">
                    <c:v>Trần Thị Thu</c:v>
                  </c:pt>
                  <c:pt idx="51">
                    <c:v>BK Holdings</c:v>
                  </c:pt>
                  <c:pt idx="52">
                    <c:v>BK Holdings</c:v>
                  </c:pt>
                  <c:pt idx="53">
                    <c:v>BK Holdings</c:v>
                  </c:pt>
                  <c:pt idx="54">
                    <c:v>Nguyễn Ngọc Tuấn</c:v>
                  </c:pt>
                  <c:pt idx="55">
                    <c:v>Nguyễn Ngọc Tuấn</c:v>
                  </c:pt>
                  <c:pt idx="56">
                    <c:v>BK Holdings</c:v>
                  </c:pt>
                  <c:pt idx="57">
                    <c:v>C Hằng</c:v>
                  </c:pt>
                  <c:pt idx="58">
                    <c:v>Nguyễn Khắc Kiểm</c:v>
                  </c:pt>
                  <c:pt idx="59">
                    <c:v>Nguyễn Khắc Kiểm</c:v>
                  </c:pt>
                  <c:pt idx="60">
                    <c:v>Nguyễn Khắc Kiểm</c:v>
                  </c:pt>
                </c:lvl>
                <c:lvl>
                  <c:pt idx="0">
                    <c:v>0243.7379150</c:v>
                  </c:pt>
                  <c:pt idx="1">
                    <c:v>0988051418</c:v>
                  </c:pt>
                  <c:pt idx="3">
                    <c:v>38694323</c:v>
                  </c:pt>
                  <c:pt idx="6">
                    <c:v>38684569</c:v>
                  </c:pt>
                  <c:pt idx="7">
                    <c:v>36230568</c:v>
                  </c:pt>
                  <c:pt idx="8">
                    <c:v>38684569</c:v>
                  </c:pt>
                  <c:pt idx="9">
                    <c:v>0834214946</c:v>
                  </c:pt>
                  <c:pt idx="12">
                    <c:v>912212968</c:v>
                  </c:pt>
                  <c:pt idx="15">
                    <c:v>0359933033</c:v>
                  </c:pt>
                  <c:pt idx="16">
                    <c:v>38694529</c:v>
                  </c:pt>
                  <c:pt idx="17">
                    <c:v>38692116</c:v>
                  </c:pt>
                  <c:pt idx="30">
                    <c:v>38693782</c:v>
                  </c:pt>
                  <c:pt idx="31">
                    <c:v>38693782</c:v>
                  </c:pt>
                  <c:pt idx="32">
                    <c:v>36230351</c:v>
                  </c:pt>
                  <c:pt idx="34">
                    <c:v>38693782</c:v>
                  </c:pt>
                  <c:pt idx="35">
                    <c:v>38693782</c:v>
                  </c:pt>
                  <c:pt idx="37">
                    <c:v>38692942</c:v>
                  </c:pt>
                  <c:pt idx="39">
                    <c:v>36231722</c:v>
                  </c:pt>
                  <c:pt idx="40">
                    <c:v>38682179</c:v>
                  </c:pt>
                  <c:pt idx="41">
                    <c:v>36231722</c:v>
                  </c:pt>
                  <c:pt idx="42">
                    <c:v>38683518</c:v>
                  </c:pt>
                  <c:pt idx="43">
                    <c:v>38683518</c:v>
                  </c:pt>
                  <c:pt idx="51">
                    <c:v>02436230870</c:v>
                  </c:pt>
                  <c:pt idx="52">
                    <c:v>02436230870</c:v>
                  </c:pt>
                  <c:pt idx="53">
                    <c:v>02436230870</c:v>
                  </c:pt>
                  <c:pt idx="54">
                    <c:v>36230870</c:v>
                  </c:pt>
                  <c:pt idx="55">
                    <c:v>36230870</c:v>
                  </c:pt>
                  <c:pt idx="56">
                    <c:v>38683713</c:v>
                  </c:pt>
                  <c:pt idx="57">
                    <c:v>38682778</c:v>
                  </c:pt>
                  <c:pt idx="58">
                    <c:v>38682917</c:v>
                  </c:pt>
                  <c:pt idx="59">
                    <c:v>38682917</c:v>
                  </c:pt>
                  <c:pt idx="60">
                    <c:v>38682917</c:v>
                  </c:pt>
                </c:lvl>
                <c:lvl>
                  <c:pt idx="0">
                    <c:v>Tầng 11 nhà B1</c:v>
                  </c:pt>
                  <c:pt idx="1">
                    <c:v>Cửa hàng Highlands B1-TĐN</c:v>
                  </c:pt>
                  <c:pt idx="2">
                    <c:v>Nhà sách B1- TĐN</c:v>
                  </c:pt>
                  <c:pt idx="3">
                    <c:v>B7 BIS phố TĐN</c:v>
                  </c:pt>
                  <c:pt idx="4">
                    <c:v>Tầng 3 - D2A</c:v>
                  </c:pt>
                  <c:pt idx="5">
                    <c:v>Nhà D6 </c:v>
                  </c:pt>
                  <c:pt idx="6">
                    <c:v>Lô 2,3,4 tầng 1-A17</c:v>
                  </c:pt>
                  <c:pt idx="7">
                    <c:v>Lô 1, tầng 1- A17 </c:v>
                  </c:pt>
                  <c:pt idx="8">
                    <c:v>Nhà E</c:v>
                  </c:pt>
                  <c:pt idx="9">
                    <c:v>Lô 12, tầng 1- A17</c:v>
                  </c:pt>
                  <c:pt idx="10">
                    <c:v>Lô 11, tầng 1- A17</c:v>
                  </c:pt>
                  <c:pt idx="11">
                    <c:v>Lô 10, tầng 1-A17 </c:v>
                  </c:pt>
                  <c:pt idx="12">
                    <c:v>Lô 9, tầng 1 A17</c:v>
                  </c:pt>
                  <c:pt idx="13">
                    <c:v> Cầu thang TC</c:v>
                  </c:pt>
                  <c:pt idx="14">
                    <c:v>Cổng Bể bơi</c:v>
                  </c:pt>
                  <c:pt idx="15">
                    <c:v>Tầng 1 - D3</c:v>
                  </c:pt>
                  <c:pt idx="16">
                    <c:v>Tầng 1 - D3</c:v>
                  </c:pt>
                  <c:pt idx="17">
                    <c:v>Tầng 1 - D5</c:v>
                  </c:pt>
                  <c:pt idx="18">
                    <c:v>Tầng 1 - D9</c:v>
                  </c:pt>
                  <c:pt idx="19">
                    <c:v>Tầng 1 - D9</c:v>
                  </c:pt>
                  <c:pt idx="20">
                    <c:v>111A</c:v>
                  </c:pt>
                  <c:pt idx="21">
                    <c:v>227 TV TQB</c:v>
                  </c:pt>
                  <c:pt idx="22">
                    <c:v>Tầng 6 TV TQB</c:v>
                  </c:pt>
                  <c:pt idx="23">
                    <c:v>411, 526 TV TQB</c:v>
                  </c:pt>
                  <c:pt idx="24">
                    <c:v>TV 609</c:v>
                  </c:pt>
                  <c:pt idx="25">
                    <c:v>D2D tầng 1</c:v>
                  </c:pt>
                  <c:pt idx="26">
                    <c:v>TV 618</c:v>
                  </c:pt>
                  <c:pt idx="27">
                    <c:v>915 TVĐT</c:v>
                  </c:pt>
                  <c:pt idx="28">
                    <c:v>C9 </c:v>
                  </c:pt>
                  <c:pt idx="29">
                    <c:v>C5</c:v>
                  </c:pt>
                  <c:pt idx="30">
                    <c:v>D8 Tầng 6</c:v>
                  </c:pt>
                  <c:pt idx="31">
                    <c:v>D8 Tầng 11</c:v>
                  </c:pt>
                  <c:pt idx="32">
                    <c:v>Số 1 - Ngõ 17 TQB</c:v>
                  </c:pt>
                  <c:pt idx="33">
                    <c:v>C10B</c:v>
                  </c:pt>
                  <c:pt idx="34">
                    <c:v>TV TQB</c:v>
                  </c:pt>
                  <c:pt idx="35">
                    <c:v>TV TQB</c:v>
                  </c:pt>
                  <c:pt idx="36">
                    <c:v>Số 5 TQB</c:v>
                  </c:pt>
                  <c:pt idx="37">
                    <c:v>KTX</c:v>
                  </c:pt>
                  <c:pt idx="38">
                    <c:v>C3B</c:v>
                  </c:pt>
                  <c:pt idx="39">
                    <c:v>Phòng 228-Thư viện TQB</c:v>
                  </c:pt>
                  <c:pt idx="40">
                    <c:v>D2C</c:v>
                  </c:pt>
                  <c:pt idx="41">
                    <c:v>Phòng 201,202- D6</c:v>
                  </c:pt>
                  <c:pt idx="42">
                    <c:v>C1B tầng 2</c:v>
                  </c:pt>
                  <c:pt idx="43">
                    <c:v>C1B tầng 3</c:v>
                  </c:pt>
                  <c:pt idx="44">
                    <c:v>Trông xe ô tô ngõ 15 TQB</c:v>
                  </c:pt>
                  <c:pt idx="45">
                    <c:v>Trông xe ô tô nhà F </c:v>
                  </c:pt>
                  <c:pt idx="46">
                    <c:v>Trông xe ô tô C1</c:v>
                  </c:pt>
                  <c:pt idx="47">
                    <c:v>Trông xe ô tô B1</c:v>
                  </c:pt>
                  <c:pt idx="48">
                    <c:v>Trông xe ô tô nhà khách</c:v>
                  </c:pt>
                  <c:pt idx="49">
                    <c:v>Trông xe ô tô ngõ 42</c:v>
                  </c:pt>
                  <c:pt idx="50">
                    <c:v>Cổng Bảo vệ - Bể bơi BK</c:v>
                  </c:pt>
                  <c:pt idx="51">
                    <c:v>Tầng 2 ĐN2 - A17 TQB</c:v>
                  </c:pt>
                  <c:pt idx="52">
                    <c:v>Tầng 2 ĐN 2 - A17</c:v>
                  </c:pt>
                  <c:pt idx="53">
                    <c:v>Tầng 3 ĐN2 -  A17</c:v>
                  </c:pt>
                  <c:pt idx="54">
                    <c:v>Tầng 5 ĐN2 - A17</c:v>
                  </c:pt>
                  <c:pt idx="55">
                    <c:v>Tầng 2 ĐN1- A17</c:v>
                  </c:pt>
                  <c:pt idx="56">
                    <c:v>Tầng 3 ĐN1 -  A17</c:v>
                  </c:pt>
                  <c:pt idx="57">
                    <c:v>Số 7 ngõ 15 - TQB </c:v>
                  </c:pt>
                  <c:pt idx="58">
                    <c:v>C4B</c:v>
                  </c:pt>
                  <c:pt idx="59">
                    <c:v>11 TQB</c:v>
                  </c:pt>
                  <c:pt idx="60">
                    <c:v>15 TQB</c:v>
                  </c:pt>
                </c:lvl>
                <c:lvl>
                  <c:pt idx="0">
                    <c:v>Công ty CP Công nghệ cao GENE Việt</c:v>
                  </c:pt>
                  <c:pt idx="1">
                    <c:v>Công ty CP dịch vụ và cà phê Cao Nguyên</c:v>
                  </c:pt>
                  <c:pt idx="3">
                    <c:v>Trường ĐH KHXH và NV</c:v>
                  </c:pt>
                  <c:pt idx="4">
                    <c:v> Nhà ăn T3-D2A</c:v>
                  </c:pt>
                  <c:pt idx="5">
                    <c:v>HĐKT</c:v>
                  </c:pt>
                  <c:pt idx="6">
                    <c:v>Nhà xuất bản BK </c:v>
                  </c:pt>
                  <c:pt idx="7">
                    <c:v>Nhà xuất bản BK </c:v>
                  </c:pt>
                  <c:pt idx="8">
                    <c:v>Nhà xuất bản BK </c:v>
                  </c:pt>
                  <c:pt idx="9">
                    <c:v>Bưu điện BK</c:v>
                  </c:pt>
                  <c:pt idx="10">
                    <c:v>HĐKT</c:v>
                  </c:pt>
                  <c:pt idx="11">
                    <c:v>HĐKT</c:v>
                  </c:pt>
                  <c:pt idx="12">
                    <c:v>HĐKT</c:v>
                  </c:pt>
                  <c:pt idx="13">
                    <c:v>HĐKT</c:v>
                  </c:pt>
                  <c:pt idx="14">
                    <c:v>HĐKT</c:v>
                  </c:pt>
                  <c:pt idx="15">
                    <c:v>HĐKT</c:v>
                  </c:pt>
                  <c:pt idx="16">
                    <c:v>HĐKT</c:v>
                  </c:pt>
                  <c:pt idx="17">
                    <c:v>HĐKT</c:v>
                  </c:pt>
                  <c:pt idx="18">
                    <c:v>HĐKT</c:v>
                  </c:pt>
                  <c:pt idx="19">
                    <c:v>HĐKT</c:v>
                  </c:pt>
                  <c:pt idx="27">
                    <c:v>TT tâm chuyển đổi số</c:v>
                  </c:pt>
                  <c:pt idx="28">
                    <c:v>HĐKT</c:v>
                  </c:pt>
                  <c:pt idx="29">
                    <c:v>HĐKT</c:v>
                  </c:pt>
                  <c:pt idx="30">
                    <c:v>Viện NCCN không gian và dưới nước</c:v>
                  </c:pt>
                  <c:pt idx="31">
                    <c:v>Viện NCCN không gian và dưới nước</c:v>
                  </c:pt>
                  <c:pt idx="32">
                    <c:v>HĐKT</c:v>
                  </c:pt>
                  <c:pt idx="33">
                    <c:v>HĐKT</c:v>
                  </c:pt>
                  <c:pt idx="34">
                    <c:v>TT Đào tạo liên tục</c:v>
                  </c:pt>
                  <c:pt idx="35">
                    <c:v>TT Đào tạo liên tục</c:v>
                  </c:pt>
                  <c:pt idx="36">
                    <c:v>TT Y tế</c:v>
                  </c:pt>
                  <c:pt idx="38">
                    <c:v>TT Ngôn ngữ và trao đổi học thuật</c:v>
                  </c:pt>
                  <c:pt idx="39">
                    <c:v>TT Ngôn ngữ và trao đổi học thuật</c:v>
                  </c:pt>
                  <c:pt idx="40">
                    <c:v>TT Ngôn ngữ và trao đổi học thuật</c:v>
                  </c:pt>
                  <c:pt idx="41">
                    <c:v>TT Ngôn ngữ và trao đổi học thuật</c:v>
                  </c:pt>
                  <c:pt idx="42">
                    <c:v>Viện Kỹ thuật ĐK &amp; TĐH</c:v>
                  </c:pt>
                  <c:pt idx="43">
                    <c:v>Viện Kỹ thuật ĐK &amp; TĐH</c:v>
                  </c:pt>
                  <c:pt idx="44">
                    <c:v>TTDV và HT BK</c:v>
                  </c:pt>
                  <c:pt idx="45">
                    <c:v>TTDV và HT BK</c:v>
                  </c:pt>
                  <c:pt idx="46">
                    <c:v>TTDV và HT BK</c:v>
                  </c:pt>
                  <c:pt idx="47">
                    <c:v>TTDV và HT BK</c:v>
                  </c:pt>
                  <c:pt idx="48">
                    <c:v>TTDV và HT BK</c:v>
                  </c:pt>
                  <c:pt idx="49">
                    <c:v>TTDV và HT BK</c:v>
                  </c:pt>
                  <c:pt idx="50">
                    <c:v>TTDV và HT BK</c:v>
                  </c:pt>
                  <c:pt idx="51">
                    <c:v>BK Holding</c:v>
                  </c:pt>
                  <c:pt idx="52">
                    <c:v>BK Holding</c:v>
                  </c:pt>
                  <c:pt idx="53">
                    <c:v>BK Holding</c:v>
                  </c:pt>
                  <c:pt idx="54">
                    <c:v>Nguyễn Ngọc Tuấn</c:v>
                  </c:pt>
                  <c:pt idx="55">
                    <c:v>Nguyễn Ngọc Tuấn</c:v>
                  </c:pt>
                  <c:pt idx="56">
                    <c:v>BK Holding</c:v>
                  </c:pt>
                  <c:pt idx="57">
                    <c:v>BK Holding</c:v>
                  </c:pt>
                  <c:pt idx="58">
                    <c:v>BK Holding</c:v>
                  </c:pt>
                  <c:pt idx="59">
                    <c:v>BK Holding</c:v>
                  </c:pt>
                  <c:pt idx="60">
                    <c:v>BK Holding</c:v>
                  </c:pt>
                </c:lvl>
                <c:lvl>
                  <c:pt idx="0">
                    <c:v>Công ty CP Công nghệ cao GENE Việt</c:v>
                  </c:pt>
                  <c:pt idx="1">
                    <c:v>Cửa hàng Highlands BK</c:v>
                  </c:pt>
                  <c:pt idx="2">
                    <c:v>Nhà sách ADC Trần Đại Nghĩa</c:v>
                  </c:pt>
                  <c:pt idx="3">
                    <c:v>Khoa Việt Nam học và Tiếng việt (t thụ)</c:v>
                  </c:pt>
                  <c:pt idx="4">
                    <c:v>Nhà ăn T3-D2A</c:v>
                  </c:pt>
                  <c:pt idx="5">
                    <c:v>Tạ Thanh Hằng - Photocopy</c:v>
                  </c:pt>
                  <c:pt idx="6">
                    <c:v>Nhà sách BK </c:v>
                  </c:pt>
                  <c:pt idx="7">
                    <c:v>Nhà sách BK </c:v>
                  </c:pt>
                  <c:pt idx="8">
                    <c:v>Nhà xuất bản BK </c:v>
                  </c:pt>
                  <c:pt idx="9">
                    <c:v>Bưu điện BK</c:v>
                  </c:pt>
                  <c:pt idx="10">
                    <c:v>Siêu thị MINI BK</c:v>
                  </c:pt>
                  <c:pt idx="11">
                    <c:v>Bún cá Anh Sơn</c:v>
                  </c:pt>
                  <c:pt idx="12">
                    <c:v>Kiot hàng ăn - A Bình A17</c:v>
                  </c:pt>
                  <c:pt idx="13">
                    <c:v>Chị Duyên - photocopy </c:v>
                  </c:pt>
                  <c:pt idx="14">
                    <c:v>Duy Anh - photocopy</c:v>
                  </c:pt>
                  <c:pt idx="15">
                    <c:v>Nguyễn Thu Trang -Photocopy</c:v>
                  </c:pt>
                  <c:pt idx="16">
                    <c:v>Công ty TNHH Thương mại HTP Photocopy</c:v>
                  </c:pt>
                  <c:pt idx="17">
                    <c:v>Ông Nam - Photocopy</c:v>
                  </c:pt>
                  <c:pt idx="18">
                    <c:v>Chị Phượng -Photocopy</c:v>
                  </c:pt>
                  <c:pt idx="19">
                    <c:v>Chị Tình -Photocopy </c:v>
                  </c:pt>
                  <c:pt idx="20">
                    <c:v>ĐH phòng đọc Thư viện TQB</c:v>
                  </c:pt>
                  <c:pt idx="21">
                    <c:v>TT kỹ thuật số Pháp ngữ CNF (AUF)</c:v>
                  </c:pt>
                  <c:pt idx="22">
                    <c:v>TT kỹ thuật số Pháp ngữ CNF (AUF)</c:v>
                  </c:pt>
                  <c:pt idx="23">
                    <c:v>ĐH phòng đọc Thư viện TQB</c:v>
                  </c:pt>
                  <c:pt idx="24">
                    <c:v>Viện CN và KT số</c:v>
                  </c:pt>
                  <c:pt idx="25">
                    <c:v>Viện CN và KT số (MB)</c:v>
                  </c:pt>
                  <c:pt idx="26">
                    <c:v>Viện NC và ứng dụng TTNT</c:v>
                  </c:pt>
                  <c:pt idx="27">
                    <c:v>ELEARNING CENTER</c:v>
                  </c:pt>
                  <c:pt idx="28">
                    <c:v>Quán tròn C9</c:v>
                  </c:pt>
                  <c:pt idx="29">
                    <c:v>Quán tròn C5 </c:v>
                  </c:pt>
                  <c:pt idx="30">
                    <c:v>Viện NCCN không gian và dưới nước</c:v>
                  </c:pt>
                  <c:pt idx="31">
                    <c:v>Viện NCCN không gian và dưới nước</c:v>
                  </c:pt>
                  <c:pt idx="32">
                    <c:v>Văn phòng GIZ </c:v>
                  </c:pt>
                  <c:pt idx="33">
                    <c:v>Quán tròn C10B</c:v>
                  </c:pt>
                  <c:pt idx="34">
                    <c:v>TT Đào tạo liên tục - phòng máy TV (D)</c:v>
                  </c:pt>
                  <c:pt idx="35">
                    <c:v>TT Đào tạo liên tục - phòng máy TV ( C)</c:v>
                  </c:pt>
                  <c:pt idx="36">
                    <c:v>Trung tâm y tế (t thụ)</c:v>
                  </c:pt>
                  <c:pt idx="37">
                    <c:v>Trung tâm KTX  (t thụ)</c:v>
                  </c:pt>
                  <c:pt idx="38">
                    <c:v>Trung tâm Ngôn ngữ và trao đổi học thuật C3B</c:v>
                  </c:pt>
                  <c:pt idx="39">
                    <c:v>Trung tâm Ngôn ngữ và trao đổi học thuật TVĐT</c:v>
                  </c:pt>
                  <c:pt idx="40">
                    <c:v>Trung tâm Ngôn ngữ và trao đổi học thuật D2C</c:v>
                  </c:pt>
                  <c:pt idx="41">
                    <c:v>Trung tâm Ngôn ngữ và trao đổi học thuật D6-Đèn quạt</c:v>
                  </c:pt>
                  <c:pt idx="42">
                    <c:v>Viện Kỹ thuật ĐK &amp; TĐH T2 (c tơ 2 chiều)</c:v>
                  </c:pt>
                  <c:pt idx="43">
                    <c:v>Viện Kỹ thuật ĐK &amp; TĐH T3</c:v>
                  </c:pt>
                  <c:pt idx="44">
                    <c:v>TT Dịch vụ và hỗ trợ BK.1/15</c:v>
                  </c:pt>
                  <c:pt idx="45">
                    <c:v>TT Dịch vụ và hỗ trợ BK.F (t thụ)</c:v>
                  </c:pt>
                  <c:pt idx="46">
                    <c:v>TT Dịch vụ và hỗ trợ BK.C1 (t thụ)</c:v>
                  </c:pt>
                  <c:pt idx="47">
                    <c:v>TT Dịch vụ và hỗ trợ BK.B1</c:v>
                  </c:pt>
                  <c:pt idx="48">
                    <c:v>TT Dịch vụ và hỗ trợ BK.17</c:v>
                  </c:pt>
                  <c:pt idx="49">
                    <c:v>TT Dịch vụ và hỗ trợ BK42</c:v>
                  </c:pt>
                  <c:pt idx="50">
                    <c:v>TT Dịch vụ và hỗ trợ BK.BB</c:v>
                  </c:pt>
                  <c:pt idx="51">
                    <c:v>BK Holdings</c:v>
                  </c:pt>
                  <c:pt idx="52">
                    <c:v>BK Holdings</c:v>
                  </c:pt>
                  <c:pt idx="53">
                    <c:v>BK Holdings</c:v>
                  </c:pt>
                  <c:pt idx="54">
                    <c:v>Cty CPĐT triển khai Dịch vụ CNTT &amp; VT BK HN</c:v>
                  </c:pt>
                  <c:pt idx="55">
                    <c:v>Cty CPĐT triển khai Dịch vụ CNTT &amp; VT BK HN</c:v>
                  </c:pt>
                  <c:pt idx="56">
                    <c:v>BK Holdings</c:v>
                  </c:pt>
                  <c:pt idx="57">
                    <c:v>Công ty CP công nghệ vật liệu và thiết bị Bách Khoa HN</c:v>
                  </c:pt>
                  <c:pt idx="58">
                    <c:v>Trường Cao Đẳng nghề BK -C4B</c:v>
                  </c:pt>
                  <c:pt idx="59">
                    <c:v>Trường Cao Đẳng nghề BK- 11 TQB</c:v>
                  </c:pt>
                  <c:pt idx="60">
                    <c:v>Trường Cao Đẳng nghề BK - VP trường cũ</c:v>
                  </c:pt>
                </c:lvl>
              </c:multiLvlStrCache>
            </c:multiLvlStrRef>
          </c:cat>
          <c:val>
            <c:numRef>
              <c:f>'Bảng kê'!$P$20:$P$80</c:f>
              <c:numCache>
                <c:formatCode>#,##0</c:formatCode>
                <c:ptCount val="61"/>
                <c:pt idx="0">
                  <c:v>298845</c:v>
                </c:pt>
                <c:pt idx="1">
                  <c:v>461613</c:v>
                </c:pt>
                <c:pt idx="2">
                  <c:v>64127</c:v>
                </c:pt>
                <c:pt idx="3">
                  <c:v>0</c:v>
                </c:pt>
                <c:pt idx="4">
                  <c:v>193672</c:v>
                </c:pt>
                <c:pt idx="5">
                  <c:v>44583</c:v>
                </c:pt>
                <c:pt idx="6">
                  <c:v>316439</c:v>
                </c:pt>
                <c:pt idx="7">
                  <c:v>33002</c:v>
                </c:pt>
                <c:pt idx="8">
                  <c:v>143174</c:v>
                </c:pt>
                <c:pt idx="9">
                  <c:v>89562</c:v>
                </c:pt>
                <c:pt idx="10">
                  <c:v>122675</c:v>
                </c:pt>
                <c:pt idx="11">
                  <c:v>157022</c:v>
                </c:pt>
                <c:pt idx="12">
                  <c:v>111552</c:v>
                </c:pt>
                <c:pt idx="13">
                  <c:v>32347</c:v>
                </c:pt>
                <c:pt idx="14">
                  <c:v>16026</c:v>
                </c:pt>
                <c:pt idx="15">
                  <c:v>59995</c:v>
                </c:pt>
                <c:pt idx="16">
                  <c:v>19811</c:v>
                </c:pt>
                <c:pt idx="17">
                  <c:v>16902</c:v>
                </c:pt>
                <c:pt idx="18">
                  <c:v>172</c:v>
                </c:pt>
                <c:pt idx="19">
                  <c:v>67058</c:v>
                </c:pt>
                <c:pt idx="20">
                  <c:v>53260</c:v>
                </c:pt>
                <c:pt idx="21">
                  <c:v>7991</c:v>
                </c:pt>
                <c:pt idx="22">
                  <c:v>27822</c:v>
                </c:pt>
                <c:pt idx="23">
                  <c:v>6577</c:v>
                </c:pt>
                <c:pt idx="24">
                  <c:v>20899</c:v>
                </c:pt>
                <c:pt idx="25">
                  <c:v>9107</c:v>
                </c:pt>
                <c:pt idx="26">
                  <c:v>10707</c:v>
                </c:pt>
                <c:pt idx="27">
                  <c:v>163403</c:v>
                </c:pt>
                <c:pt idx="28">
                  <c:v>60132</c:v>
                </c:pt>
                <c:pt idx="29">
                  <c:v>35314</c:v>
                </c:pt>
                <c:pt idx="30">
                  <c:v>129328</c:v>
                </c:pt>
                <c:pt idx="31">
                  <c:v>15742</c:v>
                </c:pt>
                <c:pt idx="32">
                  <c:v>41397</c:v>
                </c:pt>
                <c:pt idx="33">
                  <c:v>37728</c:v>
                </c:pt>
                <c:pt idx="34">
                  <c:v>46144</c:v>
                </c:pt>
                <c:pt idx="35">
                  <c:v>66378</c:v>
                </c:pt>
                <c:pt idx="36">
                  <c:v>0</c:v>
                </c:pt>
                <c:pt idx="37">
                  <c:v>0</c:v>
                </c:pt>
                <c:pt idx="38">
                  <c:v>6601</c:v>
                </c:pt>
                <c:pt idx="39">
                  <c:v>112317</c:v>
                </c:pt>
                <c:pt idx="40">
                  <c:v>148596</c:v>
                </c:pt>
                <c:pt idx="41">
                  <c:v>9601</c:v>
                </c:pt>
                <c:pt idx="42">
                  <c:v>27595</c:v>
                </c:pt>
                <c:pt idx="43">
                  <c:v>124507</c:v>
                </c:pt>
                <c:pt idx="44">
                  <c:v>14308</c:v>
                </c:pt>
                <c:pt idx="45">
                  <c:v>0</c:v>
                </c:pt>
                <c:pt idx="46">
                  <c:v>0</c:v>
                </c:pt>
                <c:pt idx="47">
                  <c:v>26271</c:v>
                </c:pt>
                <c:pt idx="48">
                  <c:v>28836</c:v>
                </c:pt>
                <c:pt idx="49">
                  <c:v>56829</c:v>
                </c:pt>
                <c:pt idx="50">
                  <c:v>22888</c:v>
                </c:pt>
                <c:pt idx="51">
                  <c:v>168896</c:v>
                </c:pt>
                <c:pt idx="52">
                  <c:v>110422</c:v>
                </c:pt>
                <c:pt idx="53">
                  <c:v>638319</c:v>
                </c:pt>
                <c:pt idx="54">
                  <c:v>708492</c:v>
                </c:pt>
                <c:pt idx="55">
                  <c:v>343622</c:v>
                </c:pt>
                <c:pt idx="56">
                  <c:v>464354</c:v>
                </c:pt>
                <c:pt idx="57">
                  <c:v>154744</c:v>
                </c:pt>
                <c:pt idx="58">
                  <c:v>14598</c:v>
                </c:pt>
                <c:pt idx="59">
                  <c:v>79974</c:v>
                </c:pt>
                <c:pt idx="60">
                  <c:v>96085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B-4843-A2F7-37AFB558500B}"/>
            </c:ext>
          </c:extLst>
        </c:ser>
        <c:ser>
          <c:idx val="2"/>
          <c:order val="2"/>
          <c:tx>
            <c:strRef>
              <c:f>'Bảng kê'!$Q$3:$Q$19</c:f>
              <c:strCache>
                <c:ptCount val="17"/>
                <c:pt idx="0">
                  <c:v>Hệ số nhân</c:v>
                </c:pt>
                <c:pt idx="1">
                  <c:v>(17)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multiLvlStrRef>
              <c:f>'Bảng kê'!$B$20:$N$80</c:f>
              <c:multiLvlStrCache>
                <c:ptCount val="61"/>
                <c:lvl>
                  <c:pt idx="0">
                    <c:v>11 </c:v>
                  </c:pt>
                  <c:pt idx="1">
                    <c:v>12</c:v>
                  </c:pt>
                  <c:pt idx="2">
                    <c:v>12</c:v>
                  </c:pt>
                  <c:pt idx="3">
                    <c:v>13</c:v>
                  </c:pt>
                  <c:pt idx="4">
                    <c:v>14 </c:v>
                  </c:pt>
                  <c:pt idx="5">
                    <c:v>15</c:v>
                  </c:pt>
                  <c:pt idx="6">
                    <c:v>18</c:v>
                  </c:pt>
                  <c:pt idx="7">
                    <c:v>18</c:v>
                  </c:pt>
                  <c:pt idx="8">
                    <c:v>19</c:v>
                  </c:pt>
                  <c:pt idx="9">
                    <c:v>20</c:v>
                  </c:pt>
                  <c:pt idx="10">
                    <c:v>20</c:v>
                  </c:pt>
                  <c:pt idx="11">
                    <c:v>21</c:v>
                  </c:pt>
                  <c:pt idx="12">
                    <c:v>19</c:v>
                  </c:pt>
                  <c:pt idx="13">
                    <c:v>22</c:v>
                  </c:pt>
                  <c:pt idx="14">
                    <c:v>23</c:v>
                  </c:pt>
                  <c:pt idx="15">
                    <c:v>27</c:v>
                  </c:pt>
                  <c:pt idx="16">
                    <c:v>27</c:v>
                  </c:pt>
                  <c:pt idx="17">
                    <c:v>23</c:v>
                  </c:pt>
                  <c:pt idx="18">
                    <c:v>29</c:v>
                  </c:pt>
                  <c:pt idx="19">
                    <c:v>29</c:v>
                  </c:pt>
                  <c:pt idx="20">
                    <c:v>30</c:v>
                  </c:pt>
                  <c:pt idx="21">
                    <c:v>31</c:v>
                  </c:pt>
                  <c:pt idx="22">
                    <c:v>31</c:v>
                  </c:pt>
                  <c:pt idx="23">
                    <c:v>32</c:v>
                  </c:pt>
                  <c:pt idx="24">
                    <c:v>32</c:v>
                  </c:pt>
                  <c:pt idx="25">
                    <c:v>27</c:v>
                  </c:pt>
                  <c:pt idx="26">
                    <c:v>27</c:v>
                  </c:pt>
                  <c:pt idx="27">
                    <c:v>37 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31</c:v>
                  </c:pt>
                  <c:pt idx="31">
                    <c:v>30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37</c:v>
                  </c:pt>
                  <c:pt idx="35">
                    <c:v>37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48</c:v>
                  </c:pt>
                  <c:pt idx="39">
                    <c:v>48</c:v>
                  </c:pt>
                  <c:pt idx="40">
                    <c:v>48</c:v>
                  </c:pt>
                  <c:pt idx="41">
                    <c:v>48</c:v>
                  </c:pt>
                  <c:pt idx="42">
                    <c:v>64</c:v>
                  </c:pt>
                  <c:pt idx="43">
                    <c:v>64</c:v>
                  </c:pt>
                  <c:pt idx="44">
                    <c:v>53</c:v>
                  </c:pt>
                  <c:pt idx="45">
                    <c:v>53</c:v>
                  </c:pt>
                  <c:pt idx="46">
                    <c:v>53</c:v>
                  </c:pt>
                  <c:pt idx="47">
                    <c:v>53</c:v>
                  </c:pt>
                  <c:pt idx="48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51">
                    <c:v>56</c:v>
                  </c:pt>
                  <c:pt idx="52">
                    <c:v>56</c:v>
                  </c:pt>
                  <c:pt idx="53">
                    <c:v>56</c:v>
                  </c:pt>
                  <c:pt idx="54">
                    <c:v>56</c:v>
                  </c:pt>
                  <c:pt idx="55">
                    <c:v>56</c:v>
                  </c:pt>
                  <c:pt idx="56">
                    <c:v>56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57</c:v>
                  </c:pt>
                  <c:pt idx="60">
                    <c:v>57</c:v>
                  </c:pt>
                </c:lvl>
                <c:lvl>
                  <c:pt idx="0">
                    <c:v>B1</c:v>
                  </c:pt>
                  <c:pt idx="1">
                    <c:v>B1</c:v>
                  </c:pt>
                  <c:pt idx="2">
                    <c:v>B1</c:v>
                  </c:pt>
                  <c:pt idx="3">
                    <c:v>ĐCĐT</c:v>
                  </c:pt>
                  <c:pt idx="4">
                    <c:v>TVĐT</c:v>
                  </c:pt>
                  <c:pt idx="5">
                    <c:v>TVĐT</c:v>
                  </c:pt>
                  <c:pt idx="6">
                    <c:v>B1</c:v>
                  </c:pt>
                  <c:pt idx="7">
                    <c:v>B1</c:v>
                  </c:pt>
                  <c:pt idx="8">
                    <c:v>THCK</c:v>
                  </c:pt>
                  <c:pt idx="9">
                    <c:v>B1</c:v>
                  </c:pt>
                  <c:pt idx="10">
                    <c:v>B1</c:v>
                  </c:pt>
                  <c:pt idx="11">
                    <c:v>B1</c:v>
                  </c:pt>
                  <c:pt idx="12">
                    <c:v>ĐCĐT</c:v>
                  </c:pt>
                  <c:pt idx="13">
                    <c:v>THCK</c:v>
                  </c:pt>
                  <c:pt idx="14">
                    <c:v>B1</c:v>
                  </c:pt>
                  <c:pt idx="15">
                    <c:v>ĐLK</c:v>
                  </c:pt>
                  <c:pt idx="16">
                    <c:v>ĐLK</c:v>
                  </c:pt>
                  <c:pt idx="17">
                    <c:v>ĐLK</c:v>
                  </c:pt>
                  <c:pt idx="18">
                    <c:v>ĐLK</c:v>
                  </c:pt>
                  <c:pt idx="19">
                    <c:v>ĐLK</c:v>
                  </c:pt>
                  <c:pt idx="20">
                    <c:v>TVĐT</c:v>
                  </c:pt>
                  <c:pt idx="21">
                    <c:v>TVĐT</c:v>
                  </c:pt>
                  <c:pt idx="22">
                    <c:v>TVĐT</c:v>
                  </c:pt>
                  <c:pt idx="23">
                    <c:v>TVĐT</c:v>
                  </c:pt>
                  <c:pt idx="24">
                    <c:v>TVĐT</c:v>
                  </c:pt>
                  <c:pt idx="25">
                    <c:v>TVĐT</c:v>
                  </c:pt>
                  <c:pt idx="26">
                    <c:v>TVĐT</c:v>
                  </c:pt>
                  <c:pt idx="27">
                    <c:v>TVĐT</c:v>
                  </c:pt>
                  <c:pt idx="28">
                    <c:v>BK3B</c:v>
                  </c:pt>
                  <c:pt idx="29">
                    <c:v>BK2</c:v>
                  </c:pt>
                  <c:pt idx="30">
                    <c:v>D8</c:v>
                  </c:pt>
                  <c:pt idx="31">
                    <c:v>D8</c:v>
                  </c:pt>
                  <c:pt idx="32">
                    <c:v>THCK</c:v>
                  </c:pt>
                  <c:pt idx="33">
                    <c:v>BK2</c:v>
                  </c:pt>
                  <c:pt idx="34">
                    <c:v>TVĐT</c:v>
                  </c:pt>
                  <c:pt idx="35">
                    <c:v>TVĐT</c:v>
                  </c:pt>
                  <c:pt idx="36">
                    <c:v>KTX</c:v>
                  </c:pt>
                  <c:pt idx="37">
                    <c:v>KTX</c:v>
                  </c:pt>
                  <c:pt idx="38">
                    <c:v>ĐCĐT</c:v>
                  </c:pt>
                  <c:pt idx="39">
                    <c:v>TVĐT</c:v>
                  </c:pt>
                  <c:pt idx="40">
                    <c:v>BK3B</c:v>
                  </c:pt>
                  <c:pt idx="41">
                    <c:v>TVĐT</c:v>
                  </c:pt>
                  <c:pt idx="42">
                    <c:v>BK2</c:v>
                  </c:pt>
                  <c:pt idx="43">
                    <c:v>BK2</c:v>
                  </c:pt>
                  <c:pt idx="44">
                    <c:v>KTX</c:v>
                  </c:pt>
                  <c:pt idx="45">
                    <c:v>B1</c:v>
                  </c:pt>
                  <c:pt idx="46">
                    <c:v>BK3</c:v>
                  </c:pt>
                  <c:pt idx="47">
                    <c:v>B1</c:v>
                  </c:pt>
                  <c:pt idx="48">
                    <c:v>THCK</c:v>
                  </c:pt>
                  <c:pt idx="49">
                    <c:v>THCK</c:v>
                  </c:pt>
                  <c:pt idx="50">
                    <c:v>B1</c:v>
                  </c:pt>
                  <c:pt idx="51">
                    <c:v>B1</c:v>
                  </c:pt>
                  <c:pt idx="52">
                    <c:v>B1</c:v>
                  </c:pt>
                  <c:pt idx="53">
                    <c:v>B1</c:v>
                  </c:pt>
                  <c:pt idx="54">
                    <c:v>B1</c:v>
                  </c:pt>
                  <c:pt idx="55">
                    <c:v>B1</c:v>
                  </c:pt>
                  <c:pt idx="56">
                    <c:v>B1</c:v>
                  </c:pt>
                  <c:pt idx="57">
                    <c:v>KTX</c:v>
                  </c:pt>
                  <c:pt idx="58">
                    <c:v>BK2</c:v>
                  </c:pt>
                  <c:pt idx="59">
                    <c:v>B1</c:v>
                  </c:pt>
                  <c:pt idx="60">
                    <c:v>KTX</c:v>
                  </c:pt>
                </c:lvl>
                <c:lvl>
                  <c:pt idx="0">
                    <c:v>KTĐ T11</c:v>
                  </c:pt>
                  <c:pt idx="1">
                    <c:v>KTĐ T1</c:v>
                  </c:pt>
                  <c:pt idx="2">
                    <c:v>KTĐ T1</c:v>
                  </c:pt>
                  <c:pt idx="3">
                    <c:v>KTĐ T1</c:v>
                  </c:pt>
                  <c:pt idx="4">
                    <c:v>Tầng 1 D2A</c:v>
                  </c:pt>
                  <c:pt idx="5">
                    <c:v>T1 D6</c:v>
                  </c:pt>
                  <c:pt idx="6">
                    <c:v>Tủ ĐN1</c:v>
                  </c:pt>
                  <c:pt idx="7">
                    <c:v>Tủ ĐN1</c:v>
                  </c:pt>
                  <c:pt idx="8">
                    <c:v>Tầng 3</c:v>
                  </c:pt>
                  <c:pt idx="9">
                    <c:v>Tủ ĐN2</c:v>
                  </c:pt>
                  <c:pt idx="10">
                    <c:v>Tủ ĐN2</c:v>
                  </c:pt>
                  <c:pt idx="11">
                    <c:v>Tủ ĐN2</c:v>
                  </c:pt>
                  <c:pt idx="12">
                    <c:v>Tủ ĐN2</c:v>
                  </c:pt>
                  <c:pt idx="13">
                    <c:v>T1 TC</c:v>
                  </c:pt>
                  <c:pt idx="14">
                    <c:v>Tường ngoài</c:v>
                  </c:pt>
                  <c:pt idx="15">
                    <c:v>T1  D3</c:v>
                  </c:pt>
                  <c:pt idx="16">
                    <c:v>T1 D3</c:v>
                  </c:pt>
                  <c:pt idx="17">
                    <c:v>T1 D5</c:v>
                  </c:pt>
                  <c:pt idx="18">
                    <c:v>T1 D9</c:v>
                  </c:pt>
                  <c:pt idx="19">
                    <c:v>Tủ tổng KCN</c:v>
                  </c:pt>
                  <c:pt idx="20">
                    <c:v>TV 1C </c:v>
                  </c:pt>
                  <c:pt idx="21">
                    <c:v>TV 1D </c:v>
                  </c:pt>
                  <c:pt idx="22">
                    <c:v>TV 1D </c:v>
                  </c:pt>
                  <c:pt idx="23">
                    <c:v>TV 4C </c:v>
                  </c:pt>
                  <c:pt idx="24">
                    <c:v>TV 6C</c:v>
                  </c:pt>
                  <c:pt idx="25">
                    <c:v>D2D T1 </c:v>
                  </c:pt>
                  <c:pt idx="26">
                    <c:v>TV 6C</c:v>
                  </c:pt>
                  <c:pt idx="27">
                    <c:v>TV 9D</c:v>
                  </c:pt>
                  <c:pt idx="28">
                    <c:v>Quán tròn C9</c:v>
                  </c:pt>
                  <c:pt idx="29">
                    <c:v>Quán tròn C5</c:v>
                  </c:pt>
                  <c:pt idx="30">
                    <c:v>KTĐ T6</c:v>
                  </c:pt>
                  <c:pt idx="31">
                    <c:v>KTĐ T11</c:v>
                  </c:pt>
                  <c:pt idx="32">
                    <c:v>Nhà khách </c:v>
                  </c:pt>
                  <c:pt idx="33">
                    <c:v>Quán tròn C10B</c:v>
                  </c:pt>
                  <c:pt idx="34">
                    <c:v>KTĐ D</c:v>
                  </c:pt>
                  <c:pt idx="35">
                    <c:v>KTĐ C</c:v>
                  </c:pt>
                  <c:pt idx="36">
                    <c:v>Tủ tổng TT</c:v>
                  </c:pt>
                  <c:pt idx="38">
                    <c:v>ĐCĐT</c:v>
                  </c:pt>
                  <c:pt idx="39">
                    <c:v>P228</c:v>
                  </c:pt>
                  <c:pt idx="40">
                    <c:v>Tủ tổng TT</c:v>
                  </c:pt>
                  <c:pt idx="41">
                    <c:v>Tầng 2</c:v>
                  </c:pt>
                  <c:pt idx="42">
                    <c:v>T2-C1B</c:v>
                  </c:pt>
                  <c:pt idx="43">
                    <c:v>T3-C1B</c:v>
                  </c:pt>
                  <c:pt idx="50">
                    <c:v> Phòng trực</c:v>
                  </c:pt>
                  <c:pt idx="51">
                    <c:v>Tủ ĐN2</c:v>
                  </c:pt>
                  <c:pt idx="52">
                    <c:v>Tủ cầu thang T2</c:v>
                  </c:pt>
                  <c:pt idx="53">
                    <c:v>Tủ ĐN2</c:v>
                  </c:pt>
                  <c:pt idx="54">
                    <c:v>Tủ ĐN 2</c:v>
                  </c:pt>
                  <c:pt idx="55">
                    <c:v>Tủ ĐN2</c:v>
                  </c:pt>
                  <c:pt idx="56">
                    <c:v>Tủ ĐN2</c:v>
                  </c:pt>
                  <c:pt idx="57">
                    <c:v>Trạm B4BK</c:v>
                  </c:pt>
                  <c:pt idx="58">
                    <c:v>Trạm BK2</c:v>
                  </c:pt>
                  <c:pt idx="59">
                    <c:v>Trạm B1</c:v>
                  </c:pt>
                  <c:pt idx="60">
                    <c:v>Cầu thang T3 </c:v>
                  </c:pt>
                </c:lvl>
                <c:lvl>
                  <c:pt idx="0">
                    <c:v>3 pha</c:v>
                  </c:pt>
                  <c:pt idx="1">
                    <c:v>3 pha</c:v>
                  </c:pt>
                  <c:pt idx="2">
                    <c:v>3 pha</c:v>
                  </c:pt>
                  <c:pt idx="3">
                    <c:v>3 pha</c:v>
                  </c:pt>
                  <c:pt idx="4">
                    <c:v>3 pha</c:v>
                  </c:pt>
                  <c:pt idx="5">
                    <c:v>1 pha</c:v>
                  </c:pt>
                  <c:pt idx="6">
                    <c:v>3 pha</c:v>
                  </c:pt>
                  <c:pt idx="7">
                    <c:v>1 pha</c:v>
                  </c:pt>
                  <c:pt idx="8">
                    <c:v>3 pha</c:v>
                  </c:pt>
                  <c:pt idx="9">
                    <c:v>1 pha</c:v>
                  </c:pt>
                  <c:pt idx="10">
                    <c:v>3 pha</c:v>
                  </c:pt>
                  <c:pt idx="11">
                    <c:v>3 pha</c:v>
                  </c:pt>
                  <c:pt idx="12">
                    <c:v>3 pha</c:v>
                  </c:pt>
                  <c:pt idx="13">
                    <c:v>1 pha</c:v>
                  </c:pt>
                  <c:pt idx="14">
                    <c:v>1 pha</c:v>
                  </c:pt>
                  <c:pt idx="15">
                    <c:v>1 pha</c:v>
                  </c:pt>
                  <c:pt idx="16">
                    <c:v>1 pha</c:v>
                  </c:pt>
                  <c:pt idx="17">
                    <c:v>1 pha</c:v>
                  </c:pt>
                  <c:pt idx="18">
                    <c:v>1 pha</c:v>
                  </c:pt>
                  <c:pt idx="19">
                    <c:v>1 pha</c:v>
                  </c:pt>
                  <c:pt idx="20">
                    <c:v>3 pha</c:v>
                  </c:pt>
                  <c:pt idx="21">
                    <c:v>1 pha</c:v>
                  </c:pt>
                  <c:pt idx="22">
                    <c:v>3 pha</c:v>
                  </c:pt>
                  <c:pt idx="23">
                    <c:v>3 pha</c:v>
                  </c:pt>
                  <c:pt idx="24">
                    <c:v>3 pha</c:v>
                  </c:pt>
                  <c:pt idx="25">
                    <c:v>3 pha</c:v>
                  </c:pt>
                  <c:pt idx="26">
                    <c:v>3 pha</c:v>
                  </c:pt>
                  <c:pt idx="27">
                    <c:v>3 pha</c:v>
                  </c:pt>
                  <c:pt idx="28">
                    <c:v>1 pha</c:v>
                  </c:pt>
                  <c:pt idx="29">
                    <c:v>1 pha</c:v>
                  </c:pt>
                  <c:pt idx="30">
                    <c:v>3 pha</c:v>
                  </c:pt>
                  <c:pt idx="31">
                    <c:v>3 pha</c:v>
                  </c:pt>
                  <c:pt idx="32">
                    <c:v>3 pha</c:v>
                  </c:pt>
                  <c:pt idx="33">
                    <c:v>1 pha</c:v>
                  </c:pt>
                  <c:pt idx="34">
                    <c:v>3 pha</c:v>
                  </c:pt>
                  <c:pt idx="35">
                    <c:v>3 pha</c:v>
                  </c:pt>
                  <c:pt idx="36">
                    <c:v>3 pha</c:v>
                  </c:pt>
                  <c:pt idx="37">
                    <c:v>3 pha</c:v>
                  </c:pt>
                  <c:pt idx="38">
                    <c:v>3 pha</c:v>
                  </c:pt>
                  <c:pt idx="39">
                    <c:v>1 pha</c:v>
                  </c:pt>
                  <c:pt idx="40">
                    <c:v>3 pha</c:v>
                  </c:pt>
                  <c:pt idx="41">
                    <c:v>1 pha</c:v>
                  </c:pt>
                  <c:pt idx="42">
                    <c:v>3 pha</c:v>
                  </c:pt>
                  <c:pt idx="43">
                    <c:v>3 pha</c:v>
                  </c:pt>
                  <c:pt idx="44">
                    <c:v>1 pha</c:v>
                  </c:pt>
                  <c:pt idx="45">
                    <c:v>1 pha</c:v>
                  </c:pt>
                  <c:pt idx="46">
                    <c:v>1 pha</c:v>
                  </c:pt>
                  <c:pt idx="47">
                    <c:v>1 pha</c:v>
                  </c:pt>
                  <c:pt idx="48">
                    <c:v>1 pha</c:v>
                  </c:pt>
                  <c:pt idx="49">
                    <c:v>1 pha</c:v>
                  </c:pt>
                  <c:pt idx="50">
                    <c:v>1 pha</c:v>
                  </c:pt>
                  <c:pt idx="51">
                    <c:v>3 pha</c:v>
                  </c:pt>
                  <c:pt idx="52">
                    <c:v>3 pha</c:v>
                  </c:pt>
                  <c:pt idx="53">
                    <c:v>3 pha</c:v>
                  </c:pt>
                  <c:pt idx="54">
                    <c:v>3 pha</c:v>
                  </c:pt>
                  <c:pt idx="55">
                    <c:v>3 pha</c:v>
                  </c:pt>
                  <c:pt idx="56">
                    <c:v>1 pha</c:v>
                  </c:pt>
                  <c:pt idx="57">
                    <c:v>3 pha</c:v>
                  </c:pt>
                  <c:pt idx="58">
                    <c:v>3 pha</c:v>
                  </c:pt>
                  <c:pt idx="59">
                    <c:v>3 pha</c:v>
                  </c:pt>
                  <c:pt idx="60">
                    <c:v>3 pha</c:v>
                  </c:pt>
                </c:lvl>
                <c:lvl>
                  <c:pt idx="0">
                    <c:v>1478</c:v>
                  </c:pt>
                  <c:pt idx="1">
                    <c:v>90445</c:v>
                  </c:pt>
                  <c:pt idx="2">
                    <c:v>3307</c:v>
                  </c:pt>
                  <c:pt idx="3">
                    <c:v>9094, 4383</c:v>
                  </c:pt>
                  <c:pt idx="4">
                    <c:v>9045</c:v>
                  </c:pt>
                  <c:pt idx="5">
                    <c:v> 3842</c:v>
                  </c:pt>
                  <c:pt idx="6">
                    <c:v>0566</c:v>
                  </c:pt>
                  <c:pt idx="7">
                    <c:v>5125</c:v>
                  </c:pt>
                  <c:pt idx="8">
                    <c:v>0322</c:v>
                  </c:pt>
                  <c:pt idx="9">
                    <c:v>8820</c:v>
                  </c:pt>
                  <c:pt idx="10">
                    <c:v>9838</c:v>
                  </c:pt>
                  <c:pt idx="11">
                    <c:v>1735</c:v>
                  </c:pt>
                  <c:pt idx="12">
                    <c:v>1324</c:v>
                  </c:pt>
                  <c:pt idx="13">
                    <c:v>2184</c:v>
                  </c:pt>
                  <c:pt idx="14">
                    <c:v>3218</c:v>
                  </c:pt>
                  <c:pt idx="15">
                    <c:v>9876</c:v>
                  </c:pt>
                  <c:pt idx="16">
                    <c:v>9903</c:v>
                  </c:pt>
                  <c:pt idx="17">
                    <c:v>6203</c:v>
                  </c:pt>
                  <c:pt idx="18">
                    <c:v>9682</c:v>
                  </c:pt>
                  <c:pt idx="19">
                    <c:v>4881</c:v>
                  </c:pt>
                  <c:pt idx="20">
                    <c:v>2172</c:v>
                  </c:pt>
                  <c:pt idx="21">
                    <c:v>0804</c:v>
                  </c:pt>
                  <c:pt idx="22">
                    <c:v>2526</c:v>
                  </c:pt>
                  <c:pt idx="23">
                    <c:v>4311</c:v>
                  </c:pt>
                  <c:pt idx="24">
                    <c:v>10004862</c:v>
                  </c:pt>
                  <c:pt idx="25">
                    <c:v>4332</c:v>
                  </c:pt>
                  <c:pt idx="26">
                    <c:v>80529</c:v>
                  </c:pt>
                  <c:pt idx="27">
                    <c:v>1793</c:v>
                  </c:pt>
                  <c:pt idx="28">
                    <c:v>5545</c:v>
                  </c:pt>
                  <c:pt idx="29">
                    <c:v>6385</c:v>
                  </c:pt>
                  <c:pt idx="30">
                    <c:v>0931</c:v>
                  </c:pt>
                  <c:pt idx="31">
                    <c:v>1624</c:v>
                  </c:pt>
                  <c:pt idx="32">
                    <c:v>4061</c:v>
                  </c:pt>
                  <c:pt idx="33">
                    <c:v>9504</c:v>
                  </c:pt>
                  <c:pt idx="34">
                    <c:v>1724</c:v>
                  </c:pt>
                  <c:pt idx="35">
                    <c:v>6333</c:v>
                  </c:pt>
                  <c:pt idx="36">
                    <c:v>3833</c:v>
                  </c:pt>
                  <c:pt idx="37">
                    <c:v>2148</c:v>
                  </c:pt>
                  <c:pt idx="38">
                    <c:v>7971</c:v>
                  </c:pt>
                  <c:pt idx="39">
                    <c:v>3543</c:v>
                  </c:pt>
                  <c:pt idx="40">
                    <c:v>9514</c:v>
                  </c:pt>
                  <c:pt idx="41">
                    <c:v>8240</c:v>
                  </c:pt>
                  <c:pt idx="42">
                    <c:v>6085</c:v>
                  </c:pt>
                  <c:pt idx="43">
                    <c:v>4248</c:v>
                  </c:pt>
                  <c:pt idx="44">
                    <c:v>3113</c:v>
                  </c:pt>
                  <c:pt idx="45">
                    <c:v>6460, 1098</c:v>
                  </c:pt>
                  <c:pt idx="46">
                    <c:v>1415</c:v>
                  </c:pt>
                  <c:pt idx="47">
                    <c:v>3927</c:v>
                  </c:pt>
                  <c:pt idx="48">
                    <c:v>2673</c:v>
                  </c:pt>
                  <c:pt idx="49">
                    <c:v>4855</c:v>
                  </c:pt>
                  <c:pt idx="50">
                    <c:v>0651</c:v>
                  </c:pt>
                  <c:pt idx="51">
                    <c:v>5163</c:v>
                  </c:pt>
                  <c:pt idx="52">
                    <c:v>0757</c:v>
                  </c:pt>
                  <c:pt idx="53">
                    <c:v>9357</c:v>
                  </c:pt>
                  <c:pt idx="54">
                    <c:v>9497</c:v>
                  </c:pt>
                  <c:pt idx="55">
                    <c:v>9277</c:v>
                  </c:pt>
                  <c:pt idx="56">
                    <c:v>9310</c:v>
                  </c:pt>
                  <c:pt idx="57">
                    <c:v>40857</c:v>
                  </c:pt>
                  <c:pt idx="58">
                    <c:v>3259</c:v>
                  </c:pt>
                  <c:pt idx="59">
                    <c:v>80030</c:v>
                  </c:pt>
                  <c:pt idx="60">
                    <c:v>1124</c:v>
                  </c:pt>
                </c:lvl>
                <c:lvl>
                  <c:pt idx="0">
                    <c:v>B1</c:v>
                  </c:pt>
                  <c:pt idx="1">
                    <c:v>B1</c:v>
                  </c:pt>
                  <c:pt idx="3">
                    <c:v>B7 BIS</c:v>
                  </c:pt>
                  <c:pt idx="4">
                    <c:v>D2A</c:v>
                  </c:pt>
                  <c:pt idx="5">
                    <c:v>D6</c:v>
                  </c:pt>
                  <c:pt idx="6">
                    <c:v>A17</c:v>
                  </c:pt>
                  <c:pt idx="7">
                    <c:v>A17</c:v>
                  </c:pt>
                  <c:pt idx="8">
                    <c:v>A17</c:v>
                  </c:pt>
                  <c:pt idx="9">
                    <c:v>A17</c:v>
                  </c:pt>
                  <c:pt idx="10">
                    <c:v>A17</c:v>
                  </c:pt>
                  <c:pt idx="11">
                    <c:v>A17</c:v>
                  </c:pt>
                  <c:pt idx="12">
                    <c:v>A17</c:v>
                  </c:pt>
                  <c:pt idx="13">
                    <c:v>TC</c:v>
                  </c:pt>
                  <c:pt idx="14">
                    <c:v>Bể bơi</c:v>
                  </c:pt>
                  <c:pt idx="15">
                    <c:v>D3</c:v>
                  </c:pt>
                  <c:pt idx="16">
                    <c:v>D3</c:v>
                  </c:pt>
                  <c:pt idx="17">
                    <c:v>D5</c:v>
                  </c:pt>
                  <c:pt idx="18">
                    <c:v>D9</c:v>
                  </c:pt>
                  <c:pt idx="19">
                    <c:v>D9</c:v>
                  </c:pt>
                  <c:pt idx="20">
                    <c:v>TVĐT</c:v>
                  </c:pt>
                  <c:pt idx="21">
                    <c:v>TVĐT</c:v>
                  </c:pt>
                  <c:pt idx="22">
                    <c:v>TVĐT</c:v>
                  </c:pt>
                  <c:pt idx="23">
                    <c:v>TVĐT</c:v>
                  </c:pt>
                  <c:pt idx="24">
                    <c:v>TVĐT</c:v>
                  </c:pt>
                  <c:pt idx="25">
                    <c:v>D2D</c:v>
                  </c:pt>
                  <c:pt idx="26">
                    <c:v>TVĐT</c:v>
                  </c:pt>
                  <c:pt idx="27">
                    <c:v>TVĐT</c:v>
                  </c:pt>
                  <c:pt idx="28">
                    <c:v>C9</c:v>
                  </c:pt>
                  <c:pt idx="29">
                    <c:v>C5</c:v>
                  </c:pt>
                  <c:pt idx="30">
                    <c:v>D8</c:v>
                  </c:pt>
                  <c:pt idx="31">
                    <c:v>D8</c:v>
                  </c:pt>
                  <c:pt idx="32">
                    <c:v>Ngõ 17</c:v>
                  </c:pt>
                  <c:pt idx="34">
                    <c:v>TVĐT</c:v>
                  </c:pt>
                  <c:pt idx="35">
                    <c:v>TVĐT</c:v>
                  </c:pt>
                  <c:pt idx="37">
                    <c:v>KTX</c:v>
                  </c:pt>
                  <c:pt idx="38">
                    <c:v>C3B</c:v>
                  </c:pt>
                  <c:pt idx="39">
                    <c:v>TVĐT</c:v>
                  </c:pt>
                  <c:pt idx="40">
                    <c:v>D2C</c:v>
                  </c:pt>
                  <c:pt idx="41">
                    <c:v>D6</c:v>
                  </c:pt>
                  <c:pt idx="42">
                    <c:v>C1B</c:v>
                  </c:pt>
                  <c:pt idx="43">
                    <c:v>C1B</c:v>
                  </c:pt>
                  <c:pt idx="44">
                    <c:v>15 TQB</c:v>
                  </c:pt>
                  <c:pt idx="45">
                    <c:v>F</c:v>
                  </c:pt>
                  <c:pt idx="46">
                    <c:v>C1</c:v>
                  </c:pt>
                  <c:pt idx="47">
                    <c:v>B1</c:v>
                  </c:pt>
                  <c:pt idx="48">
                    <c:v>Ngõ 17</c:v>
                  </c:pt>
                  <c:pt idx="49">
                    <c:v>Ngõ 42</c:v>
                  </c:pt>
                  <c:pt idx="50">
                    <c:v>Bể bơi</c:v>
                  </c:pt>
                  <c:pt idx="51">
                    <c:v>A17</c:v>
                  </c:pt>
                  <c:pt idx="52">
                    <c:v>A17</c:v>
                  </c:pt>
                  <c:pt idx="53">
                    <c:v>A17</c:v>
                  </c:pt>
                  <c:pt idx="54">
                    <c:v>A17</c:v>
                  </c:pt>
                  <c:pt idx="55">
                    <c:v>A17</c:v>
                  </c:pt>
                  <c:pt idx="56">
                    <c:v>A17</c:v>
                  </c:pt>
                  <c:pt idx="57">
                    <c:v>Ngõ 15</c:v>
                  </c:pt>
                  <c:pt idx="58">
                    <c:v>C4B</c:v>
                  </c:pt>
                  <c:pt idx="59">
                    <c:v>11 TQB</c:v>
                  </c:pt>
                  <c:pt idx="60">
                    <c:v>15 TQB</c:v>
                  </c:pt>
                </c:lvl>
                <c:lvl>
                  <c:pt idx="0">
                    <c:v>0977295439</c:v>
                  </c:pt>
                  <c:pt idx="1">
                    <c:v>0948742589</c:v>
                  </c:pt>
                  <c:pt idx="2">
                    <c:v>0975744134</c:v>
                  </c:pt>
                  <c:pt idx="3">
                    <c:v>0982886906</c:v>
                  </c:pt>
                  <c:pt idx="5">
                    <c:v>0819906149</c:v>
                  </c:pt>
                  <c:pt idx="6">
                    <c:v>0915805666</c:v>
                  </c:pt>
                  <c:pt idx="7">
                    <c:v>0915805666</c:v>
                  </c:pt>
                  <c:pt idx="9">
                    <c:v>0834214946</c:v>
                  </c:pt>
                  <c:pt idx="10">
                    <c:v>0976596779</c:v>
                  </c:pt>
                  <c:pt idx="11">
                    <c:v>0936865486</c:v>
                  </c:pt>
                  <c:pt idx="12">
                    <c:v>912212968</c:v>
                  </c:pt>
                  <c:pt idx="13">
                    <c:v>0949318686</c:v>
                  </c:pt>
                  <c:pt idx="14">
                    <c:v>0942567886</c:v>
                  </c:pt>
                  <c:pt idx="15">
                    <c:v>0986675792</c:v>
                  </c:pt>
                  <c:pt idx="16">
                    <c:v>0393953999</c:v>
                  </c:pt>
                  <c:pt idx="17">
                    <c:v>0912372528</c:v>
                  </c:pt>
                  <c:pt idx="18">
                    <c:v>0942373388</c:v>
                  </c:pt>
                  <c:pt idx="19">
                    <c:v>0393245710</c:v>
                  </c:pt>
                  <c:pt idx="20">
                    <c:v>0944838353</c:v>
                  </c:pt>
                  <c:pt idx="21">
                    <c:v>0902171933</c:v>
                  </c:pt>
                  <c:pt idx="22">
                    <c:v>0902171933</c:v>
                  </c:pt>
                  <c:pt idx="23">
                    <c:v>0944838353</c:v>
                  </c:pt>
                  <c:pt idx="24">
                    <c:v>091 4343833</c:v>
                  </c:pt>
                  <c:pt idx="25">
                    <c:v>091 4343833</c:v>
                  </c:pt>
                  <c:pt idx="26">
                    <c:v>0947279988</c:v>
                  </c:pt>
                  <c:pt idx="27">
                    <c:v>0912265004</c:v>
                  </c:pt>
                  <c:pt idx="28">
                    <c:v>0913521321</c:v>
                  </c:pt>
                  <c:pt idx="29">
                    <c:v>0913521321</c:v>
                  </c:pt>
                  <c:pt idx="30">
                    <c:v>0379997777</c:v>
                  </c:pt>
                  <c:pt idx="31">
                    <c:v>0379997777</c:v>
                  </c:pt>
                  <c:pt idx="32">
                    <c:v>0915678432</c:v>
                  </c:pt>
                  <c:pt idx="33">
                    <c:v>0976636216</c:v>
                  </c:pt>
                  <c:pt idx="34">
                    <c:v>0988355343</c:v>
                  </c:pt>
                  <c:pt idx="35">
                    <c:v>0988355343</c:v>
                  </c:pt>
                  <c:pt idx="36">
                    <c:v>0912772168</c:v>
                  </c:pt>
                  <c:pt idx="37">
                    <c:v>0912998468</c:v>
                  </c:pt>
                  <c:pt idx="38">
                    <c:v>0987439889</c:v>
                  </c:pt>
                  <c:pt idx="39">
                    <c:v>0987439889</c:v>
                  </c:pt>
                  <c:pt idx="40">
                    <c:v>0987439889</c:v>
                  </c:pt>
                  <c:pt idx="41">
                    <c:v>0987439889</c:v>
                  </c:pt>
                  <c:pt idx="42">
                    <c:v>0986329918</c:v>
                  </c:pt>
                  <c:pt idx="43">
                    <c:v>0986329918</c:v>
                  </c:pt>
                  <c:pt idx="44">
                    <c:v>0978817568</c:v>
                  </c:pt>
                  <c:pt idx="45">
                    <c:v>0978817568</c:v>
                  </c:pt>
                  <c:pt idx="46">
                    <c:v>0978817568</c:v>
                  </c:pt>
                  <c:pt idx="47">
                    <c:v>0978817568</c:v>
                  </c:pt>
                  <c:pt idx="48">
                    <c:v>0978817568</c:v>
                  </c:pt>
                  <c:pt idx="49">
                    <c:v>0978817568</c:v>
                  </c:pt>
                  <c:pt idx="50">
                    <c:v>0978817568</c:v>
                  </c:pt>
                  <c:pt idx="51">
                    <c:v>0906123357</c:v>
                  </c:pt>
                  <c:pt idx="52">
                    <c:v>0906123357</c:v>
                  </c:pt>
                  <c:pt idx="53">
                    <c:v>0906123357</c:v>
                  </c:pt>
                  <c:pt idx="54">
                    <c:v>0973253788</c:v>
                  </c:pt>
                  <c:pt idx="55">
                    <c:v>0973253788</c:v>
                  </c:pt>
                  <c:pt idx="56">
                    <c:v>0906123357</c:v>
                  </c:pt>
                  <c:pt idx="57">
                    <c:v>0345890588</c:v>
                  </c:pt>
                  <c:pt idx="58">
                    <c:v>0904173826</c:v>
                  </c:pt>
                  <c:pt idx="59">
                    <c:v>0904173826</c:v>
                  </c:pt>
                  <c:pt idx="60">
                    <c:v>0904173826</c:v>
                  </c:pt>
                </c:lvl>
                <c:lvl>
                  <c:pt idx="0">
                    <c:v>Lương Thị Minh Ngoc</c:v>
                  </c:pt>
                  <c:pt idx="1">
                    <c:v>Trịnh Thị My</c:v>
                  </c:pt>
                  <c:pt idx="2">
                    <c:v>A Quang</c:v>
                  </c:pt>
                  <c:pt idx="3">
                    <c:v>Lê Thị Thanh Tâm</c:v>
                  </c:pt>
                  <c:pt idx="5">
                    <c:v>Tạ Thanh Hằng</c:v>
                  </c:pt>
                  <c:pt idx="6">
                    <c:v>Hoàng Tuấn Bằng</c:v>
                  </c:pt>
                  <c:pt idx="7">
                    <c:v>Hoàng Tuấn Bằng</c:v>
                  </c:pt>
                  <c:pt idx="8">
                    <c:v>Chị Liễu</c:v>
                  </c:pt>
                  <c:pt idx="9">
                    <c:v>Ngọc</c:v>
                  </c:pt>
                  <c:pt idx="10">
                    <c:v>Đỗ Đ.Tâm (Q.Anh) </c:v>
                  </c:pt>
                  <c:pt idx="11">
                    <c:v>Anh Sơn</c:v>
                  </c:pt>
                  <c:pt idx="12">
                    <c:v>Nguyễn Thái Bình</c:v>
                  </c:pt>
                  <c:pt idx="13">
                    <c:v>Hoàng thị Thanh Duyên</c:v>
                  </c:pt>
                  <c:pt idx="14">
                    <c:v>Duy Anh (Thu D8)</c:v>
                  </c:pt>
                  <c:pt idx="15">
                    <c:v>Nguyễn Thu Trang</c:v>
                  </c:pt>
                  <c:pt idx="16">
                    <c:v>Anh Tuấn</c:v>
                  </c:pt>
                  <c:pt idx="17">
                    <c:v>Ông Nam</c:v>
                  </c:pt>
                  <c:pt idx="18">
                    <c:v>Nguyễn Thị Phượng</c:v>
                  </c:pt>
                  <c:pt idx="19">
                    <c:v>Võ Thị Tĩnh</c:v>
                  </c:pt>
                  <c:pt idx="20">
                    <c:v>Chị Quyên</c:v>
                  </c:pt>
                  <c:pt idx="21">
                    <c:v>A Lâm</c:v>
                  </c:pt>
                  <c:pt idx="22">
                    <c:v>A Lâm</c:v>
                  </c:pt>
                  <c:pt idx="23">
                    <c:v>Chị Quyên</c:v>
                  </c:pt>
                  <c:pt idx="24">
                    <c:v>C Hòa</c:v>
                  </c:pt>
                  <c:pt idx="25">
                    <c:v>C Hòa</c:v>
                  </c:pt>
                  <c:pt idx="26">
                    <c:v>A Sơn</c:v>
                  </c:pt>
                  <c:pt idx="27">
                    <c:v>Lê Huy Cường</c:v>
                  </c:pt>
                  <c:pt idx="28">
                    <c:v>Nguyễn Thu Lương</c:v>
                  </c:pt>
                  <c:pt idx="29">
                    <c:v>Nguyễn Thu Lương</c:v>
                  </c:pt>
                  <c:pt idx="30">
                    <c:v>A Hưng</c:v>
                  </c:pt>
                  <c:pt idx="31">
                    <c:v>A Hưng</c:v>
                  </c:pt>
                  <c:pt idx="32">
                    <c:v>Lê Thị Hạnh</c:v>
                  </c:pt>
                  <c:pt idx="33">
                    <c:v>C Khánh</c:v>
                  </c:pt>
                  <c:pt idx="34">
                    <c:v>Nguyễn Tiến Dũng</c:v>
                  </c:pt>
                  <c:pt idx="35">
                    <c:v>Nguyễn Tiến Dũng</c:v>
                  </c:pt>
                  <c:pt idx="36">
                    <c:v>Trương Hữu Ninh</c:v>
                  </c:pt>
                  <c:pt idx="37">
                    <c:v>Phạm Đắc Huấn</c:v>
                  </c:pt>
                  <c:pt idx="38">
                    <c:v>Vũ Hiền Phương</c:v>
                  </c:pt>
                  <c:pt idx="39">
                    <c:v>Vũ Hiền Phương</c:v>
                  </c:pt>
                  <c:pt idx="40">
                    <c:v>Vũ Hiền Phương</c:v>
                  </c:pt>
                  <c:pt idx="41">
                    <c:v>Vũ Hiền Phương</c:v>
                  </c:pt>
                  <c:pt idx="42">
                    <c:v>Nguyễn Quang Địch</c:v>
                  </c:pt>
                  <c:pt idx="43">
                    <c:v>Nguyễn Quang Địch</c:v>
                  </c:pt>
                  <c:pt idx="44">
                    <c:v>Trần Thị Thu</c:v>
                  </c:pt>
                  <c:pt idx="45">
                    <c:v>Trần Thị Thu</c:v>
                  </c:pt>
                  <c:pt idx="46">
                    <c:v>Trần Thị Thu</c:v>
                  </c:pt>
                  <c:pt idx="47">
                    <c:v>Trần Thị Thu</c:v>
                  </c:pt>
                  <c:pt idx="48">
                    <c:v>Trần Thị Thu</c:v>
                  </c:pt>
                  <c:pt idx="49">
                    <c:v>Trần Thị Thu</c:v>
                  </c:pt>
                  <c:pt idx="50">
                    <c:v>Trần Thị Thu</c:v>
                  </c:pt>
                  <c:pt idx="51">
                    <c:v>BK Holdings</c:v>
                  </c:pt>
                  <c:pt idx="52">
                    <c:v>BK Holdings</c:v>
                  </c:pt>
                  <c:pt idx="53">
                    <c:v>BK Holdings</c:v>
                  </c:pt>
                  <c:pt idx="54">
                    <c:v>Nguyễn Ngọc Tuấn</c:v>
                  </c:pt>
                  <c:pt idx="55">
                    <c:v>Nguyễn Ngọc Tuấn</c:v>
                  </c:pt>
                  <c:pt idx="56">
                    <c:v>BK Holdings</c:v>
                  </c:pt>
                  <c:pt idx="57">
                    <c:v>C Hằng</c:v>
                  </c:pt>
                  <c:pt idx="58">
                    <c:v>Nguyễn Khắc Kiểm</c:v>
                  </c:pt>
                  <c:pt idx="59">
                    <c:v>Nguyễn Khắc Kiểm</c:v>
                  </c:pt>
                  <c:pt idx="60">
                    <c:v>Nguyễn Khắc Kiểm</c:v>
                  </c:pt>
                </c:lvl>
                <c:lvl>
                  <c:pt idx="0">
                    <c:v>0243.7379150</c:v>
                  </c:pt>
                  <c:pt idx="1">
                    <c:v>0988051418</c:v>
                  </c:pt>
                  <c:pt idx="3">
                    <c:v>38694323</c:v>
                  </c:pt>
                  <c:pt idx="6">
                    <c:v>38684569</c:v>
                  </c:pt>
                  <c:pt idx="7">
                    <c:v>36230568</c:v>
                  </c:pt>
                  <c:pt idx="8">
                    <c:v>38684569</c:v>
                  </c:pt>
                  <c:pt idx="9">
                    <c:v>0834214946</c:v>
                  </c:pt>
                  <c:pt idx="12">
                    <c:v>912212968</c:v>
                  </c:pt>
                  <c:pt idx="15">
                    <c:v>0359933033</c:v>
                  </c:pt>
                  <c:pt idx="16">
                    <c:v>38694529</c:v>
                  </c:pt>
                  <c:pt idx="17">
                    <c:v>38692116</c:v>
                  </c:pt>
                  <c:pt idx="30">
                    <c:v>38693782</c:v>
                  </c:pt>
                  <c:pt idx="31">
                    <c:v>38693782</c:v>
                  </c:pt>
                  <c:pt idx="32">
                    <c:v>36230351</c:v>
                  </c:pt>
                  <c:pt idx="34">
                    <c:v>38693782</c:v>
                  </c:pt>
                  <c:pt idx="35">
                    <c:v>38693782</c:v>
                  </c:pt>
                  <c:pt idx="37">
                    <c:v>38692942</c:v>
                  </c:pt>
                  <c:pt idx="39">
                    <c:v>36231722</c:v>
                  </c:pt>
                  <c:pt idx="40">
                    <c:v>38682179</c:v>
                  </c:pt>
                  <c:pt idx="41">
                    <c:v>36231722</c:v>
                  </c:pt>
                  <c:pt idx="42">
                    <c:v>38683518</c:v>
                  </c:pt>
                  <c:pt idx="43">
                    <c:v>38683518</c:v>
                  </c:pt>
                  <c:pt idx="51">
                    <c:v>02436230870</c:v>
                  </c:pt>
                  <c:pt idx="52">
                    <c:v>02436230870</c:v>
                  </c:pt>
                  <c:pt idx="53">
                    <c:v>02436230870</c:v>
                  </c:pt>
                  <c:pt idx="54">
                    <c:v>36230870</c:v>
                  </c:pt>
                  <c:pt idx="55">
                    <c:v>36230870</c:v>
                  </c:pt>
                  <c:pt idx="56">
                    <c:v>38683713</c:v>
                  </c:pt>
                  <c:pt idx="57">
                    <c:v>38682778</c:v>
                  </c:pt>
                  <c:pt idx="58">
                    <c:v>38682917</c:v>
                  </c:pt>
                  <c:pt idx="59">
                    <c:v>38682917</c:v>
                  </c:pt>
                  <c:pt idx="60">
                    <c:v>38682917</c:v>
                  </c:pt>
                </c:lvl>
                <c:lvl>
                  <c:pt idx="0">
                    <c:v>Tầng 11 nhà B1</c:v>
                  </c:pt>
                  <c:pt idx="1">
                    <c:v>Cửa hàng Highlands B1-TĐN</c:v>
                  </c:pt>
                  <c:pt idx="2">
                    <c:v>Nhà sách B1- TĐN</c:v>
                  </c:pt>
                  <c:pt idx="3">
                    <c:v>B7 BIS phố TĐN</c:v>
                  </c:pt>
                  <c:pt idx="4">
                    <c:v>Tầng 3 - D2A</c:v>
                  </c:pt>
                  <c:pt idx="5">
                    <c:v>Nhà D6 </c:v>
                  </c:pt>
                  <c:pt idx="6">
                    <c:v>Lô 2,3,4 tầng 1-A17</c:v>
                  </c:pt>
                  <c:pt idx="7">
                    <c:v>Lô 1, tầng 1- A17 </c:v>
                  </c:pt>
                  <c:pt idx="8">
                    <c:v>Nhà E</c:v>
                  </c:pt>
                  <c:pt idx="9">
                    <c:v>Lô 12, tầng 1- A17</c:v>
                  </c:pt>
                  <c:pt idx="10">
                    <c:v>Lô 11, tầng 1- A17</c:v>
                  </c:pt>
                  <c:pt idx="11">
                    <c:v>Lô 10, tầng 1-A17 </c:v>
                  </c:pt>
                  <c:pt idx="12">
                    <c:v>Lô 9, tầng 1 A17</c:v>
                  </c:pt>
                  <c:pt idx="13">
                    <c:v> Cầu thang TC</c:v>
                  </c:pt>
                  <c:pt idx="14">
                    <c:v>Cổng Bể bơi</c:v>
                  </c:pt>
                  <c:pt idx="15">
                    <c:v>Tầng 1 - D3</c:v>
                  </c:pt>
                  <c:pt idx="16">
                    <c:v>Tầng 1 - D3</c:v>
                  </c:pt>
                  <c:pt idx="17">
                    <c:v>Tầng 1 - D5</c:v>
                  </c:pt>
                  <c:pt idx="18">
                    <c:v>Tầng 1 - D9</c:v>
                  </c:pt>
                  <c:pt idx="19">
                    <c:v>Tầng 1 - D9</c:v>
                  </c:pt>
                  <c:pt idx="20">
                    <c:v>111A</c:v>
                  </c:pt>
                  <c:pt idx="21">
                    <c:v>227 TV TQB</c:v>
                  </c:pt>
                  <c:pt idx="22">
                    <c:v>Tầng 6 TV TQB</c:v>
                  </c:pt>
                  <c:pt idx="23">
                    <c:v>411, 526 TV TQB</c:v>
                  </c:pt>
                  <c:pt idx="24">
                    <c:v>TV 609</c:v>
                  </c:pt>
                  <c:pt idx="25">
                    <c:v>D2D tầng 1</c:v>
                  </c:pt>
                  <c:pt idx="26">
                    <c:v>TV 618</c:v>
                  </c:pt>
                  <c:pt idx="27">
                    <c:v>915 TVĐT</c:v>
                  </c:pt>
                  <c:pt idx="28">
                    <c:v>C9 </c:v>
                  </c:pt>
                  <c:pt idx="29">
                    <c:v>C5</c:v>
                  </c:pt>
                  <c:pt idx="30">
                    <c:v>D8 Tầng 6</c:v>
                  </c:pt>
                  <c:pt idx="31">
                    <c:v>D8 Tầng 11</c:v>
                  </c:pt>
                  <c:pt idx="32">
                    <c:v>Số 1 - Ngõ 17 TQB</c:v>
                  </c:pt>
                  <c:pt idx="33">
                    <c:v>C10B</c:v>
                  </c:pt>
                  <c:pt idx="34">
                    <c:v>TV TQB</c:v>
                  </c:pt>
                  <c:pt idx="35">
                    <c:v>TV TQB</c:v>
                  </c:pt>
                  <c:pt idx="36">
                    <c:v>Số 5 TQB</c:v>
                  </c:pt>
                  <c:pt idx="37">
                    <c:v>KTX</c:v>
                  </c:pt>
                  <c:pt idx="38">
                    <c:v>C3B</c:v>
                  </c:pt>
                  <c:pt idx="39">
                    <c:v>Phòng 228-Thư viện TQB</c:v>
                  </c:pt>
                  <c:pt idx="40">
                    <c:v>D2C</c:v>
                  </c:pt>
                  <c:pt idx="41">
                    <c:v>Phòng 201,202- D6</c:v>
                  </c:pt>
                  <c:pt idx="42">
                    <c:v>C1B tầng 2</c:v>
                  </c:pt>
                  <c:pt idx="43">
                    <c:v>C1B tầng 3</c:v>
                  </c:pt>
                  <c:pt idx="44">
                    <c:v>Trông xe ô tô ngõ 15 TQB</c:v>
                  </c:pt>
                  <c:pt idx="45">
                    <c:v>Trông xe ô tô nhà F </c:v>
                  </c:pt>
                  <c:pt idx="46">
                    <c:v>Trông xe ô tô C1</c:v>
                  </c:pt>
                  <c:pt idx="47">
                    <c:v>Trông xe ô tô B1</c:v>
                  </c:pt>
                  <c:pt idx="48">
                    <c:v>Trông xe ô tô nhà khách</c:v>
                  </c:pt>
                  <c:pt idx="49">
                    <c:v>Trông xe ô tô ngõ 42</c:v>
                  </c:pt>
                  <c:pt idx="50">
                    <c:v>Cổng Bảo vệ - Bể bơi BK</c:v>
                  </c:pt>
                  <c:pt idx="51">
                    <c:v>Tầng 2 ĐN2 - A17 TQB</c:v>
                  </c:pt>
                  <c:pt idx="52">
                    <c:v>Tầng 2 ĐN 2 - A17</c:v>
                  </c:pt>
                  <c:pt idx="53">
                    <c:v>Tầng 3 ĐN2 -  A17</c:v>
                  </c:pt>
                  <c:pt idx="54">
                    <c:v>Tầng 5 ĐN2 - A17</c:v>
                  </c:pt>
                  <c:pt idx="55">
                    <c:v>Tầng 2 ĐN1- A17</c:v>
                  </c:pt>
                  <c:pt idx="56">
                    <c:v>Tầng 3 ĐN1 -  A17</c:v>
                  </c:pt>
                  <c:pt idx="57">
                    <c:v>Số 7 ngõ 15 - TQB </c:v>
                  </c:pt>
                  <c:pt idx="58">
                    <c:v>C4B</c:v>
                  </c:pt>
                  <c:pt idx="59">
                    <c:v>11 TQB</c:v>
                  </c:pt>
                  <c:pt idx="60">
                    <c:v>15 TQB</c:v>
                  </c:pt>
                </c:lvl>
                <c:lvl>
                  <c:pt idx="0">
                    <c:v>Công ty CP Công nghệ cao GENE Việt</c:v>
                  </c:pt>
                  <c:pt idx="1">
                    <c:v>Công ty CP dịch vụ và cà phê Cao Nguyên</c:v>
                  </c:pt>
                  <c:pt idx="3">
                    <c:v>Trường ĐH KHXH và NV</c:v>
                  </c:pt>
                  <c:pt idx="4">
                    <c:v> Nhà ăn T3-D2A</c:v>
                  </c:pt>
                  <c:pt idx="5">
                    <c:v>HĐKT</c:v>
                  </c:pt>
                  <c:pt idx="6">
                    <c:v>Nhà xuất bản BK </c:v>
                  </c:pt>
                  <c:pt idx="7">
                    <c:v>Nhà xuất bản BK </c:v>
                  </c:pt>
                  <c:pt idx="8">
                    <c:v>Nhà xuất bản BK </c:v>
                  </c:pt>
                  <c:pt idx="9">
                    <c:v>Bưu điện BK</c:v>
                  </c:pt>
                  <c:pt idx="10">
                    <c:v>HĐKT</c:v>
                  </c:pt>
                  <c:pt idx="11">
                    <c:v>HĐKT</c:v>
                  </c:pt>
                  <c:pt idx="12">
                    <c:v>HĐKT</c:v>
                  </c:pt>
                  <c:pt idx="13">
                    <c:v>HĐKT</c:v>
                  </c:pt>
                  <c:pt idx="14">
                    <c:v>HĐKT</c:v>
                  </c:pt>
                  <c:pt idx="15">
                    <c:v>HĐKT</c:v>
                  </c:pt>
                  <c:pt idx="16">
                    <c:v>HĐKT</c:v>
                  </c:pt>
                  <c:pt idx="17">
                    <c:v>HĐKT</c:v>
                  </c:pt>
                  <c:pt idx="18">
                    <c:v>HĐKT</c:v>
                  </c:pt>
                  <c:pt idx="19">
                    <c:v>HĐKT</c:v>
                  </c:pt>
                  <c:pt idx="27">
                    <c:v>TT tâm chuyển đổi số</c:v>
                  </c:pt>
                  <c:pt idx="28">
                    <c:v>HĐKT</c:v>
                  </c:pt>
                  <c:pt idx="29">
                    <c:v>HĐKT</c:v>
                  </c:pt>
                  <c:pt idx="30">
                    <c:v>Viện NCCN không gian và dưới nước</c:v>
                  </c:pt>
                  <c:pt idx="31">
                    <c:v>Viện NCCN không gian và dưới nước</c:v>
                  </c:pt>
                  <c:pt idx="32">
                    <c:v>HĐKT</c:v>
                  </c:pt>
                  <c:pt idx="33">
                    <c:v>HĐKT</c:v>
                  </c:pt>
                  <c:pt idx="34">
                    <c:v>TT Đào tạo liên tục</c:v>
                  </c:pt>
                  <c:pt idx="35">
                    <c:v>TT Đào tạo liên tục</c:v>
                  </c:pt>
                  <c:pt idx="36">
                    <c:v>TT Y tế</c:v>
                  </c:pt>
                  <c:pt idx="38">
                    <c:v>TT Ngôn ngữ và trao đổi học thuật</c:v>
                  </c:pt>
                  <c:pt idx="39">
                    <c:v>TT Ngôn ngữ và trao đổi học thuật</c:v>
                  </c:pt>
                  <c:pt idx="40">
                    <c:v>TT Ngôn ngữ và trao đổi học thuật</c:v>
                  </c:pt>
                  <c:pt idx="41">
                    <c:v>TT Ngôn ngữ và trao đổi học thuật</c:v>
                  </c:pt>
                  <c:pt idx="42">
                    <c:v>Viện Kỹ thuật ĐK &amp; TĐH</c:v>
                  </c:pt>
                  <c:pt idx="43">
                    <c:v>Viện Kỹ thuật ĐK &amp; TĐH</c:v>
                  </c:pt>
                  <c:pt idx="44">
                    <c:v>TTDV và HT BK</c:v>
                  </c:pt>
                  <c:pt idx="45">
                    <c:v>TTDV và HT BK</c:v>
                  </c:pt>
                  <c:pt idx="46">
                    <c:v>TTDV và HT BK</c:v>
                  </c:pt>
                  <c:pt idx="47">
                    <c:v>TTDV và HT BK</c:v>
                  </c:pt>
                  <c:pt idx="48">
                    <c:v>TTDV và HT BK</c:v>
                  </c:pt>
                  <c:pt idx="49">
                    <c:v>TTDV và HT BK</c:v>
                  </c:pt>
                  <c:pt idx="50">
                    <c:v>TTDV và HT BK</c:v>
                  </c:pt>
                  <c:pt idx="51">
                    <c:v>BK Holding</c:v>
                  </c:pt>
                  <c:pt idx="52">
                    <c:v>BK Holding</c:v>
                  </c:pt>
                  <c:pt idx="53">
                    <c:v>BK Holding</c:v>
                  </c:pt>
                  <c:pt idx="54">
                    <c:v>Nguyễn Ngọc Tuấn</c:v>
                  </c:pt>
                  <c:pt idx="55">
                    <c:v>Nguyễn Ngọc Tuấn</c:v>
                  </c:pt>
                  <c:pt idx="56">
                    <c:v>BK Holding</c:v>
                  </c:pt>
                  <c:pt idx="57">
                    <c:v>BK Holding</c:v>
                  </c:pt>
                  <c:pt idx="58">
                    <c:v>BK Holding</c:v>
                  </c:pt>
                  <c:pt idx="59">
                    <c:v>BK Holding</c:v>
                  </c:pt>
                  <c:pt idx="60">
                    <c:v>BK Holding</c:v>
                  </c:pt>
                </c:lvl>
                <c:lvl>
                  <c:pt idx="0">
                    <c:v>Công ty CP Công nghệ cao GENE Việt</c:v>
                  </c:pt>
                  <c:pt idx="1">
                    <c:v>Cửa hàng Highlands BK</c:v>
                  </c:pt>
                  <c:pt idx="2">
                    <c:v>Nhà sách ADC Trần Đại Nghĩa</c:v>
                  </c:pt>
                  <c:pt idx="3">
                    <c:v>Khoa Việt Nam học và Tiếng việt (t thụ)</c:v>
                  </c:pt>
                  <c:pt idx="4">
                    <c:v>Nhà ăn T3-D2A</c:v>
                  </c:pt>
                  <c:pt idx="5">
                    <c:v>Tạ Thanh Hằng - Photocopy</c:v>
                  </c:pt>
                  <c:pt idx="6">
                    <c:v>Nhà sách BK </c:v>
                  </c:pt>
                  <c:pt idx="7">
                    <c:v>Nhà sách BK </c:v>
                  </c:pt>
                  <c:pt idx="8">
                    <c:v>Nhà xuất bản BK </c:v>
                  </c:pt>
                  <c:pt idx="9">
                    <c:v>Bưu điện BK</c:v>
                  </c:pt>
                  <c:pt idx="10">
                    <c:v>Siêu thị MINI BK</c:v>
                  </c:pt>
                  <c:pt idx="11">
                    <c:v>Bún cá Anh Sơn</c:v>
                  </c:pt>
                  <c:pt idx="12">
                    <c:v>Kiot hàng ăn - A Bình A17</c:v>
                  </c:pt>
                  <c:pt idx="13">
                    <c:v>Chị Duyên - photocopy </c:v>
                  </c:pt>
                  <c:pt idx="14">
                    <c:v>Duy Anh - photocopy</c:v>
                  </c:pt>
                  <c:pt idx="15">
                    <c:v>Nguyễn Thu Trang -Photocopy</c:v>
                  </c:pt>
                  <c:pt idx="16">
                    <c:v>Công ty TNHH Thương mại HTP Photocopy</c:v>
                  </c:pt>
                  <c:pt idx="17">
                    <c:v>Ông Nam - Photocopy</c:v>
                  </c:pt>
                  <c:pt idx="18">
                    <c:v>Chị Phượng -Photocopy</c:v>
                  </c:pt>
                  <c:pt idx="19">
                    <c:v>Chị Tình -Photocopy </c:v>
                  </c:pt>
                  <c:pt idx="20">
                    <c:v>ĐH phòng đọc Thư viện TQB</c:v>
                  </c:pt>
                  <c:pt idx="21">
                    <c:v>TT kỹ thuật số Pháp ngữ CNF (AUF)</c:v>
                  </c:pt>
                  <c:pt idx="22">
                    <c:v>TT kỹ thuật số Pháp ngữ CNF (AUF)</c:v>
                  </c:pt>
                  <c:pt idx="23">
                    <c:v>ĐH phòng đọc Thư viện TQB</c:v>
                  </c:pt>
                  <c:pt idx="24">
                    <c:v>Viện CN và KT số</c:v>
                  </c:pt>
                  <c:pt idx="25">
                    <c:v>Viện CN và KT số (MB)</c:v>
                  </c:pt>
                  <c:pt idx="26">
                    <c:v>Viện NC và ứng dụng TTNT</c:v>
                  </c:pt>
                  <c:pt idx="27">
                    <c:v>ELEARNING CENTER</c:v>
                  </c:pt>
                  <c:pt idx="28">
                    <c:v>Quán tròn C9</c:v>
                  </c:pt>
                  <c:pt idx="29">
                    <c:v>Quán tròn C5 </c:v>
                  </c:pt>
                  <c:pt idx="30">
                    <c:v>Viện NCCN không gian và dưới nước</c:v>
                  </c:pt>
                  <c:pt idx="31">
                    <c:v>Viện NCCN không gian và dưới nước</c:v>
                  </c:pt>
                  <c:pt idx="32">
                    <c:v>Văn phòng GIZ </c:v>
                  </c:pt>
                  <c:pt idx="33">
                    <c:v>Quán tròn C10B</c:v>
                  </c:pt>
                  <c:pt idx="34">
                    <c:v>TT Đào tạo liên tục - phòng máy TV (D)</c:v>
                  </c:pt>
                  <c:pt idx="35">
                    <c:v>TT Đào tạo liên tục - phòng máy TV ( C)</c:v>
                  </c:pt>
                  <c:pt idx="36">
                    <c:v>Trung tâm y tế (t thụ)</c:v>
                  </c:pt>
                  <c:pt idx="37">
                    <c:v>Trung tâm KTX  (t thụ)</c:v>
                  </c:pt>
                  <c:pt idx="38">
                    <c:v>Trung tâm Ngôn ngữ và trao đổi học thuật C3B</c:v>
                  </c:pt>
                  <c:pt idx="39">
                    <c:v>Trung tâm Ngôn ngữ và trao đổi học thuật TVĐT</c:v>
                  </c:pt>
                  <c:pt idx="40">
                    <c:v>Trung tâm Ngôn ngữ và trao đổi học thuật D2C</c:v>
                  </c:pt>
                  <c:pt idx="41">
                    <c:v>Trung tâm Ngôn ngữ và trao đổi học thuật D6-Đèn quạt</c:v>
                  </c:pt>
                  <c:pt idx="42">
                    <c:v>Viện Kỹ thuật ĐK &amp; TĐH T2 (c tơ 2 chiều)</c:v>
                  </c:pt>
                  <c:pt idx="43">
                    <c:v>Viện Kỹ thuật ĐK &amp; TĐH T3</c:v>
                  </c:pt>
                  <c:pt idx="44">
                    <c:v>TT Dịch vụ và hỗ trợ BK.1/15</c:v>
                  </c:pt>
                  <c:pt idx="45">
                    <c:v>TT Dịch vụ và hỗ trợ BK.F (t thụ)</c:v>
                  </c:pt>
                  <c:pt idx="46">
                    <c:v>TT Dịch vụ và hỗ trợ BK.C1 (t thụ)</c:v>
                  </c:pt>
                  <c:pt idx="47">
                    <c:v>TT Dịch vụ và hỗ trợ BK.B1</c:v>
                  </c:pt>
                  <c:pt idx="48">
                    <c:v>TT Dịch vụ và hỗ trợ BK.17</c:v>
                  </c:pt>
                  <c:pt idx="49">
                    <c:v>TT Dịch vụ và hỗ trợ BK42</c:v>
                  </c:pt>
                  <c:pt idx="50">
                    <c:v>TT Dịch vụ và hỗ trợ BK.BB</c:v>
                  </c:pt>
                  <c:pt idx="51">
                    <c:v>BK Holdings</c:v>
                  </c:pt>
                  <c:pt idx="52">
                    <c:v>BK Holdings</c:v>
                  </c:pt>
                  <c:pt idx="53">
                    <c:v>BK Holdings</c:v>
                  </c:pt>
                  <c:pt idx="54">
                    <c:v>Cty CPĐT triển khai Dịch vụ CNTT &amp; VT BK HN</c:v>
                  </c:pt>
                  <c:pt idx="55">
                    <c:v>Cty CPĐT triển khai Dịch vụ CNTT &amp; VT BK HN</c:v>
                  </c:pt>
                  <c:pt idx="56">
                    <c:v>BK Holdings</c:v>
                  </c:pt>
                  <c:pt idx="57">
                    <c:v>Công ty CP công nghệ vật liệu và thiết bị Bách Khoa HN</c:v>
                  </c:pt>
                  <c:pt idx="58">
                    <c:v>Trường Cao Đẳng nghề BK -C4B</c:v>
                  </c:pt>
                  <c:pt idx="59">
                    <c:v>Trường Cao Đẳng nghề BK- 11 TQB</c:v>
                  </c:pt>
                  <c:pt idx="60">
                    <c:v>Trường Cao Đẳng nghề BK - VP trường cũ</c:v>
                  </c:pt>
                </c:lvl>
              </c:multiLvlStrCache>
            </c:multiLvlStrRef>
          </c:cat>
          <c:val>
            <c:numRef>
              <c:f>'Bảng kê'!$Q$20:$Q$80</c:f>
              <c:numCache>
                <c:formatCode>General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40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50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B-4843-A2F7-37AFB5585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392656"/>
        <c:axId val="1"/>
      </c:barChart>
      <c:catAx>
        <c:axId val="13793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3926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9179487179487179"/>
          <c:y val="0.89028213166144199"/>
          <c:w val="0.80717948717948718"/>
          <c:h val="0.9858934169278996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Data!$A$3:$A$220</c:f>
              <c:strCache>
                <c:ptCount val="218"/>
                <c:pt idx="0">
                  <c:v>STT</c:v>
                </c:pt>
                <c:pt idx="1">
                  <c:v>(1)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</c:strCache>
            </c:strRef>
          </c:tx>
          <c:invertIfNegative val="0"/>
          <c:val>
            <c:numRef>
              <c:f>Data!$A$202:$A$220</c:f>
              <c:numCache>
                <c:formatCode>General</c:formatCode>
                <c:ptCount val="12"/>
                <c:pt idx="0">
                  <c:v>198</c:v>
                </c:pt>
                <c:pt idx="1">
                  <c:v>199</c:v>
                </c:pt>
                <c:pt idx="2">
                  <c:v>200</c:v>
                </c:pt>
                <c:pt idx="3">
                  <c:v>201</c:v>
                </c:pt>
                <c:pt idx="4">
                  <c:v>202</c:v>
                </c:pt>
                <c:pt idx="5">
                  <c:v>207</c:v>
                </c:pt>
                <c:pt idx="6">
                  <c:v>208</c:v>
                </c:pt>
                <c:pt idx="7">
                  <c:v>209</c:v>
                </c:pt>
                <c:pt idx="8">
                  <c:v>210</c:v>
                </c:pt>
                <c:pt idx="9">
                  <c:v>211</c:v>
                </c:pt>
                <c:pt idx="10">
                  <c:v>212</c:v>
                </c:pt>
                <c:pt idx="11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3-4F71-93E9-73CD9A6CCCC5}"/>
            </c:ext>
          </c:extLst>
        </c:ser>
        <c:ser>
          <c:idx val="1"/>
          <c:order val="1"/>
          <c:tx>
            <c:strRef>
              <c:f>Data!$B$3:$B$220</c:f>
              <c:strCache>
                <c:ptCount val="218"/>
                <c:pt idx="0">
                  <c:v>Hộ tiêu thụ điện</c:v>
                </c:pt>
                <c:pt idx="1">
                  <c:v>(2)</c:v>
                </c:pt>
                <c:pt idx="2">
                  <c:v>Kiot Tea &amp; Coffee KĐ B</c:v>
                </c:pt>
                <c:pt idx="3">
                  <c:v>Kiot Trịnh Thị Thu Trang</c:v>
                </c:pt>
                <c:pt idx="4">
                  <c:v>Anh Toàn - BM Vật liệu điện tử</c:v>
                </c:pt>
                <c:pt idx="5">
                  <c:v>Chị Khánh - Dịch vụ SVĐ</c:v>
                </c:pt>
                <c:pt idx="6">
                  <c:v>Kiot Trịnh Thị Thu Trang</c:v>
                </c:pt>
                <c:pt idx="7">
                  <c:v>Kiot nướng KĐ B. Trang</c:v>
                </c:pt>
                <c:pt idx="8">
                  <c:v>Quán ăn uống giải khát c.Ly</c:v>
                </c:pt>
                <c:pt idx="9">
                  <c:v>Phòng giao dịch Trung tâm VNPT Hà Nội</c:v>
                </c:pt>
                <c:pt idx="10">
                  <c:v>CLB Bi-a Phú Kỳ T2</c:v>
                </c:pt>
                <c:pt idx="11">
                  <c:v>CLB Bi-a Yến T2</c:v>
                </c:pt>
                <c:pt idx="12">
                  <c:v>Siêu thị Nam Phong</c:v>
                </c:pt>
                <c:pt idx="13">
                  <c:v>Lớp học thầy Chung T3</c:v>
                </c:pt>
                <c:pt idx="14">
                  <c:v>Văn phòng thầy Chung</c:v>
                </c:pt>
                <c:pt idx="15">
                  <c:v>Vật lý siêu nhẩm tầng 3</c:v>
                </c:pt>
                <c:pt idx="16">
                  <c:v>CLB Bi-a coffee tầng 3</c:v>
                </c:pt>
                <c:pt idx="17">
                  <c:v>Công ty  CPXD Hoàng Hà</c:v>
                </c:pt>
                <c:pt idx="18">
                  <c:v>Kiot chị Hiền cổng TT Y tế </c:v>
                </c:pt>
                <c:pt idx="19">
                  <c:v>Công ty  CP XD Hoàng Hà- VP</c:v>
                </c:pt>
                <c:pt idx="20">
                  <c:v>Công ty CP Công nghệ cao GENE Việt</c:v>
                </c:pt>
                <c:pt idx="21">
                  <c:v>Cửa hàng Highlands BK</c:v>
                </c:pt>
                <c:pt idx="22">
                  <c:v>Nhà sách ADC Trần Đại Nghĩa</c:v>
                </c:pt>
                <c:pt idx="23">
                  <c:v>Khoa Việt Nam học và Tiếng việt (t thụ)</c:v>
                </c:pt>
                <c:pt idx="24">
                  <c:v>Nhà ăn T3-D2A</c:v>
                </c:pt>
                <c:pt idx="25">
                  <c:v>TT Công nghệ Polyme Compozit và giấy</c:v>
                </c:pt>
                <c:pt idx="26">
                  <c:v>Văn phòng cựu sinh viên</c:v>
                </c:pt>
                <c:pt idx="27">
                  <c:v>Tạ Thanh Hằng - Photocopy</c:v>
                </c:pt>
                <c:pt idx="28">
                  <c:v>Nhà sách BK </c:v>
                </c:pt>
                <c:pt idx="29">
                  <c:v>Nhà sách BK </c:v>
                </c:pt>
                <c:pt idx="30">
                  <c:v>Nhà xuất bản BK </c:v>
                </c:pt>
                <c:pt idx="31">
                  <c:v>Bưu điện BK</c:v>
                </c:pt>
                <c:pt idx="32">
                  <c:v>Siêu thị MINI BK</c:v>
                </c:pt>
                <c:pt idx="33">
                  <c:v>Bún cá Anh Sơn</c:v>
                </c:pt>
                <c:pt idx="34">
                  <c:v>Kiot hàng ăn - A Bình A17</c:v>
                </c:pt>
                <c:pt idx="35">
                  <c:v>Chị Duyên - photocopy </c:v>
                </c:pt>
                <c:pt idx="36">
                  <c:v>Xưởng in ngõ 40</c:v>
                </c:pt>
                <c:pt idx="37">
                  <c:v>Công ty CP đầu tư dịch vụ Tân Hoàng Gia (Bể bơi BK)</c:v>
                </c:pt>
                <c:pt idx="38">
                  <c:v>Công ty CP đầu tư dịch vụ Tân Hoàng Gia (Bể bơi BK)</c:v>
                </c:pt>
                <c:pt idx="39">
                  <c:v>Duy Anh - photocopy</c:v>
                </c:pt>
                <c:pt idx="40">
                  <c:v>Nguyễn Thu Trang -Photocopy</c:v>
                </c:pt>
                <c:pt idx="41">
                  <c:v>Công ty TNHH Thương mại HTP Photocopy</c:v>
                </c:pt>
                <c:pt idx="42">
                  <c:v>Ông Nam - Photocopy</c:v>
                </c:pt>
                <c:pt idx="43">
                  <c:v>Chị Phượng -Photocopy</c:v>
                </c:pt>
                <c:pt idx="44">
                  <c:v>Chị Tình -Photocopy </c:v>
                </c:pt>
                <c:pt idx="45">
                  <c:v>ĐH phòng đọc Thư viện TQB</c:v>
                </c:pt>
                <c:pt idx="46">
                  <c:v>ĐH phòng đọc Thư viện TQB</c:v>
                </c:pt>
                <c:pt idx="47">
                  <c:v>TT kỹ thuật số Pháp ngữ CNF (AUF)</c:v>
                </c:pt>
                <c:pt idx="48">
                  <c:v>TT kỹ thuật số Pháp ngữ CNF (AUF)</c:v>
                </c:pt>
                <c:pt idx="49">
                  <c:v>ĐH phòng đọc Thư viện TQB</c:v>
                </c:pt>
                <c:pt idx="50">
                  <c:v>Viện CN và KT số</c:v>
                </c:pt>
                <c:pt idx="51">
                  <c:v>Viện CN và KT số (MB)</c:v>
                </c:pt>
                <c:pt idx="52">
                  <c:v>Viện NC và ứng dụng Trí tuệ nhân tạo</c:v>
                </c:pt>
                <c:pt idx="53">
                  <c:v>ELEARNING CENTER</c:v>
                </c:pt>
                <c:pt idx="54">
                  <c:v>Phòng KT mạng B1</c:v>
                </c:pt>
                <c:pt idx="55">
                  <c:v>Quán tròn C9</c:v>
                </c:pt>
                <c:pt idx="56">
                  <c:v>Quán tròn C5 </c:v>
                </c:pt>
                <c:pt idx="57">
                  <c:v>Viện NCCN không gian và dưới nước</c:v>
                </c:pt>
                <c:pt idx="58">
                  <c:v>Viện NCCN không gian và dưới nước</c:v>
                </c:pt>
                <c:pt idx="59">
                  <c:v>Văn phòng GIZ </c:v>
                </c:pt>
                <c:pt idx="60">
                  <c:v>Quán tròn C10B</c:v>
                </c:pt>
                <c:pt idx="61">
                  <c:v>Viện khoa học sức khỏe</c:v>
                </c:pt>
                <c:pt idx="62">
                  <c:v>Trường CNTT và TT B1 (t thụ)</c:v>
                </c:pt>
                <c:pt idx="63">
                  <c:v>VP TT Đào tạo liên tục </c:v>
                </c:pt>
                <c:pt idx="64">
                  <c:v>TT Đào tạo liên tục - phòng máy TC</c:v>
                </c:pt>
                <c:pt idx="65">
                  <c:v>TT Đào tạo liên tục - phòng máy TV (D)</c:v>
                </c:pt>
                <c:pt idx="66">
                  <c:v>TT Đào tạo liên tục - phòng máy TV ( C)</c:v>
                </c:pt>
                <c:pt idx="67">
                  <c:v>Trung tâm y tế (t thụ)</c:v>
                </c:pt>
                <c:pt idx="68">
                  <c:v>Trung tâm KTX  (t thụ)</c:v>
                </c:pt>
                <c:pt idx="69">
                  <c:v>Phòng TN Đông cơ đốt trong - Động lực (t thụ)</c:v>
                </c:pt>
                <c:pt idx="70">
                  <c:v>Phòng TN Đông cơ đốt trong - Ánh sáng</c:v>
                </c:pt>
                <c:pt idx="71">
                  <c:v>TT Kỹ thuật cơ khí</c:v>
                </c:pt>
                <c:pt idx="72">
                  <c:v>TT Kỹ thuật cơ khí</c:v>
                </c:pt>
                <c:pt idx="73">
                  <c:v>TT Kỹ thuật cơ khí</c:v>
                </c:pt>
                <c:pt idx="74">
                  <c:v>TT Kỹ thuật cơ khí</c:v>
                </c:pt>
                <c:pt idx="75">
                  <c:v>TT Kỹ thuật cơ khí</c:v>
                </c:pt>
                <c:pt idx="76">
                  <c:v>TT Kỹ thuật cơ khí</c:v>
                </c:pt>
                <c:pt idx="77">
                  <c:v>TT Kỹ thuật cơ khí</c:v>
                </c:pt>
                <c:pt idx="78">
                  <c:v>PTN Động cơ đốt trong. T</c:v>
                </c:pt>
                <c:pt idx="79">
                  <c:v>TT Kỹ thuật cơ khí</c:v>
                </c:pt>
                <c:pt idx="80">
                  <c:v>TT Kỹ thuật cơ khí</c:v>
                </c:pt>
                <c:pt idx="81">
                  <c:v>TT Kỹ thuật cơ khí</c:v>
                </c:pt>
                <c:pt idx="82">
                  <c:v>TT Kỹ thuật cơ khí - VP</c:v>
                </c:pt>
                <c:pt idx="83">
                  <c:v>Ông Vinh, Máy MS học, Viện CK</c:v>
                </c:pt>
                <c:pt idx="84">
                  <c:v>Bộ môn Gia công vật liệu - Dụng cụ công nghiệp</c:v>
                </c:pt>
                <c:pt idx="85">
                  <c:v>PTN Cơ điện tử</c:v>
                </c:pt>
                <c:pt idx="86">
                  <c:v>PTN Ô tô  ĐN1</c:v>
                </c:pt>
                <c:pt idx="87">
                  <c:v>PTN HK Vũ trụ</c:v>
                </c:pt>
                <c:pt idx="88">
                  <c:v>PTN thiết kế máy công cụ</c:v>
                </c:pt>
                <c:pt idx="89">
                  <c:v>PTN HK Vũ trụ</c:v>
                </c:pt>
                <c:pt idx="90">
                  <c:v>PTN Cấu tạo Ô tô</c:v>
                </c:pt>
                <c:pt idx="91">
                  <c:v>PTN nhà máy số </c:v>
                </c:pt>
                <c:pt idx="92">
                  <c:v>PTN Thủy khí</c:v>
                </c:pt>
                <c:pt idx="93">
                  <c:v>PTN Thủy khí</c:v>
                </c:pt>
                <c:pt idx="94">
                  <c:v>PTN HK Vũ trụ</c:v>
                </c:pt>
                <c:pt idx="95">
                  <c:v>Trường Cơ khí-nhà 2 tầng mới</c:v>
                </c:pt>
                <c:pt idx="96">
                  <c:v>PTN Ô tô</c:v>
                </c:pt>
                <c:pt idx="97">
                  <c:v>Trung tâm MICA </c:v>
                </c:pt>
                <c:pt idx="98">
                  <c:v>Trung tâm thực hành ĐTVT B4</c:v>
                </c:pt>
                <c:pt idx="99">
                  <c:v>TT Đào tạo thực hành Đ-ĐT. D8</c:v>
                </c:pt>
                <c:pt idx="100">
                  <c:v>TT Đào tạo thực hành Đ-ĐT. D8</c:v>
                </c:pt>
                <c:pt idx="101">
                  <c:v>TT Đào tạo thực hành Đ-ĐT. D8</c:v>
                </c:pt>
                <c:pt idx="102">
                  <c:v>TT Đào tạo thực hành Đ-ĐT. D8</c:v>
                </c:pt>
                <c:pt idx="103">
                  <c:v>TT Đào tạo thực hành Đ-ĐT. D8</c:v>
                </c:pt>
                <c:pt idx="104">
                  <c:v>TT Đào tạo thực hành Đ-ĐT. D8</c:v>
                </c:pt>
                <c:pt idx="105">
                  <c:v>Vật lý kỹ thuật nhà A</c:v>
                </c:pt>
                <c:pt idx="106">
                  <c:v>Chị Yến -TT Đào tạo &amp; PT Sản phẩm TP</c:v>
                </c:pt>
                <c:pt idx="107">
                  <c:v>PTN BM Quá trình TBCNTP</c:v>
                </c:pt>
                <c:pt idx="108">
                  <c:v>TT R &amp; D sản phẩm TP - TRIC</c:v>
                </c:pt>
                <c:pt idx="109">
                  <c:v>Xưởng D6B Viện KHCN MT </c:v>
                </c:pt>
                <c:pt idx="110">
                  <c:v>KH&amp; CN Môi trường (tháng 1-5)</c:v>
                </c:pt>
                <c:pt idx="111">
                  <c:v>KH&amp; CN Môi trường </c:v>
                </c:pt>
                <c:pt idx="112">
                  <c:v>NC&amp;PT ứng dụng Hóa chất tự nhiên </c:v>
                </c:pt>
                <c:pt idx="113">
                  <c:v>PTN Dệt may</c:v>
                </c:pt>
                <c:pt idx="114">
                  <c:v>PTN Dệt may</c:v>
                </c:pt>
                <c:pt idx="115">
                  <c:v>PTN Dệt may</c:v>
                </c:pt>
                <c:pt idx="116">
                  <c:v>PTN Dệt may</c:v>
                </c:pt>
                <c:pt idx="117">
                  <c:v>PTN Polyme và Compozit </c:v>
                </c:pt>
                <c:pt idx="118">
                  <c:v>PTN Nhiệt luyện</c:v>
                </c:pt>
                <c:pt idx="119">
                  <c:v>PTN Nhiệt luyện</c:v>
                </c:pt>
                <c:pt idx="120">
                  <c:v>Viện ĐTQT về KHVL (ITIM)</c:v>
                </c:pt>
                <c:pt idx="121">
                  <c:v>PTN Kính hiển vi - ITIM</c:v>
                </c:pt>
                <c:pt idx="122">
                  <c:v>PTN Kính hiển vi - ITIM</c:v>
                </c:pt>
                <c:pt idx="123">
                  <c:v>PTN Nano ITIM (t thụ)</c:v>
                </c:pt>
                <c:pt idx="124">
                  <c:v>PTN VL Điện tử -Y sinh</c:v>
                </c:pt>
                <c:pt idx="125">
                  <c:v>Trung tâm Ngôn ngữ và trao đổi học thuật C3B</c:v>
                </c:pt>
                <c:pt idx="126">
                  <c:v>Trung tâm Ngôn ngữ và trao đổi học thuật TVĐT</c:v>
                </c:pt>
                <c:pt idx="127">
                  <c:v>Trung tâm Ngôn ngữ và trao đổi học thuật D2C</c:v>
                </c:pt>
                <c:pt idx="128">
                  <c:v>Trung tâm Ngôn ngữ và trao đổi học thuật D6-ĐH (4 điều hòa)</c:v>
                </c:pt>
                <c:pt idx="129">
                  <c:v>Trung tâm Ngôn ngữ và trao đổi học thuật D6-Đèn quạt</c:v>
                </c:pt>
                <c:pt idx="130">
                  <c:v>PTN Viện Kỹ thuật ĐK &amp; TĐH C6</c:v>
                </c:pt>
                <c:pt idx="131">
                  <c:v>Viện Kỹ thuật ĐK &amp; TĐH T2 (c tơ 2 chiều)</c:v>
                </c:pt>
                <c:pt idx="132">
                  <c:v>Viện Kỹ thuật ĐK &amp; TĐH T3</c:v>
                </c:pt>
                <c:pt idx="133">
                  <c:v>Viện Kỹ thuật ĐK &amp; TĐH ngõ 15</c:v>
                </c:pt>
                <c:pt idx="134">
                  <c:v>TT Cao su (t thụ)</c:v>
                </c:pt>
                <c:pt idx="135">
                  <c:v>TT Dịch vụ và hỗ trợ BK.1/15</c:v>
                </c:pt>
                <c:pt idx="136">
                  <c:v>TT Dịch vụ và hỗ trợ BK.F (t thụ)</c:v>
                </c:pt>
                <c:pt idx="137">
                  <c:v>TT Dịch vụ và hỗ trợ BK.B1</c:v>
                </c:pt>
                <c:pt idx="138">
                  <c:v>TT Dịch vụ và hỗ trợ BK.17</c:v>
                </c:pt>
                <c:pt idx="139">
                  <c:v>TT Dịch vụ và hỗ trợ BK42</c:v>
                </c:pt>
                <c:pt idx="140">
                  <c:v>TT Dịch vụ và hỗ trợ BK.BB</c:v>
                </c:pt>
                <c:pt idx="141">
                  <c:v>BK Holdings</c:v>
                </c:pt>
                <c:pt idx="142">
                  <c:v>BK Holdings</c:v>
                </c:pt>
                <c:pt idx="143">
                  <c:v>BK Holdings</c:v>
                </c:pt>
                <c:pt idx="144">
                  <c:v>Cty CPĐT triển khai Dịch vụ CNTT &amp; VT BK HN</c:v>
                </c:pt>
                <c:pt idx="145">
                  <c:v>Cty CPĐT triển khai Dịch vụ CNTT &amp; VT BK HN</c:v>
                </c:pt>
                <c:pt idx="146">
                  <c:v>BK Holdings</c:v>
                </c:pt>
                <c:pt idx="147">
                  <c:v>Công ty TNHH MTV tư vấn &amp; CGCN Bách Khoa</c:v>
                </c:pt>
                <c:pt idx="148">
                  <c:v>Công ty Cổ phần Cơ khí chính xác</c:v>
                </c:pt>
                <c:pt idx="149">
                  <c:v>Công ty CP công nghệ vật liệu và thiết bị Bách Khoa HN</c:v>
                </c:pt>
                <c:pt idx="150">
                  <c:v>Trường Cao Đẳng nghề BK -C4B</c:v>
                </c:pt>
                <c:pt idx="151">
                  <c:v>Trường Cao Đẳng nghề BK- 11 TQB</c:v>
                </c:pt>
                <c:pt idx="152">
                  <c:v>Trường Cao Đẳng nghề BK - VP trường cũ</c:v>
                </c:pt>
                <c:pt idx="153">
                  <c:v>Trường Cao Đẳng nghề BK - B4</c:v>
                </c:pt>
                <c:pt idx="154">
                  <c:v>Trường Cao Đẳng nghề BK B4</c:v>
                </c:pt>
                <c:pt idx="155">
                  <c:v>Trường Cao đẳng nghề BK - A17</c:v>
                </c:pt>
                <c:pt idx="156">
                  <c:v>Trường Cao đẳng nghề BK A17</c:v>
                </c:pt>
                <c:pt idx="157">
                  <c:v>Trường Cao đẳng nghề BK - A17</c:v>
                </c:pt>
                <c:pt idx="158">
                  <c:v>Trường Cao đẳng nghề BK - Ngõ 17</c:v>
                </c:pt>
                <c:pt idx="159">
                  <c:v>Trường Cao đẳng nghề BK - Nhà B</c:v>
                </c:pt>
                <c:pt idx="160">
                  <c:v>Trường Cao đẳng nghề BK-xưởng Hàn B4 (a/s)</c:v>
                </c:pt>
                <c:pt idx="161">
                  <c:v>Trường Cao đẳng nghề BK-xưởng Hàn B4</c:v>
                </c:pt>
                <c:pt idx="162">
                  <c:v>Trường Cao đẳng nghề - nhà A</c:v>
                </c:pt>
                <c:pt idx="163">
                  <c:v>Trường Cao đẳng nghề - nhà A</c:v>
                </c:pt>
                <c:pt idx="164">
                  <c:v>Trường Cao đẳng nghề </c:v>
                </c:pt>
                <c:pt idx="165">
                  <c:v>Trường THCS và THPT Tạ Quang Bửu</c:v>
                </c:pt>
                <c:pt idx="166">
                  <c:v>Trường THCS và THPT Tạ Quang Bửu</c:v>
                </c:pt>
                <c:pt idx="167">
                  <c:v>PTN Xây dựng C3-ĐHXD</c:v>
                </c:pt>
                <c:pt idx="168">
                  <c:v>PTN Công trình Thủy C6-ĐHXD</c:v>
                </c:pt>
                <c:pt idx="169">
                  <c:v>PTN - Đại học Mỏ địa chất C5</c:v>
                </c:pt>
                <c:pt idx="170">
                  <c:v>TT nghiên cứu địa kỹ thuật Đh Mỏ </c:v>
                </c:pt>
                <c:pt idx="171">
                  <c:v>Ông Hướng - ĐH văn phòng BQL sân</c:v>
                </c:pt>
                <c:pt idx="172">
                  <c:v>Ông Hướng - Phòng tập A2 </c:v>
                </c:pt>
                <c:pt idx="173">
                  <c:v>Ông Hướng - Đèn chiếu sân bóng nhỏ - SVĐ</c:v>
                </c:pt>
                <c:pt idx="174">
                  <c:v>Ông Hướng - phòng tập A1 Bi-a </c:v>
                </c:pt>
                <c:pt idx="175">
                  <c:v>Ông Hướng-Phòng tập A3</c:v>
                </c:pt>
                <c:pt idx="176">
                  <c:v>Ông Hướng - Căng tin KĐA</c:v>
                </c:pt>
                <c:pt idx="177">
                  <c:v>Ông Hướng - Cụm văn phòng BQL sân</c:v>
                </c:pt>
                <c:pt idx="178">
                  <c:v>Ông Hướng - Chiếu sáng Sân tập bóng chuyền, bóng rổ cũ</c:v>
                </c:pt>
                <c:pt idx="179">
                  <c:v>Ông Hướng - 4 cột đèn lớn SVĐ</c:v>
                </c:pt>
                <c:pt idx="180">
                  <c:v>Ông Hướng - Sân bóng KTX B9</c:v>
                </c:pt>
                <c:pt idx="181">
                  <c:v>Ô Hướng - YOGA1 NTĐ</c:v>
                </c:pt>
                <c:pt idx="182">
                  <c:v>Ô Hướng - Sàn tập NTĐ</c:v>
                </c:pt>
                <c:pt idx="183">
                  <c:v>Ô Hướng Café + bi-a T2 NTĐ</c:v>
                </c:pt>
                <c:pt idx="184">
                  <c:v>Ô Hướng - YOGA2 NTĐ</c:v>
                </c:pt>
                <c:pt idx="185">
                  <c:v>Ô Hướng - Phòng tập tầng 2 Bể bơi</c:v>
                </c:pt>
                <c:pt idx="186">
                  <c:v>Ô Hướng - ĐH vp BQL NTĐ </c:v>
                </c:pt>
                <c:pt idx="187">
                  <c:v>Ô Hướng - Quầy bán đồ thể thao ngõ 42</c:v>
                </c:pt>
                <c:pt idx="188">
                  <c:v>Ô Hướng - Sân Tennis ngõ 42</c:v>
                </c:pt>
                <c:pt idx="189">
                  <c:v> Ô Hướng Phòng âm thanh NTĐ</c:v>
                </c:pt>
                <c:pt idx="190">
                  <c:v> Ô Hướng - chiếu sáng phụ + máy bơm </c:v>
                </c:pt>
                <c:pt idx="191">
                  <c:v>Phòng giao dịch BIDV A17</c:v>
                </c:pt>
                <c:pt idx="192">
                  <c:v>ATM BIDV chi nhánh Hà Thành</c:v>
                </c:pt>
                <c:pt idx="193">
                  <c:v>Phòng giao dịch ViettinBank A17</c:v>
                </c:pt>
                <c:pt idx="194">
                  <c:v>ATM Ngân hàng ViettinBank</c:v>
                </c:pt>
                <c:pt idx="195">
                  <c:v>ATM Agribank chi nhánh Thủ đô</c:v>
                </c:pt>
                <c:pt idx="196">
                  <c:v>TT mạng lưới MobiFone  B1</c:v>
                </c:pt>
                <c:pt idx="197">
                  <c:v>TT mạng lưới MobiFone D4</c:v>
                </c:pt>
                <c:pt idx="198">
                  <c:v>Công ty cổ phần viễn thông Đông Đô</c:v>
                </c:pt>
                <c:pt idx="199">
                  <c:v>Phòng GD Viettel - cổng Parabol 
</c:v>
                </c:pt>
                <c:pt idx="200">
                  <c:v>Công ty Phú Thái</c:v>
                </c:pt>
                <c:pt idx="201">
                  <c:v>Công ty Phú Thái</c:v>
                </c:pt>
                <c:pt idx="202">
                  <c:v>Công ty TNHH TMDVTH Đức Anh</c:v>
                </c:pt>
                <c:pt idx="203">
                  <c:v>Công ty Phú Thái</c:v>
                </c:pt>
                <c:pt idx="204">
                  <c:v>Công ty Viettel - Cột KTX</c:v>
                </c:pt>
                <c:pt idx="205">
                  <c:v>Công ty Viettel - Cột B1 </c:v>
                </c:pt>
                <c:pt idx="206">
                  <c:v>Công ty Viettel Cột TVĐT </c:v>
                </c:pt>
                <c:pt idx="207">
                  <c:v>Công ty Viettel - Cột D8</c:v>
                </c:pt>
                <c:pt idx="208">
                  <c:v>Công ty TNHH TMDVTH Đức Anh</c:v>
                </c:pt>
                <c:pt idx="209">
                  <c:v>Máy bán hàng Trường Hưng (t thụ)</c:v>
                </c:pt>
                <c:pt idx="210">
                  <c:v> Công ty CP CN Vending Machine VN (t thụ)</c:v>
                </c:pt>
                <c:pt idx="211">
                  <c:v>Máy bán cà phê tự động (t thụ 4 máy)</c:v>
                </c:pt>
                <c:pt idx="212">
                  <c:v>Công ty CP dữ liệu số IHUB - Tủ gửi đồ</c:v>
                </c:pt>
                <c:pt idx="213">
                  <c:v>Tạp chí Tự động hóa </c:v>
                </c:pt>
                <c:pt idx="214">
                  <c:v>Tạp chí Tự động hóa - Đ hòa</c:v>
                </c:pt>
                <c:pt idx="215">
                  <c:v>TT mạng lưới MobiFone miền Bắc</c:v>
                </c:pt>
                <c:pt idx="216">
                  <c:v>TT mạng lưới MobiFone miền Bắc</c:v>
                </c:pt>
                <c:pt idx="217">
                  <c:v>Cột viễn thông Vinaphone</c:v>
                </c:pt>
              </c:strCache>
            </c:strRef>
          </c:tx>
          <c:invertIfNegative val="0"/>
          <c:val>
            <c:numRef>
              <c:f>Data!$B$202:$B$220</c:f>
              <c:numCache>
                <c:formatCode>#,##0_);\(#,##0\)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3-4F71-93E9-73CD9A6CCCC5}"/>
            </c:ext>
          </c:extLst>
        </c:ser>
        <c:ser>
          <c:idx val="2"/>
          <c:order val="2"/>
          <c:tx>
            <c:strRef>
              <c:f>Data!$C$3:$C$220</c:f>
              <c:strCache>
                <c:ptCount val="218"/>
                <c:pt idx="0">
                  <c:v>Đơn vị chủ quản</c:v>
                </c:pt>
                <c:pt idx="1">
                  <c:v>(3)</c:v>
                </c:pt>
                <c:pt idx="2">
                  <c:v>HĐKT</c:v>
                </c:pt>
                <c:pt idx="3">
                  <c:v>HĐKT</c:v>
                </c:pt>
                <c:pt idx="4">
                  <c:v>Viện Vật lý kỹ thuật</c:v>
                </c:pt>
                <c:pt idx="5">
                  <c:v>HĐKT</c:v>
                </c:pt>
                <c:pt idx="6">
                  <c:v>HĐKT</c:v>
                </c:pt>
                <c:pt idx="7">
                  <c:v>HĐKT</c:v>
                </c:pt>
                <c:pt idx="8">
                  <c:v>HĐKT</c:v>
                </c:pt>
                <c:pt idx="9">
                  <c:v>HĐKT</c:v>
                </c:pt>
                <c:pt idx="10">
                  <c:v>HĐKT</c:v>
                </c:pt>
                <c:pt idx="11">
                  <c:v>HĐKT</c:v>
                </c:pt>
                <c:pt idx="12">
                  <c:v>HĐKT</c:v>
                </c:pt>
                <c:pt idx="13">
                  <c:v>HĐKT</c:v>
                </c:pt>
                <c:pt idx="14">
                  <c:v>HĐKT</c:v>
                </c:pt>
                <c:pt idx="15">
                  <c:v>HĐKT</c:v>
                </c:pt>
                <c:pt idx="16">
                  <c:v>HĐKT</c:v>
                </c:pt>
                <c:pt idx="17">
                  <c:v>HĐKT</c:v>
                </c:pt>
                <c:pt idx="18">
                  <c:v>HĐKT</c:v>
                </c:pt>
                <c:pt idx="19">
                  <c:v>HĐKT</c:v>
                </c:pt>
                <c:pt idx="20">
                  <c:v>Công ty CP Công nghệ cao GENE Việt</c:v>
                </c:pt>
                <c:pt idx="21">
                  <c:v>Công ty CP dịch vụ và cà phê Cao Nguyên</c:v>
                </c:pt>
                <c:pt idx="23">
                  <c:v>Trường ĐH KHXH và NV</c:v>
                </c:pt>
                <c:pt idx="24">
                  <c:v> Nhà ăn T3-D2A</c:v>
                </c:pt>
                <c:pt idx="25">
                  <c:v>Trường Vật liệu</c:v>
                </c:pt>
                <c:pt idx="27">
                  <c:v>HĐKT</c:v>
                </c:pt>
                <c:pt idx="28">
                  <c:v>Nhà xuất bản BK </c:v>
                </c:pt>
                <c:pt idx="29">
                  <c:v>Nhà xuất bản BK </c:v>
                </c:pt>
                <c:pt idx="30">
                  <c:v>Nhà xuất bản BK </c:v>
                </c:pt>
                <c:pt idx="31">
                  <c:v>Bưu điện BK</c:v>
                </c:pt>
                <c:pt idx="32">
                  <c:v>HĐKT</c:v>
                </c:pt>
                <c:pt idx="33">
                  <c:v>HĐKT</c:v>
                </c:pt>
                <c:pt idx="34">
                  <c:v>HĐKT</c:v>
                </c:pt>
                <c:pt idx="35">
                  <c:v>HĐKT</c:v>
                </c:pt>
                <c:pt idx="36">
                  <c:v>Trường Vật liệu</c:v>
                </c:pt>
                <c:pt idx="37">
                  <c:v>HĐKT</c:v>
                </c:pt>
                <c:pt idx="38">
                  <c:v>HĐKT</c:v>
                </c:pt>
                <c:pt idx="39">
                  <c:v>HĐKT</c:v>
                </c:pt>
                <c:pt idx="40">
                  <c:v>HĐKT</c:v>
                </c:pt>
                <c:pt idx="41">
                  <c:v>HĐKT</c:v>
                </c:pt>
                <c:pt idx="42">
                  <c:v>HĐKT</c:v>
                </c:pt>
                <c:pt idx="43">
                  <c:v>HĐKT</c:v>
                </c:pt>
                <c:pt idx="44">
                  <c:v>HĐKT</c:v>
                </c:pt>
                <c:pt idx="53">
                  <c:v>TT tâm chuyển đổi số</c:v>
                </c:pt>
                <c:pt idx="55">
                  <c:v>HĐKT</c:v>
                </c:pt>
                <c:pt idx="56">
                  <c:v>HĐKT</c:v>
                </c:pt>
                <c:pt idx="57">
                  <c:v>Viện NCCN không gian và dưới nước</c:v>
                </c:pt>
                <c:pt idx="58">
                  <c:v>Viện NCCN không gian và dưới nước</c:v>
                </c:pt>
                <c:pt idx="59">
                  <c:v>HĐKT</c:v>
                </c:pt>
                <c:pt idx="60">
                  <c:v>HĐKT</c:v>
                </c:pt>
                <c:pt idx="62">
                  <c:v>Trường CNTT và TT</c:v>
                </c:pt>
                <c:pt idx="63">
                  <c:v>TT Đào tạo liên tục</c:v>
                </c:pt>
                <c:pt idx="64">
                  <c:v>TT Đào tạo liên tục</c:v>
                </c:pt>
                <c:pt idx="65">
                  <c:v>TT Đào tạo liên tục</c:v>
                </c:pt>
                <c:pt idx="66">
                  <c:v>TT Đào tạo liên tục</c:v>
                </c:pt>
                <c:pt idx="67">
                  <c:v>TT Y tế</c:v>
                </c:pt>
                <c:pt idx="69">
                  <c:v>Trường Cơ Khí</c:v>
                </c:pt>
                <c:pt idx="70">
                  <c:v>Trường Cơ Khí</c:v>
                </c:pt>
                <c:pt idx="71">
                  <c:v>Trường Cơ khí</c:v>
                </c:pt>
                <c:pt idx="72">
                  <c:v>Trường Cơ khí</c:v>
                </c:pt>
                <c:pt idx="73">
                  <c:v>Trường Cơ khí</c:v>
                </c:pt>
                <c:pt idx="74">
                  <c:v>Trường Cơ khí</c:v>
                </c:pt>
                <c:pt idx="75">
                  <c:v>Trường Cơ khí</c:v>
                </c:pt>
                <c:pt idx="76">
                  <c:v>Trường Cơ khí</c:v>
                </c:pt>
                <c:pt idx="77">
                  <c:v>Trường Cơ khí</c:v>
                </c:pt>
                <c:pt idx="78">
                  <c:v>Trường Cơ Khí</c:v>
                </c:pt>
                <c:pt idx="79">
                  <c:v>Trường Cơ khí</c:v>
                </c:pt>
                <c:pt idx="80">
                  <c:v>Trường Cơ khí</c:v>
                </c:pt>
                <c:pt idx="81">
                  <c:v>Trường Cơ khí</c:v>
                </c:pt>
                <c:pt idx="82">
                  <c:v>Trường Cơ khí</c:v>
                </c:pt>
                <c:pt idx="83">
                  <c:v>Trường Cơ Khí</c:v>
                </c:pt>
                <c:pt idx="84">
                  <c:v>Trường Cơ Khí</c:v>
                </c:pt>
                <c:pt idx="85">
                  <c:v>Trường Cơ khí</c:v>
                </c:pt>
                <c:pt idx="86">
                  <c:v>Trường Cơ khí</c:v>
                </c:pt>
                <c:pt idx="87">
                  <c:v>Trường Cơ khí</c:v>
                </c:pt>
                <c:pt idx="88">
                  <c:v>Trường Cơ khí</c:v>
                </c:pt>
                <c:pt idx="89">
                  <c:v>Trường Cơ khí</c:v>
                </c:pt>
                <c:pt idx="90">
                  <c:v>Trường Cơ khí</c:v>
                </c:pt>
                <c:pt idx="91">
                  <c:v>Trường Cơ khí</c:v>
                </c:pt>
                <c:pt idx="92">
                  <c:v>Trường Cơ khí</c:v>
                </c:pt>
                <c:pt idx="93">
                  <c:v>Trường Cơ khí</c:v>
                </c:pt>
                <c:pt idx="94">
                  <c:v>Trường Cơ khí</c:v>
                </c:pt>
                <c:pt idx="95">
                  <c:v>Trường Cơ khí</c:v>
                </c:pt>
                <c:pt idx="96">
                  <c:v>Trường Cơ khí</c:v>
                </c:pt>
                <c:pt idx="97">
                  <c:v>Trường Điện - Điện tử </c:v>
                </c:pt>
                <c:pt idx="98">
                  <c:v>Trường Điện - Điện tử </c:v>
                </c:pt>
                <c:pt idx="99">
                  <c:v>Trường Điện - Điện tử </c:v>
                </c:pt>
                <c:pt idx="100">
                  <c:v>Trường Điện - Điện tử </c:v>
                </c:pt>
                <c:pt idx="101">
                  <c:v>Trường Điện - Điện tử </c:v>
                </c:pt>
                <c:pt idx="102">
                  <c:v>Trường Điện - Điện tử </c:v>
                </c:pt>
                <c:pt idx="103">
                  <c:v>Trường Điện - Điện tử </c:v>
                </c:pt>
                <c:pt idx="104">
                  <c:v>Trường Điện - Điện tử </c:v>
                </c:pt>
                <c:pt idx="105">
                  <c:v>Khoa Vật lý kỹ thuật</c:v>
                </c:pt>
                <c:pt idx="106">
                  <c:v>Trường Hóa và KHSS</c:v>
                </c:pt>
                <c:pt idx="107">
                  <c:v>Trường Hóa và KHSS</c:v>
                </c:pt>
                <c:pt idx="108">
                  <c:v>Trường Hóa và KHSS</c:v>
                </c:pt>
                <c:pt idx="109">
                  <c:v>Trường Hóa và KHSS</c:v>
                </c:pt>
                <c:pt idx="110">
                  <c:v>Trường Hóa và KHSS</c:v>
                </c:pt>
                <c:pt idx="111">
                  <c:v>Trường Hóa và KHSS</c:v>
                </c:pt>
                <c:pt idx="112">
                  <c:v>Trường Hóa và KHSS</c:v>
                </c:pt>
                <c:pt idx="113">
                  <c:v>Trường Vật liệu</c:v>
                </c:pt>
                <c:pt idx="114">
                  <c:v>Trường Vật liệu</c:v>
                </c:pt>
                <c:pt idx="115">
                  <c:v>Trường Vật liệu</c:v>
                </c:pt>
                <c:pt idx="116">
                  <c:v>Trường Vật liệu</c:v>
                </c:pt>
                <c:pt idx="117">
                  <c:v>Trường Vật liệu</c:v>
                </c:pt>
                <c:pt idx="118">
                  <c:v>Trường Vật liệu</c:v>
                </c:pt>
                <c:pt idx="119">
                  <c:v>Trường Vật liệu</c:v>
                </c:pt>
                <c:pt idx="120">
                  <c:v>Trường Vật liệu</c:v>
                </c:pt>
                <c:pt idx="121">
                  <c:v>Trường Vật liệu</c:v>
                </c:pt>
                <c:pt idx="122">
                  <c:v>Trường Vật liệu</c:v>
                </c:pt>
                <c:pt idx="123">
                  <c:v>Trường Vật liệu</c:v>
                </c:pt>
                <c:pt idx="124">
                  <c:v>Trường Vật liệu</c:v>
                </c:pt>
                <c:pt idx="125">
                  <c:v>TT Ngôn ngữ và trao đổi học thuật</c:v>
                </c:pt>
                <c:pt idx="126">
                  <c:v>TT Ngôn ngữ và trao đổi học thuật</c:v>
                </c:pt>
                <c:pt idx="127">
                  <c:v>TT Ngôn ngữ và trao đổi học thuật</c:v>
                </c:pt>
                <c:pt idx="128">
                  <c:v>TT Ngôn ngữ và trao đổi học thuật</c:v>
                </c:pt>
                <c:pt idx="129">
                  <c:v>TT Ngôn ngữ và trao đổi học thuật</c:v>
                </c:pt>
                <c:pt idx="130">
                  <c:v>Viện Kỹ thuật ĐK &amp; TĐH</c:v>
                </c:pt>
                <c:pt idx="131">
                  <c:v>Viện Kỹ thuật ĐK &amp; TĐH</c:v>
                </c:pt>
                <c:pt idx="132">
                  <c:v>Viện Kỹ thuật ĐK &amp; TĐH</c:v>
                </c:pt>
                <c:pt idx="133">
                  <c:v>Viện Kỹ thuật ĐK &amp; TĐH</c:v>
                </c:pt>
                <c:pt idx="134">
                  <c:v>Trường Hóa và KHSS</c:v>
                </c:pt>
                <c:pt idx="135">
                  <c:v>TTDV và HT BK</c:v>
                </c:pt>
                <c:pt idx="136">
                  <c:v>TTDV và HT BK</c:v>
                </c:pt>
                <c:pt idx="137">
                  <c:v>TTDV và HT BK</c:v>
                </c:pt>
                <c:pt idx="138">
                  <c:v>TTDV và HT BK</c:v>
                </c:pt>
                <c:pt idx="139">
                  <c:v>TTDV và HT BK</c:v>
                </c:pt>
                <c:pt idx="140">
                  <c:v>TTDV và HT BK</c:v>
                </c:pt>
                <c:pt idx="141">
                  <c:v>BK Holding</c:v>
                </c:pt>
                <c:pt idx="142">
                  <c:v>BK Holding</c:v>
                </c:pt>
                <c:pt idx="143">
                  <c:v>BK Holding</c:v>
                </c:pt>
                <c:pt idx="144">
                  <c:v>Nguyễn Ngọc Tuấn</c:v>
                </c:pt>
                <c:pt idx="145">
                  <c:v>Nguyễn Ngọc Tuấn</c:v>
                </c:pt>
                <c:pt idx="146">
                  <c:v>BK Holding</c:v>
                </c:pt>
                <c:pt idx="147">
                  <c:v>BK Holding</c:v>
                </c:pt>
                <c:pt idx="148">
                  <c:v>BK Holding</c:v>
                </c:pt>
                <c:pt idx="149">
                  <c:v>BK Holding</c:v>
                </c:pt>
                <c:pt idx="150">
                  <c:v>BK Holding</c:v>
                </c:pt>
                <c:pt idx="151">
                  <c:v>BK Holding</c:v>
                </c:pt>
                <c:pt idx="152">
                  <c:v>BK Holding</c:v>
                </c:pt>
                <c:pt idx="153">
                  <c:v>BK Holding</c:v>
                </c:pt>
                <c:pt idx="154">
                  <c:v>BK Holding</c:v>
                </c:pt>
                <c:pt idx="155">
                  <c:v>BK Holding</c:v>
                </c:pt>
                <c:pt idx="156">
                  <c:v>BK Holding</c:v>
                </c:pt>
                <c:pt idx="157">
                  <c:v>BK Holding</c:v>
                </c:pt>
                <c:pt idx="158">
                  <c:v>BK Holding</c:v>
                </c:pt>
                <c:pt idx="159">
                  <c:v>BK Holding</c:v>
                </c:pt>
                <c:pt idx="160">
                  <c:v>BK Holding</c:v>
                </c:pt>
                <c:pt idx="161">
                  <c:v>BK Holding</c:v>
                </c:pt>
                <c:pt idx="162">
                  <c:v>BK Holding</c:v>
                </c:pt>
                <c:pt idx="163">
                  <c:v>BK Holding</c:v>
                </c:pt>
                <c:pt idx="164">
                  <c:v>BK Holding</c:v>
                </c:pt>
                <c:pt idx="165">
                  <c:v>BK Holding</c:v>
                </c:pt>
                <c:pt idx="166">
                  <c:v>BK Holding</c:v>
                </c:pt>
                <c:pt idx="167">
                  <c:v>Trường ĐHXD</c:v>
                </c:pt>
                <c:pt idx="168">
                  <c:v>Trường ĐHXD</c:v>
                </c:pt>
                <c:pt idx="169">
                  <c:v>Trường ĐH Mỏ địa chất</c:v>
                </c:pt>
                <c:pt idx="170">
                  <c:v>Trường ĐH Mỏ địa chất</c:v>
                </c:pt>
                <c:pt idx="171">
                  <c:v>HĐKT</c:v>
                </c:pt>
                <c:pt idx="172">
                  <c:v>HĐKT</c:v>
                </c:pt>
                <c:pt idx="173">
                  <c:v>HĐKT</c:v>
                </c:pt>
                <c:pt idx="174">
                  <c:v>HĐKT</c:v>
                </c:pt>
                <c:pt idx="175">
                  <c:v>HĐKT</c:v>
                </c:pt>
                <c:pt idx="176">
                  <c:v>HĐKT</c:v>
                </c:pt>
                <c:pt idx="177">
                  <c:v>HĐKT</c:v>
                </c:pt>
                <c:pt idx="178">
                  <c:v>HĐKT</c:v>
                </c:pt>
                <c:pt idx="179">
                  <c:v>HĐKT</c:v>
                </c:pt>
                <c:pt idx="180">
                  <c:v>HĐKT</c:v>
                </c:pt>
                <c:pt idx="181">
                  <c:v>HĐKT</c:v>
                </c:pt>
                <c:pt idx="182">
                  <c:v>HĐKT</c:v>
                </c:pt>
                <c:pt idx="183">
                  <c:v>HĐKT</c:v>
                </c:pt>
                <c:pt idx="184">
                  <c:v>HĐKT</c:v>
                </c:pt>
                <c:pt idx="185">
                  <c:v>HĐKT</c:v>
                </c:pt>
                <c:pt idx="186">
                  <c:v>HĐKT</c:v>
                </c:pt>
                <c:pt idx="187">
                  <c:v>HĐKT</c:v>
                </c:pt>
                <c:pt idx="188">
                  <c:v>HĐKT</c:v>
                </c:pt>
                <c:pt idx="189">
                  <c:v>HĐKT</c:v>
                </c:pt>
                <c:pt idx="190">
                  <c:v>HĐKT</c:v>
                </c:pt>
                <c:pt idx="191">
                  <c:v>Ngân hàng TMCP Đầu tư và Phát triển CN Hà Thành</c:v>
                </c:pt>
                <c:pt idx="192">
                  <c:v>BIDV - CN Hà Thành</c:v>
                </c:pt>
                <c:pt idx="193">
                  <c:v>Viettinbank- Chi nhánh HBT</c:v>
                </c:pt>
                <c:pt idx="194">
                  <c:v>Viettinbank - Chi nhánh HBT</c:v>
                </c:pt>
                <c:pt idx="195">
                  <c:v>Agribank chi nhánh Thủ Đô</c:v>
                </c:pt>
                <c:pt idx="196">
                  <c:v>MobiFone</c:v>
                </c:pt>
                <c:pt idx="197">
                  <c:v>MobiFone</c:v>
                </c:pt>
                <c:pt idx="198">
                  <c:v>Công ty CP viễn thông Đông Đô</c:v>
                </c:pt>
                <c:pt idx="199">
                  <c:v>Công ty TNHH MTV dịch vụ và thương mại viettelpost</c:v>
                </c:pt>
                <c:pt idx="200">
                  <c:v>Công ty Phú Thái</c:v>
                </c:pt>
                <c:pt idx="201">
                  <c:v>Công ty Phú Thái</c:v>
                </c:pt>
                <c:pt idx="202">
                  <c:v>Công ty TNHH TMDVTH Đức Anh</c:v>
                </c:pt>
                <c:pt idx="203">
                  <c:v>Công ty Phú Thái</c:v>
                </c:pt>
                <c:pt idx="204">
                  <c:v>Công ty Viettel</c:v>
                </c:pt>
                <c:pt idx="205">
                  <c:v>Công ty Viettel</c:v>
                </c:pt>
                <c:pt idx="206">
                  <c:v>Công ty Viettel</c:v>
                </c:pt>
                <c:pt idx="207">
                  <c:v>Công ty Viettel</c:v>
                </c:pt>
                <c:pt idx="208">
                  <c:v>Công ty TNHH TMDVTH Đức Anh</c:v>
                </c:pt>
                <c:pt idx="209">
                  <c:v>Cty CP vật tư Trường Hưng</c:v>
                </c:pt>
                <c:pt idx="210">
                  <c:v>Cty CP CN Vending Machine VN</c:v>
                </c:pt>
                <c:pt idx="212">
                  <c:v>Công ty CP dữ liệu số IHUB</c:v>
                </c:pt>
                <c:pt idx="215">
                  <c:v>MobiFone</c:v>
                </c:pt>
                <c:pt idx="216">
                  <c:v>MobiFone</c:v>
                </c:pt>
                <c:pt idx="217">
                  <c:v>Công ty Vinaphone</c:v>
                </c:pt>
              </c:strCache>
            </c:strRef>
          </c:tx>
          <c:invertIfNegative val="0"/>
          <c:val>
            <c:numRef>
              <c:f>Data!$C$202:$C$220</c:f>
              <c:numCache>
                <c:formatCode>#,##0_);\(#,##0\)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3-4F71-93E9-73CD9A6CCCC5}"/>
            </c:ext>
          </c:extLst>
        </c:ser>
        <c:ser>
          <c:idx val="3"/>
          <c:order val="3"/>
          <c:tx>
            <c:strRef>
              <c:f>Data!$D$3:$D$220</c:f>
              <c:strCache>
                <c:ptCount val="218"/>
                <c:pt idx="0">
                  <c:v>Địa chỉ hộ
tiêu thụ điện</c:v>
                </c:pt>
                <c:pt idx="1">
                  <c:v>(4)</c:v>
                </c:pt>
                <c:pt idx="2">
                  <c:v>Lô 3 KĐB - SVĐ</c:v>
                </c:pt>
                <c:pt idx="3">
                  <c:v>Lô 13B KĐB - SVĐ </c:v>
                </c:pt>
                <c:pt idx="4">
                  <c:v>Phòng R &amp; D Tầng 1 nhà B</c:v>
                </c:pt>
                <c:pt idx="5">
                  <c:v>Lô 14, 15 KĐB - SVĐ</c:v>
                </c:pt>
                <c:pt idx="6">
                  <c:v>Lô 7-13A KĐB - SVĐ </c:v>
                </c:pt>
                <c:pt idx="7">
                  <c:v>Lô 456 KĐ B SVĐ</c:v>
                </c:pt>
                <c:pt idx="8">
                  <c:v>Tầng 1 Số 10 TQB</c:v>
                </c:pt>
                <c:pt idx="9">
                  <c:v>Tầng 1 Số 10 TQB</c:v>
                </c:pt>
                <c:pt idx="10">
                  <c:v>Tầng 2 Số 10 TQB</c:v>
                </c:pt>
                <c:pt idx="11">
                  <c:v>Tầng 2 Số 10 TQB</c:v>
                </c:pt>
                <c:pt idx="12">
                  <c:v>Tầng 1 Số 10 TQB</c:v>
                </c:pt>
                <c:pt idx="13">
                  <c:v>Tầng 3 Số 10 TQB</c:v>
                </c:pt>
                <c:pt idx="14">
                  <c:v>Tầng 4 Số 10 TQB</c:v>
                </c:pt>
                <c:pt idx="15">
                  <c:v>Tầng 3 Số 10 TQB</c:v>
                </c:pt>
                <c:pt idx="16">
                  <c:v>Tầng 3 Số 10 TQB</c:v>
                </c:pt>
                <c:pt idx="17">
                  <c:v>Dịch vụ trông xe - 10A TQB</c:v>
                </c:pt>
                <c:pt idx="18">
                  <c:v>Số 5 TQB</c:v>
                </c:pt>
                <c:pt idx="19">
                  <c:v>Sau nhà A15 TQB - Văn phòng</c:v>
                </c:pt>
                <c:pt idx="20">
                  <c:v>Tầng 11 nhà B1</c:v>
                </c:pt>
                <c:pt idx="21">
                  <c:v>Cửa hàng Highlands B1-TĐN</c:v>
                </c:pt>
                <c:pt idx="22">
                  <c:v>Nhà sách B1- TĐN</c:v>
                </c:pt>
                <c:pt idx="23">
                  <c:v>B7 BIS phố TĐN</c:v>
                </c:pt>
                <c:pt idx="24">
                  <c:v>Tầng 3 - D2A</c:v>
                </c:pt>
                <c:pt idx="25">
                  <c:v>Nhà D2B</c:v>
                </c:pt>
                <c:pt idx="26">
                  <c:v>D2D</c:v>
                </c:pt>
                <c:pt idx="27">
                  <c:v>Nhà D6 </c:v>
                </c:pt>
                <c:pt idx="28">
                  <c:v>Lô 2,3,4 tầng 1-A17</c:v>
                </c:pt>
                <c:pt idx="29">
                  <c:v>Lô 1, tầng 1- A17 </c:v>
                </c:pt>
                <c:pt idx="30">
                  <c:v>Nhà E</c:v>
                </c:pt>
                <c:pt idx="31">
                  <c:v>Lô 12, tầng 1- A17</c:v>
                </c:pt>
                <c:pt idx="32">
                  <c:v>Lô 11, tầng 1- A17</c:v>
                </c:pt>
                <c:pt idx="33">
                  <c:v>Lô 10, tầng 1-A17 </c:v>
                </c:pt>
                <c:pt idx="34">
                  <c:v>Lô 9, tầng 1 A17</c:v>
                </c:pt>
                <c:pt idx="35">
                  <c:v> Cầu thang TC</c:v>
                </c:pt>
                <c:pt idx="36">
                  <c:v>Ngõ 40 Tạ Quang Bửu</c:v>
                </c:pt>
                <c:pt idx="37">
                  <c:v>Bể bơi BK </c:v>
                </c:pt>
                <c:pt idx="38">
                  <c:v>Bể bơi BK </c:v>
                </c:pt>
                <c:pt idx="39">
                  <c:v>Cổng Bể bơi</c:v>
                </c:pt>
                <c:pt idx="40">
                  <c:v>Tầng 1 - D3</c:v>
                </c:pt>
                <c:pt idx="41">
                  <c:v>Tầng 1 - D3</c:v>
                </c:pt>
                <c:pt idx="42">
                  <c:v>Tầng 1 - D5</c:v>
                </c:pt>
                <c:pt idx="43">
                  <c:v>Tầng 1 - D9</c:v>
                </c:pt>
                <c:pt idx="44">
                  <c:v>Tầng 1 - D9</c:v>
                </c:pt>
                <c:pt idx="45">
                  <c:v>111A</c:v>
                </c:pt>
                <c:pt idx="46">
                  <c:v>304, 402, 404, 526</c:v>
                </c:pt>
                <c:pt idx="47">
                  <c:v>227 TV TQB</c:v>
                </c:pt>
                <c:pt idx="48">
                  <c:v>Tầng 6 TV TQB</c:v>
                </c:pt>
                <c:pt idx="49">
                  <c:v>411, 526 TV TQB</c:v>
                </c:pt>
                <c:pt idx="50">
                  <c:v>TV 609</c:v>
                </c:pt>
                <c:pt idx="51">
                  <c:v>D2D tầng 1</c:v>
                </c:pt>
                <c:pt idx="52">
                  <c:v>TV 618</c:v>
                </c:pt>
                <c:pt idx="53">
                  <c:v>915 TVĐT</c:v>
                </c:pt>
                <c:pt idx="54">
                  <c:v>Phòng KT mạng B1 T3,5,7,10</c:v>
                </c:pt>
                <c:pt idx="55">
                  <c:v>C9 </c:v>
                </c:pt>
                <c:pt idx="56">
                  <c:v>C5</c:v>
                </c:pt>
                <c:pt idx="57">
                  <c:v>D8 Tầng 6</c:v>
                </c:pt>
                <c:pt idx="58">
                  <c:v>D8 Tầng 11</c:v>
                </c:pt>
                <c:pt idx="59">
                  <c:v>Số 1 - Ngõ 17 TQB</c:v>
                </c:pt>
                <c:pt idx="60">
                  <c:v>C10B</c:v>
                </c:pt>
                <c:pt idx="61">
                  <c:v>TV 626</c:v>
                </c:pt>
                <c:pt idx="62">
                  <c:v>B1 (Phòng máy, VP trường, VP Khoa, TT, BM)</c:v>
                </c:pt>
                <c:pt idx="63">
                  <c:v>Nhà C</c:v>
                </c:pt>
                <c:pt idx="64">
                  <c:v>TC 309</c:v>
                </c:pt>
                <c:pt idx="65">
                  <c:v>TV TQB</c:v>
                </c:pt>
                <c:pt idx="66">
                  <c:v>TV TQB</c:v>
                </c:pt>
                <c:pt idx="67">
                  <c:v>Số 5 TQB</c:v>
                </c:pt>
                <c:pt idx="68">
                  <c:v>KTX</c:v>
                </c:pt>
                <c:pt idx="69">
                  <c:v>C15</c:v>
                </c:pt>
                <c:pt idx="70">
                  <c:v>C15</c:v>
                </c:pt>
                <c:pt idx="71">
                  <c:v>T207</c:v>
                </c:pt>
                <c:pt idx="72">
                  <c:v>T - 101 Phòng CNC công nghiệp</c:v>
                </c:pt>
                <c:pt idx="73">
                  <c:v>T - P 107</c:v>
                </c:pt>
                <c:pt idx="74">
                  <c:v>T- Ban Phay bào </c:v>
                </c:pt>
                <c:pt idx="75">
                  <c:v>T- Ban Tiện</c:v>
                </c:pt>
                <c:pt idx="76">
                  <c:v>T- 110A PTN Hàn</c:v>
                </c:pt>
                <c:pt idx="77">
                  <c:v>T- PTN Hàn 110</c:v>
                </c:pt>
                <c:pt idx="78">
                  <c:v>T - P111</c:v>
                </c:pt>
                <c:pt idx="79">
                  <c:v>T-101,102, nhà mái tôn</c:v>
                </c:pt>
                <c:pt idx="80">
                  <c:v>T - 206</c:v>
                </c:pt>
                <c:pt idx="81">
                  <c:v>T - 207</c:v>
                </c:pt>
                <c:pt idx="82">
                  <c:v>T- 210</c:v>
                </c:pt>
                <c:pt idx="83">
                  <c:v>Khu chăn nuôi</c:v>
                </c:pt>
                <c:pt idx="84">
                  <c:v>Xưởng C14B-PTN Gia công vật liệu</c:v>
                </c:pt>
                <c:pt idx="85">
                  <c:v>T- 212</c:v>
                </c:pt>
                <c:pt idx="86">
                  <c:v>Nhà mái tôn gần hàng rào ĐN1</c:v>
                </c:pt>
                <c:pt idx="87">
                  <c:v>Nhà T-207</c:v>
                </c:pt>
                <c:pt idx="88">
                  <c:v>T- 101A </c:v>
                </c:pt>
                <c:pt idx="89">
                  <c:v>T-208</c:v>
                </c:pt>
                <c:pt idx="90">
                  <c:v>T- 107</c:v>
                </c:pt>
                <c:pt idx="91">
                  <c:v>D8 Tầng 11</c:v>
                </c:pt>
                <c:pt idx="92">
                  <c:v>Nhà T-P 109</c:v>
                </c:pt>
                <c:pt idx="93">
                  <c:v>Nhà T-P 109</c:v>
                </c:pt>
                <c:pt idx="94">
                  <c:v>Nhà T-207</c:v>
                </c:pt>
                <c:pt idx="95">
                  <c:v>Nhà 2 tầng sân nhà T</c:v>
                </c:pt>
                <c:pt idx="96">
                  <c:v>Sân trước ĐN 3 nhà T</c:v>
                </c:pt>
                <c:pt idx="97">
                  <c:v>B1 904</c:v>
                </c:pt>
                <c:pt idx="98">
                  <c:v>Trung tâm thực hành B4 - số 5 TQB</c:v>
                </c:pt>
                <c:pt idx="99">
                  <c:v>D8 T8</c:v>
                </c:pt>
                <c:pt idx="100">
                  <c:v>D8 T8</c:v>
                </c:pt>
                <c:pt idx="101">
                  <c:v>D8 T9</c:v>
                </c:pt>
                <c:pt idx="102">
                  <c:v>D8 T9</c:v>
                </c:pt>
                <c:pt idx="103">
                  <c:v>D8 T10</c:v>
                </c:pt>
                <c:pt idx="104">
                  <c:v>D8 T10</c:v>
                </c:pt>
                <c:pt idx="105">
                  <c:v>nhà A</c:v>
                </c:pt>
                <c:pt idx="106">
                  <c:v>Tầng 1 - B4, ngõ 15 TQB</c:v>
                </c:pt>
                <c:pt idx="107">
                  <c:v>Tầng 1 - B4, ngõ 15 TQB</c:v>
                </c:pt>
                <c:pt idx="108">
                  <c:v>Tầng 3 Tòa nhà B1</c:v>
                </c:pt>
                <c:pt idx="109">
                  <c:v>D6B</c:v>
                </c:pt>
                <c:pt idx="110">
                  <c:v>T3 - C10</c:v>
                </c:pt>
                <c:pt idx="111">
                  <c:v>P 403, 406 C10</c:v>
                </c:pt>
                <c:pt idx="112">
                  <c:v>T1 - C10</c:v>
                </c:pt>
                <c:pt idx="113">
                  <c:v>TC tầng 1</c:v>
                </c:pt>
                <c:pt idx="114">
                  <c:v>TC tầng 1</c:v>
                </c:pt>
                <c:pt idx="115">
                  <c:v>TC tầng 1</c:v>
                </c:pt>
                <c:pt idx="116">
                  <c:v>TC tầng 1</c:v>
                </c:pt>
                <c:pt idx="117">
                  <c:v>Nhà B T1</c:v>
                </c:pt>
                <c:pt idx="118">
                  <c:v>T-112</c:v>
                </c:pt>
                <c:pt idx="119">
                  <c:v>T-112</c:v>
                </c:pt>
                <c:pt idx="120">
                  <c:v>Tòa nhà C10B</c:v>
                </c:pt>
                <c:pt idx="121">
                  <c:v>Tầng 1 Thư viện TQB</c:v>
                </c:pt>
                <c:pt idx="122">
                  <c:v>Tầng 1 Thư viện TQB</c:v>
                </c:pt>
                <c:pt idx="123">
                  <c:v>B1 tầng 5,6,7</c:v>
                </c:pt>
                <c:pt idx="124">
                  <c:v>Tầng 6 -D8</c:v>
                </c:pt>
                <c:pt idx="125">
                  <c:v>C3B</c:v>
                </c:pt>
                <c:pt idx="126">
                  <c:v>Phòng 228-Thư viện TQB</c:v>
                </c:pt>
                <c:pt idx="127">
                  <c:v>D2C</c:v>
                </c:pt>
                <c:pt idx="128">
                  <c:v>Phòng 201,202- D6</c:v>
                </c:pt>
                <c:pt idx="129">
                  <c:v>Phòng 201,202- D6</c:v>
                </c:pt>
                <c:pt idx="130">
                  <c:v>C6- 101</c:v>
                </c:pt>
                <c:pt idx="131">
                  <c:v>C1B tầng 2</c:v>
                </c:pt>
                <c:pt idx="132">
                  <c:v>C1B tầng 3</c:v>
                </c:pt>
                <c:pt idx="133">
                  <c:v>Số 8 ngõ 15 - TQB </c:v>
                </c:pt>
                <c:pt idx="134">
                  <c:v>D7, D2A</c:v>
                </c:pt>
                <c:pt idx="135">
                  <c:v>Trông xe ô tô ngõ 15 TQB</c:v>
                </c:pt>
                <c:pt idx="136">
                  <c:v>Trông xe ô tô nhà F </c:v>
                </c:pt>
                <c:pt idx="137">
                  <c:v>Trông xe ô tô B1</c:v>
                </c:pt>
                <c:pt idx="138">
                  <c:v>Trông xe ô tô nhà khách</c:v>
                </c:pt>
                <c:pt idx="139">
                  <c:v>Trông xe ô tô ngõ 42</c:v>
                </c:pt>
                <c:pt idx="140">
                  <c:v>Cổng Bảo vệ - Bể bơi BK</c:v>
                </c:pt>
                <c:pt idx="141">
                  <c:v>Tầng 2 ĐN2 - A17 TQB</c:v>
                </c:pt>
                <c:pt idx="142">
                  <c:v>Tầng 2 ĐN 2 - A17</c:v>
                </c:pt>
                <c:pt idx="143">
                  <c:v>Tầng 3 ĐN2 -  A17</c:v>
                </c:pt>
                <c:pt idx="144">
                  <c:v>Tầng 5 ĐN2 - A17</c:v>
                </c:pt>
                <c:pt idx="145">
                  <c:v>Tầng 2 ĐN1- A17</c:v>
                </c:pt>
                <c:pt idx="146">
                  <c:v>Tầng 3 ĐN1 -  A17</c:v>
                </c:pt>
                <c:pt idx="147">
                  <c:v>Số 5 ngõ 15 - TQB </c:v>
                </c:pt>
                <c:pt idx="148">
                  <c:v>Số 1 ngõ 15 TQB</c:v>
                </c:pt>
                <c:pt idx="149">
                  <c:v>Số 7 ngõ 15 - TQB </c:v>
                </c:pt>
                <c:pt idx="150">
                  <c:v>C4B</c:v>
                </c:pt>
                <c:pt idx="151">
                  <c:v>11 TQB</c:v>
                </c:pt>
                <c:pt idx="152">
                  <c:v>15 TQB</c:v>
                </c:pt>
                <c:pt idx="153">
                  <c:v>Tầng 2 - B4</c:v>
                </c:pt>
                <c:pt idx="154">
                  <c:v>Tầng 2 - B4</c:v>
                </c:pt>
                <c:pt idx="155">
                  <c:v>A17 Tầng 4 ĐN 2</c:v>
                </c:pt>
                <c:pt idx="156">
                  <c:v>A17 tầng 4 ĐN1</c:v>
                </c:pt>
                <c:pt idx="157">
                  <c:v>A17 Tầng 5 ĐN1</c:v>
                </c:pt>
                <c:pt idx="158">
                  <c:v>Ngõ 17- TQB</c:v>
                </c:pt>
                <c:pt idx="159">
                  <c:v>Nhà B, Xưởng TH Ô tô</c:v>
                </c:pt>
                <c:pt idx="160">
                  <c:v>Tầng 1 sau B4</c:v>
                </c:pt>
                <c:pt idx="161">
                  <c:v>Tầng 1 sau B4</c:v>
                </c:pt>
                <c:pt idx="162">
                  <c:v>Tầng 1 Nhà A - Phố Nguyễn Hiền  </c:v>
                </c:pt>
                <c:pt idx="163">
                  <c:v>T hầm, nhà A - Phố Ng  Hiền</c:v>
                </c:pt>
                <c:pt idx="164">
                  <c:v>Tầng 2,3 Nhà A- Phố Nguyễn Hiền</c:v>
                </c:pt>
                <c:pt idx="165">
                  <c:v>Nhà TC </c:v>
                </c:pt>
                <c:pt idx="166">
                  <c:v>Nhà C- Viện ĐTLT</c:v>
                </c:pt>
                <c:pt idx="167">
                  <c:v>C3 tầng 1</c:v>
                </c:pt>
                <c:pt idx="168">
                  <c:v>C6</c:v>
                </c:pt>
                <c:pt idx="169">
                  <c:v>C5</c:v>
                </c:pt>
                <c:pt idx="170">
                  <c:v>C5</c:v>
                </c:pt>
                <c:pt idx="171">
                  <c:v>KĐA - SVĐ</c:v>
                </c:pt>
                <c:pt idx="172">
                  <c:v> KĐA- SVĐ</c:v>
                </c:pt>
                <c:pt idx="173">
                  <c:v> Sân 5 - SVĐ</c:v>
                </c:pt>
                <c:pt idx="174">
                  <c:v> KĐA- SVĐ</c:v>
                </c:pt>
                <c:pt idx="175">
                  <c:v>KĐA -SVĐ</c:v>
                </c:pt>
                <c:pt idx="176">
                  <c:v>KĐA - SVĐ</c:v>
                </c:pt>
                <c:pt idx="177">
                  <c:v>KĐA - SVĐ</c:v>
                </c:pt>
                <c:pt idx="178">
                  <c:v>SVĐ Bách Khoa</c:v>
                </c:pt>
                <c:pt idx="180">
                  <c:v>Sân bóng KTX B9</c:v>
                </c:pt>
                <c:pt idx="181">
                  <c:v>Nhà thi đấu</c:v>
                </c:pt>
                <c:pt idx="182">
                  <c:v>Nhà thi đấu</c:v>
                </c:pt>
                <c:pt idx="183">
                  <c:v>Nhà thi đấu</c:v>
                </c:pt>
                <c:pt idx="184">
                  <c:v>Nhà thi đấu</c:v>
                </c:pt>
                <c:pt idx="185">
                  <c:v>T2 Bể bơi BK </c:v>
                </c:pt>
                <c:pt idx="186">
                  <c:v>Nhà thi đấu</c:v>
                </c:pt>
                <c:pt idx="187">
                  <c:v>Ngõ 42 TQB</c:v>
                </c:pt>
                <c:pt idx="188">
                  <c:v>Ngõ 42 TQB</c:v>
                </c:pt>
                <c:pt idx="189">
                  <c:v>Nhà thi đấu</c:v>
                </c:pt>
                <c:pt idx="190">
                  <c:v>Nhà thi đấu</c:v>
                </c:pt>
                <c:pt idx="191">
                  <c:v>Lô 5,6 tầng 1- A17 </c:v>
                </c:pt>
                <c:pt idx="192">
                  <c:v>ATM - D3</c:v>
                </c:pt>
                <c:pt idx="193">
                  <c:v>Lô 7,8 tầng 1- A17 </c:v>
                </c:pt>
                <c:pt idx="194">
                  <c:v>ATM - D3</c:v>
                </c:pt>
                <c:pt idx="195">
                  <c:v>ATM - D3</c:v>
                </c:pt>
                <c:pt idx="196">
                  <c:v>BTS B1 tầng 10</c:v>
                </c:pt>
                <c:pt idx="197">
                  <c:v>BTS tầng mái nhà D4</c:v>
                </c:pt>
                <c:pt idx="198">
                  <c:v>BTS tầng mái TVĐT</c:v>
                </c:pt>
                <c:pt idx="199">
                  <c:v>Toà nhà N2, KM số 2, Đại lộ Thăng long, phường Mễ trì, quận Nam từ liêm, Thành phố Hà Nội, Việt Nam</c:v>
                </c:pt>
                <c:pt idx="200">
                  <c:v>BTS Viettel tầng mái C7</c:v>
                </c:pt>
                <c:pt idx="201">
                  <c:v>BTS Viettel tầng mái C7</c:v>
                </c:pt>
                <c:pt idx="202">
                  <c:v>BTS Viettel tầng mái C4</c:v>
                </c:pt>
                <c:pt idx="203">
                  <c:v>BTS Viettel tầng mái D6</c:v>
                </c:pt>
                <c:pt idx="204">
                  <c:v>BTS tầng mái B10 </c:v>
                </c:pt>
                <c:pt idx="205">
                  <c:v>BTS tầng mái B1</c:v>
                </c:pt>
                <c:pt idx="206">
                  <c:v>BTS tầng mái TVĐT</c:v>
                </c:pt>
                <c:pt idx="207">
                  <c:v>BTS tầng mái nhà D8</c:v>
                </c:pt>
                <c:pt idx="208">
                  <c:v>BTS Viettel tầng mái D5</c:v>
                </c:pt>
                <c:pt idx="209">
                  <c:v>9 máy bán hàng C7, D3, D9, D8, TV, F, TC</c:v>
                </c:pt>
                <c:pt idx="210">
                  <c:v>4 máy bán hàng C10, D3, D6</c:v>
                </c:pt>
                <c:pt idx="211">
                  <c:v>Sảnh D3, Sảnh TV, tầng 4 TV</c:v>
                </c:pt>
                <c:pt idx="212">
                  <c:v>Tủ gửi đồ cổng KTX</c:v>
                </c:pt>
                <c:pt idx="213">
                  <c:v>TV 803</c:v>
                </c:pt>
                <c:pt idx="214">
                  <c:v>TV 803</c:v>
                </c:pt>
                <c:pt idx="215">
                  <c:v>BTS Tầng mái B10 KTX</c:v>
                </c:pt>
                <c:pt idx="216">
                  <c:v>BTS Tầng mái B7 KTX </c:v>
                </c:pt>
                <c:pt idx="217">
                  <c:v>BTS tầng mái B10 KTX</c:v>
                </c:pt>
              </c:strCache>
            </c:strRef>
          </c:tx>
          <c:invertIfNegative val="0"/>
          <c:val>
            <c:numRef>
              <c:f>Data!$D$202:$D$220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_);\(#,##0\)">
                  <c:v>0</c:v>
                </c:pt>
                <c:pt idx="4" formatCode="#,##0_);\(#,##0\)">
                  <c:v>0</c:v>
                </c:pt>
                <c:pt idx="5" formatCode="#,##0_);\(#,##0\)">
                  <c:v>0</c:v>
                </c:pt>
                <c:pt idx="6">
                  <c:v>0</c:v>
                </c:pt>
                <c:pt idx="7">
                  <c:v>0</c:v>
                </c:pt>
                <c:pt idx="8" formatCode="#,##0_);\(#,##0\)">
                  <c:v>0</c:v>
                </c:pt>
                <c:pt idx="9">
                  <c:v>0</c:v>
                </c:pt>
                <c:pt idx="10">
                  <c:v>0</c:v>
                </c:pt>
                <c:pt idx="11" formatCode="#,##0_);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3-4F71-93E9-73CD9A6CCCC5}"/>
            </c:ext>
          </c:extLst>
        </c:ser>
        <c:ser>
          <c:idx val="4"/>
          <c:order val="4"/>
          <c:tx>
            <c:strRef>
              <c:f>Data!$E$3:$E$220</c:f>
              <c:strCache>
                <c:ptCount val="218"/>
                <c:pt idx="0">
                  <c:v>Điện thoại 
hộ tiêu thụ điện</c:v>
                </c:pt>
                <c:pt idx="1">
                  <c:v>(5)</c:v>
                </c:pt>
                <c:pt idx="3">
                  <c:v>0359933033</c:v>
                </c:pt>
                <c:pt idx="6">
                  <c:v>0359933033</c:v>
                </c:pt>
                <c:pt idx="7">
                  <c:v>0359933033</c:v>
                </c:pt>
                <c:pt idx="9">
                  <c:v>38240993</c:v>
                </c:pt>
                <c:pt idx="14">
                  <c:v>0972261616</c:v>
                </c:pt>
                <c:pt idx="17">
                  <c:v>0903251444</c:v>
                </c:pt>
                <c:pt idx="18">
                  <c:v>0978819260</c:v>
                </c:pt>
                <c:pt idx="19">
                  <c:v>0903251444</c:v>
                </c:pt>
                <c:pt idx="20">
                  <c:v>0243.7379150</c:v>
                </c:pt>
                <c:pt idx="21">
                  <c:v>0988051418</c:v>
                </c:pt>
                <c:pt idx="23">
                  <c:v>38694323</c:v>
                </c:pt>
                <c:pt idx="24">
                  <c:v>0982199862</c:v>
                </c:pt>
                <c:pt idx="25">
                  <c:v>38692731</c:v>
                </c:pt>
                <c:pt idx="28">
                  <c:v>38684569</c:v>
                </c:pt>
                <c:pt idx="29">
                  <c:v>36230568</c:v>
                </c:pt>
                <c:pt idx="30">
                  <c:v>38684569</c:v>
                </c:pt>
                <c:pt idx="31">
                  <c:v>0834214946</c:v>
                </c:pt>
                <c:pt idx="34">
                  <c:v>912212968</c:v>
                </c:pt>
                <c:pt idx="40">
                  <c:v>0359933033</c:v>
                </c:pt>
                <c:pt idx="41">
                  <c:v>38694529</c:v>
                </c:pt>
                <c:pt idx="42">
                  <c:v>38692116</c:v>
                </c:pt>
                <c:pt idx="57">
                  <c:v>38693782</c:v>
                </c:pt>
                <c:pt idx="58">
                  <c:v>38693782</c:v>
                </c:pt>
                <c:pt idx="59">
                  <c:v>36230351</c:v>
                </c:pt>
                <c:pt idx="63">
                  <c:v>38693782</c:v>
                </c:pt>
                <c:pt idx="64">
                  <c:v>38693782</c:v>
                </c:pt>
                <c:pt idx="65">
                  <c:v>38693782</c:v>
                </c:pt>
                <c:pt idx="66">
                  <c:v>38693782</c:v>
                </c:pt>
                <c:pt idx="68">
                  <c:v>38692942</c:v>
                </c:pt>
                <c:pt idx="71">
                  <c:v>38690073</c:v>
                </c:pt>
                <c:pt idx="72">
                  <c:v>38692983</c:v>
                </c:pt>
                <c:pt idx="73">
                  <c:v>38692983</c:v>
                </c:pt>
                <c:pt idx="74">
                  <c:v>38692983</c:v>
                </c:pt>
                <c:pt idx="75">
                  <c:v>38692983</c:v>
                </c:pt>
                <c:pt idx="76">
                  <c:v>38692983</c:v>
                </c:pt>
                <c:pt idx="77">
                  <c:v>38692983</c:v>
                </c:pt>
                <c:pt idx="79">
                  <c:v>38692983</c:v>
                </c:pt>
                <c:pt idx="80">
                  <c:v>38692983</c:v>
                </c:pt>
                <c:pt idx="81">
                  <c:v>38692983</c:v>
                </c:pt>
                <c:pt idx="82">
                  <c:v>38692983</c:v>
                </c:pt>
                <c:pt idx="83">
                  <c:v>38680073</c:v>
                </c:pt>
                <c:pt idx="97">
                  <c:v>38683807</c:v>
                </c:pt>
                <c:pt idx="106">
                  <c:v>0989083546</c:v>
                </c:pt>
                <c:pt idx="107">
                  <c:v>904667684</c:v>
                </c:pt>
                <c:pt idx="109">
                  <c:v>0912640379</c:v>
                </c:pt>
                <c:pt idx="110">
                  <c:v>38681686</c:v>
                </c:pt>
                <c:pt idx="113">
                  <c:v>38692401</c:v>
                </c:pt>
                <c:pt idx="114">
                  <c:v>38692401</c:v>
                </c:pt>
                <c:pt idx="115">
                  <c:v>38692401</c:v>
                </c:pt>
                <c:pt idx="116">
                  <c:v>38692401</c:v>
                </c:pt>
                <c:pt idx="120">
                  <c:v>38692518
38680786</c:v>
                </c:pt>
                <c:pt idx="123">
                  <c:v>36230435</c:v>
                </c:pt>
                <c:pt idx="126">
                  <c:v>36231722</c:v>
                </c:pt>
                <c:pt idx="127">
                  <c:v>38682179</c:v>
                </c:pt>
                <c:pt idx="128">
                  <c:v>36231722</c:v>
                </c:pt>
                <c:pt idx="129">
                  <c:v>36231722</c:v>
                </c:pt>
                <c:pt idx="130">
                  <c:v>38683518</c:v>
                </c:pt>
                <c:pt idx="131">
                  <c:v>38683518</c:v>
                </c:pt>
                <c:pt idx="132">
                  <c:v>38683518</c:v>
                </c:pt>
                <c:pt idx="133">
                  <c:v>38683518</c:v>
                </c:pt>
                <c:pt idx="134">
                  <c:v>22153127</c:v>
                </c:pt>
                <c:pt idx="141">
                  <c:v>02436230870</c:v>
                </c:pt>
                <c:pt idx="142">
                  <c:v>02436230870</c:v>
                </c:pt>
                <c:pt idx="143">
                  <c:v>02436230870</c:v>
                </c:pt>
                <c:pt idx="144">
                  <c:v>36230870</c:v>
                </c:pt>
                <c:pt idx="145">
                  <c:v>36230870</c:v>
                </c:pt>
                <c:pt idx="146">
                  <c:v>38683713</c:v>
                </c:pt>
                <c:pt idx="147">
                  <c:v>38692384</c:v>
                </c:pt>
                <c:pt idx="148">
                  <c:v>38692332</c:v>
                </c:pt>
                <c:pt idx="149">
                  <c:v>38682778</c:v>
                </c:pt>
                <c:pt idx="150">
                  <c:v>38682917</c:v>
                </c:pt>
                <c:pt idx="151">
                  <c:v>38682917</c:v>
                </c:pt>
                <c:pt idx="152">
                  <c:v>38682917</c:v>
                </c:pt>
                <c:pt idx="153">
                  <c:v>38682917</c:v>
                </c:pt>
                <c:pt idx="154">
                  <c:v>38682917</c:v>
                </c:pt>
                <c:pt idx="155">
                  <c:v>38682917</c:v>
                </c:pt>
                <c:pt idx="156">
                  <c:v>38682917</c:v>
                </c:pt>
                <c:pt idx="158">
                  <c:v>38682917</c:v>
                </c:pt>
                <c:pt idx="159">
                  <c:v>38682917</c:v>
                </c:pt>
                <c:pt idx="160">
                  <c:v>38682917</c:v>
                </c:pt>
                <c:pt idx="161">
                  <c:v>38682917</c:v>
                </c:pt>
                <c:pt idx="162">
                  <c:v>38682917</c:v>
                </c:pt>
                <c:pt idx="163">
                  <c:v>38682917</c:v>
                </c:pt>
                <c:pt idx="164">
                  <c:v>38682917</c:v>
                </c:pt>
                <c:pt idx="167">
                  <c:v>38692555</c:v>
                </c:pt>
                <c:pt idx="168">
                  <c:v>38691420</c:v>
                </c:pt>
                <c:pt idx="169">
                  <c:v>38681888</c:v>
                </c:pt>
                <c:pt idx="191">
                  <c:v>38683907</c:v>
                </c:pt>
                <c:pt idx="192">
                  <c:v>38683907</c:v>
                </c:pt>
                <c:pt idx="193">
                  <c:v>38693467</c:v>
                </c:pt>
                <c:pt idx="194">
                  <c:v>02438693467</c:v>
                </c:pt>
                <c:pt idx="195">
                  <c:v>39447683</c:v>
                </c:pt>
                <c:pt idx="217">
                  <c:v>0912069998</c:v>
                </c:pt>
              </c:strCache>
            </c:strRef>
          </c:tx>
          <c:invertIfNegative val="0"/>
          <c:val>
            <c:numRef>
              <c:f>Data!$E$202:$E$220</c:f>
            </c:numRef>
          </c:val>
          <c:extLst>
            <c:ext xmlns:c16="http://schemas.microsoft.com/office/drawing/2014/chart" uri="{C3380CC4-5D6E-409C-BE32-E72D297353CC}">
              <c16:uniqueId val="{00000004-B723-4F71-93E9-73CD9A6CCCC5}"/>
            </c:ext>
          </c:extLst>
        </c:ser>
        <c:ser>
          <c:idx val="5"/>
          <c:order val="5"/>
          <c:tx>
            <c:strRef>
              <c:f>Data!$F$3:$F$220</c:f>
              <c:strCache>
                <c:ptCount val="218"/>
                <c:pt idx="0">
                  <c:v>Đại diện hộ tiêu thụ</c:v>
                </c:pt>
                <c:pt idx="1">
                  <c:v>(6)</c:v>
                </c:pt>
                <c:pt idx="2">
                  <c:v>Nguyễn Phi Trường</c:v>
                </c:pt>
                <c:pt idx="3">
                  <c:v>Trịnh Thị Thu Trang</c:v>
                </c:pt>
                <c:pt idx="4">
                  <c:v>A Toàn</c:v>
                </c:pt>
                <c:pt idx="5">
                  <c:v>Chị Khánh</c:v>
                </c:pt>
                <c:pt idx="6">
                  <c:v>Trịnh Thị Thu Trang</c:v>
                </c:pt>
                <c:pt idx="7">
                  <c:v>Trịnh Thị Thu Trang</c:v>
                </c:pt>
                <c:pt idx="8">
                  <c:v>Nguyễn Hương Ly</c:v>
                </c:pt>
                <c:pt idx="9">
                  <c:v>Lê Ngọc Anh</c:v>
                </c:pt>
                <c:pt idx="10">
                  <c:v>Lan Anh</c:v>
                </c:pt>
                <c:pt idx="11">
                  <c:v>Trịnh Thị Yến</c:v>
                </c:pt>
                <c:pt idx="12">
                  <c:v>Nguyễn Triều Phong</c:v>
                </c:pt>
                <c:pt idx="13">
                  <c:v>Nguyễn Thị Đào</c:v>
                </c:pt>
                <c:pt idx="14">
                  <c:v>Nguyễn Thị Đào</c:v>
                </c:pt>
                <c:pt idx="15">
                  <c:v>Trần Quang Quý</c:v>
                </c:pt>
                <c:pt idx="16">
                  <c:v>Thu Hương </c:v>
                </c:pt>
                <c:pt idx="17">
                  <c:v>Chị Hoa</c:v>
                </c:pt>
                <c:pt idx="18">
                  <c:v>Chị Hiền</c:v>
                </c:pt>
                <c:pt idx="19">
                  <c:v>Chị Hoa</c:v>
                </c:pt>
                <c:pt idx="20">
                  <c:v>Lương Thị Minh Ngoc</c:v>
                </c:pt>
                <c:pt idx="21">
                  <c:v>Trịnh Thị My</c:v>
                </c:pt>
                <c:pt idx="22">
                  <c:v>A Quang</c:v>
                </c:pt>
                <c:pt idx="23">
                  <c:v>Lê Thị Thanh Tâm</c:v>
                </c:pt>
                <c:pt idx="24">
                  <c:v>A Tiến</c:v>
                </c:pt>
                <c:pt idx="25">
                  <c:v>Nguyễn Thanh Liêm</c:v>
                </c:pt>
                <c:pt idx="26">
                  <c:v>A Nghĩa</c:v>
                </c:pt>
                <c:pt idx="27">
                  <c:v>Tạ Thanh Hằng</c:v>
                </c:pt>
                <c:pt idx="28">
                  <c:v>Hoàng Tuấn Bằng</c:v>
                </c:pt>
                <c:pt idx="29">
                  <c:v>Hoàng Tuấn Bằng</c:v>
                </c:pt>
                <c:pt idx="30">
                  <c:v>Chị Liễu</c:v>
                </c:pt>
                <c:pt idx="31">
                  <c:v>Ngọc</c:v>
                </c:pt>
                <c:pt idx="32">
                  <c:v>Đỗ Đ.Tâm (Q.Anh) </c:v>
                </c:pt>
                <c:pt idx="33">
                  <c:v>Anh Sơn</c:v>
                </c:pt>
                <c:pt idx="34">
                  <c:v>Nguyễn Thái Bình</c:v>
                </c:pt>
                <c:pt idx="35">
                  <c:v>Hoàng thị Thanh Duyên</c:v>
                </c:pt>
                <c:pt idx="36">
                  <c:v>Anh Hưng</c:v>
                </c:pt>
                <c:pt idx="37">
                  <c:v>A Thọ</c:v>
                </c:pt>
                <c:pt idx="38">
                  <c:v>A Thọ</c:v>
                </c:pt>
                <c:pt idx="39">
                  <c:v>Duy Anh (Thu GNTB)</c:v>
                </c:pt>
                <c:pt idx="40">
                  <c:v>Nguyễn Thu Trang</c:v>
                </c:pt>
                <c:pt idx="41">
                  <c:v>Anh Tuấn</c:v>
                </c:pt>
                <c:pt idx="42">
                  <c:v>Ông Nam</c:v>
                </c:pt>
                <c:pt idx="43">
                  <c:v>Nguyễn Thị Phượng</c:v>
                </c:pt>
                <c:pt idx="44">
                  <c:v>Võ Thị Tĩnh</c:v>
                </c:pt>
                <c:pt idx="45">
                  <c:v>Chị Quyên</c:v>
                </c:pt>
                <c:pt idx="46">
                  <c:v>Chị Quyên</c:v>
                </c:pt>
                <c:pt idx="47">
                  <c:v>A Lâm</c:v>
                </c:pt>
                <c:pt idx="48">
                  <c:v>A Lâm</c:v>
                </c:pt>
                <c:pt idx="49">
                  <c:v>Chị Quyên</c:v>
                </c:pt>
                <c:pt idx="50">
                  <c:v>C Hòa</c:v>
                </c:pt>
                <c:pt idx="51">
                  <c:v>C Hòa</c:v>
                </c:pt>
                <c:pt idx="52">
                  <c:v>A Sơn</c:v>
                </c:pt>
                <c:pt idx="53">
                  <c:v>Lê Huy Cường</c:v>
                </c:pt>
                <c:pt idx="54">
                  <c:v>Lê Huy Cường</c:v>
                </c:pt>
                <c:pt idx="55">
                  <c:v>Nguyễn Thu Lương</c:v>
                </c:pt>
                <c:pt idx="56">
                  <c:v>Nguyễn Thu Lương</c:v>
                </c:pt>
                <c:pt idx="57">
                  <c:v>A Hưng</c:v>
                </c:pt>
                <c:pt idx="58">
                  <c:v>A Hưng</c:v>
                </c:pt>
                <c:pt idx="59">
                  <c:v>Lê Thị Hạnh</c:v>
                </c:pt>
                <c:pt idx="60">
                  <c:v>C Khánh</c:v>
                </c:pt>
                <c:pt idx="61">
                  <c:v>A Phong</c:v>
                </c:pt>
                <c:pt idx="62">
                  <c:v>Tạ Hải Tùng</c:v>
                </c:pt>
                <c:pt idx="63">
                  <c:v>Nguyễn Tiến Dũng</c:v>
                </c:pt>
                <c:pt idx="64">
                  <c:v>Nguyễn Tiến Dũng</c:v>
                </c:pt>
                <c:pt idx="65">
                  <c:v>Nguyễn Tiến Dũng</c:v>
                </c:pt>
                <c:pt idx="66">
                  <c:v>Nguyễn Tiến Dũng</c:v>
                </c:pt>
                <c:pt idx="67">
                  <c:v>Trương Hữu Ninh</c:v>
                </c:pt>
                <c:pt idx="68">
                  <c:v>Phạm Đắc Huấn</c:v>
                </c:pt>
                <c:pt idx="69">
                  <c:v>Phạm Hữu Tuyến</c:v>
                </c:pt>
                <c:pt idx="70">
                  <c:v>Phạm Hữu Tuyến</c:v>
                </c:pt>
                <c:pt idx="71">
                  <c:v>A Thanh</c:v>
                </c:pt>
                <c:pt idx="72">
                  <c:v>A Thanh</c:v>
                </c:pt>
                <c:pt idx="73">
                  <c:v>A Thanh</c:v>
                </c:pt>
                <c:pt idx="74">
                  <c:v>A Thanh</c:v>
                </c:pt>
                <c:pt idx="75">
                  <c:v>A Thanh</c:v>
                </c:pt>
                <c:pt idx="76">
                  <c:v>A Thanh</c:v>
                </c:pt>
                <c:pt idx="77">
                  <c:v>A Thanh</c:v>
                </c:pt>
                <c:pt idx="78">
                  <c:v>A Thanh</c:v>
                </c:pt>
                <c:pt idx="79">
                  <c:v>A Thanh</c:v>
                </c:pt>
                <c:pt idx="80">
                  <c:v>A Thanh</c:v>
                </c:pt>
                <c:pt idx="81">
                  <c:v>A Thanh</c:v>
                </c:pt>
                <c:pt idx="82">
                  <c:v>A Thanh</c:v>
                </c:pt>
                <c:pt idx="83">
                  <c:v>Đặng Vũ Vinh</c:v>
                </c:pt>
                <c:pt idx="84">
                  <c:v>Nguyễn Trọng Hải</c:v>
                </c:pt>
                <c:pt idx="85">
                  <c:v>P. Đức An</c:v>
                </c:pt>
                <c:pt idx="86">
                  <c:v>Đàm Hoàng Phúc</c:v>
                </c:pt>
                <c:pt idx="87">
                  <c:v>V Đình Quý</c:v>
                </c:pt>
                <c:pt idx="89">
                  <c:v>V Đình Quý</c:v>
                </c:pt>
                <c:pt idx="91">
                  <c:v>A Dũng </c:v>
                </c:pt>
                <c:pt idx="92">
                  <c:v>Trương Việt Anh</c:v>
                </c:pt>
                <c:pt idx="93">
                  <c:v>Trương Việt Anh</c:v>
                </c:pt>
                <c:pt idx="94">
                  <c:v>V Đình Quý</c:v>
                </c:pt>
                <c:pt idx="95">
                  <c:v>Phạm Văn Sáng</c:v>
                </c:pt>
                <c:pt idx="96">
                  <c:v>Đàm Hoàng Phúc</c:v>
                </c:pt>
                <c:pt idx="97">
                  <c:v>A Sơn</c:v>
                </c:pt>
                <c:pt idx="98">
                  <c:v>A Tĩnh</c:v>
                </c:pt>
                <c:pt idx="99">
                  <c:v>A Tĩnh</c:v>
                </c:pt>
                <c:pt idx="100">
                  <c:v>A Tĩnh</c:v>
                </c:pt>
                <c:pt idx="101">
                  <c:v>A Tĩnh</c:v>
                </c:pt>
                <c:pt idx="102">
                  <c:v>A Tĩnh</c:v>
                </c:pt>
                <c:pt idx="103">
                  <c:v>A Tĩnh</c:v>
                </c:pt>
                <c:pt idx="104">
                  <c:v>A Tĩnh</c:v>
                </c:pt>
                <c:pt idx="105">
                  <c:v>A Thái</c:v>
                </c:pt>
                <c:pt idx="106">
                  <c:v>Chị Yến </c:v>
                </c:pt>
                <c:pt idx="107">
                  <c:v>A Hoàng</c:v>
                </c:pt>
                <c:pt idx="108">
                  <c:v>Trương Quốc Phong</c:v>
                </c:pt>
                <c:pt idx="109">
                  <c:v>A Hưng</c:v>
                </c:pt>
                <c:pt idx="110">
                  <c:v>Nguyễn Thị Ánh Tuyết</c:v>
                </c:pt>
                <c:pt idx="111">
                  <c:v>Bà Phạm Hồng Liên</c:v>
                </c:pt>
                <c:pt idx="112">
                  <c:v>Nguyễn Minh Tân</c:v>
                </c:pt>
                <c:pt idx="113">
                  <c:v>A Vũ Mạnh Hải</c:v>
                </c:pt>
                <c:pt idx="114">
                  <c:v>A Vũ Mạnh Hải</c:v>
                </c:pt>
                <c:pt idx="115">
                  <c:v>A Vũ Mạnh Hải</c:v>
                </c:pt>
                <c:pt idx="116">
                  <c:v>A Vũ Mạnh Hải</c:v>
                </c:pt>
                <c:pt idx="117">
                  <c:v>A Đức</c:v>
                </c:pt>
                <c:pt idx="118">
                  <c:v>A Sơn</c:v>
                </c:pt>
                <c:pt idx="119">
                  <c:v>A Sơn</c:v>
                </c:pt>
                <c:pt idx="120">
                  <c:v>Nguyễn Phúc Dương</c:v>
                </c:pt>
                <c:pt idx="121">
                  <c:v>A Đức Dũng</c:v>
                </c:pt>
                <c:pt idx="122">
                  <c:v>A Đức Dũng</c:v>
                </c:pt>
                <c:pt idx="123">
                  <c:v>Nguyễn Đức Trung Kiên</c:v>
                </c:pt>
                <c:pt idx="124">
                  <c:v>A Vượng</c:v>
                </c:pt>
                <c:pt idx="125">
                  <c:v>Vũ Hiền Phương</c:v>
                </c:pt>
                <c:pt idx="126">
                  <c:v>Vũ Hiền Phương</c:v>
                </c:pt>
                <c:pt idx="127">
                  <c:v>Vũ Hiền Phương</c:v>
                </c:pt>
                <c:pt idx="128">
                  <c:v>Vũ Hiền Phương</c:v>
                </c:pt>
                <c:pt idx="129">
                  <c:v>Vũ Hiền Phương</c:v>
                </c:pt>
                <c:pt idx="130">
                  <c:v>Nguyễn Quang Địch</c:v>
                </c:pt>
                <c:pt idx="131">
                  <c:v>Nguyễn Quang Địch</c:v>
                </c:pt>
                <c:pt idx="132">
                  <c:v>Nguyễn Quang Địch</c:v>
                </c:pt>
                <c:pt idx="133">
                  <c:v>Nguyễn Quang Địch</c:v>
                </c:pt>
                <c:pt idx="134">
                  <c:v>Phan Trung Nghĩa</c:v>
                </c:pt>
                <c:pt idx="135">
                  <c:v>Trần Thị Thu</c:v>
                </c:pt>
                <c:pt idx="136">
                  <c:v>Trần Thị Thu</c:v>
                </c:pt>
                <c:pt idx="137">
                  <c:v>Trần Thị Thu</c:v>
                </c:pt>
                <c:pt idx="138">
                  <c:v>Trần Thị Thu</c:v>
                </c:pt>
                <c:pt idx="139">
                  <c:v>Trần Thị Thu</c:v>
                </c:pt>
                <c:pt idx="140">
                  <c:v>Trần Thị Thu</c:v>
                </c:pt>
                <c:pt idx="141">
                  <c:v>BK Holdings</c:v>
                </c:pt>
                <c:pt idx="142">
                  <c:v>BK Holdings</c:v>
                </c:pt>
                <c:pt idx="143">
                  <c:v>BK Holdings</c:v>
                </c:pt>
                <c:pt idx="144">
                  <c:v>Nguyễn Ngọc Tuấn</c:v>
                </c:pt>
                <c:pt idx="145">
                  <c:v>Nguyễn Ngọc Tuấn</c:v>
                </c:pt>
                <c:pt idx="146">
                  <c:v>BK Holdings</c:v>
                </c:pt>
                <c:pt idx="147">
                  <c:v>Chị Thanh</c:v>
                </c:pt>
                <c:pt idx="148">
                  <c:v>Nguyễn Chí Hưng</c:v>
                </c:pt>
                <c:pt idx="149">
                  <c:v>C Hằng</c:v>
                </c:pt>
                <c:pt idx="150">
                  <c:v>Nguyễn Khắc Kiểm</c:v>
                </c:pt>
                <c:pt idx="151">
                  <c:v>Nguyễn Khắc Kiểm</c:v>
                </c:pt>
                <c:pt idx="152">
                  <c:v>Nguyễn Khắc Kiểm</c:v>
                </c:pt>
                <c:pt idx="153">
                  <c:v>Nguyễn Khắc Kiểm</c:v>
                </c:pt>
                <c:pt idx="154">
                  <c:v>Nguyễn Khắc Kiểm</c:v>
                </c:pt>
                <c:pt idx="155">
                  <c:v>Nguyễn Khắc Kiểm</c:v>
                </c:pt>
                <c:pt idx="156">
                  <c:v>Nguyễn Khắc Kiểm</c:v>
                </c:pt>
                <c:pt idx="157">
                  <c:v>Nguyễn Khắc Kiểm</c:v>
                </c:pt>
                <c:pt idx="158">
                  <c:v>Nguyễn Khắc Kiểm</c:v>
                </c:pt>
                <c:pt idx="159">
                  <c:v>Nguyễn Khắc Kiểm</c:v>
                </c:pt>
                <c:pt idx="160">
                  <c:v>Nguyễn Khắc Kiểm</c:v>
                </c:pt>
                <c:pt idx="161">
                  <c:v>Nguyễn Khắc Kiểm</c:v>
                </c:pt>
                <c:pt idx="162">
                  <c:v>Nguyễn Khắc Kiểm</c:v>
                </c:pt>
                <c:pt idx="163">
                  <c:v>Nguyễn Khắc Kiểm</c:v>
                </c:pt>
                <c:pt idx="164">
                  <c:v>Nguyễn Khắc Kiểm</c:v>
                </c:pt>
                <c:pt idx="165">
                  <c:v>Nguyễn Trung Dũng</c:v>
                </c:pt>
                <c:pt idx="166">
                  <c:v>Nguyễn Trung Dũng</c:v>
                </c:pt>
                <c:pt idx="167">
                  <c:v>A Hiếu</c:v>
                </c:pt>
                <c:pt idx="168">
                  <c:v>Nguyễn Mạnh Tám</c:v>
                </c:pt>
                <c:pt idx="169">
                  <c:v>Tạ Văn Minh</c:v>
                </c:pt>
                <c:pt idx="170">
                  <c:v>C Nhung</c:v>
                </c:pt>
                <c:pt idx="171">
                  <c:v>Hoàng Văn Hướng</c:v>
                </c:pt>
                <c:pt idx="172">
                  <c:v>Hoàng Văn Hướng</c:v>
                </c:pt>
                <c:pt idx="173">
                  <c:v>Hoàng Văn Hướng</c:v>
                </c:pt>
                <c:pt idx="174">
                  <c:v>Hoàng Văn Hướng</c:v>
                </c:pt>
                <c:pt idx="175">
                  <c:v>Hoàng Văn Hướng</c:v>
                </c:pt>
                <c:pt idx="176">
                  <c:v>Hoàng Văn Hướng</c:v>
                </c:pt>
                <c:pt idx="177">
                  <c:v>Hoàng Văn Hướng</c:v>
                </c:pt>
                <c:pt idx="178">
                  <c:v>Hoàng Văn Hướng</c:v>
                </c:pt>
                <c:pt idx="179">
                  <c:v>Hoàng Văn Hướng</c:v>
                </c:pt>
                <c:pt idx="180">
                  <c:v>Hoàng Văn Hướng</c:v>
                </c:pt>
                <c:pt idx="181">
                  <c:v>Hoàng Văn Hướng</c:v>
                </c:pt>
                <c:pt idx="182">
                  <c:v>Hoàng Văn Hướng</c:v>
                </c:pt>
                <c:pt idx="183">
                  <c:v>Hoàng Văn Hướng</c:v>
                </c:pt>
                <c:pt idx="184">
                  <c:v>Hoàng Văn Hướng</c:v>
                </c:pt>
                <c:pt idx="185">
                  <c:v>Hoàng Văn Hướng</c:v>
                </c:pt>
                <c:pt idx="186">
                  <c:v>Hoàng Văn Hướng</c:v>
                </c:pt>
                <c:pt idx="187">
                  <c:v>Hoàng Văn Hướng</c:v>
                </c:pt>
                <c:pt idx="188">
                  <c:v>Hoàng Văn Hướng</c:v>
                </c:pt>
                <c:pt idx="189">
                  <c:v>Hoàng Văn Hướng</c:v>
                </c:pt>
                <c:pt idx="190">
                  <c:v>Hoàng Văn Hướng</c:v>
                </c:pt>
                <c:pt idx="191">
                  <c:v>Chị Tú</c:v>
                </c:pt>
                <c:pt idx="192">
                  <c:v>Chị Tú</c:v>
                </c:pt>
                <c:pt idx="193">
                  <c:v>A Trung</c:v>
                </c:pt>
                <c:pt idx="194">
                  <c:v>A Trung</c:v>
                </c:pt>
                <c:pt idx="195">
                  <c:v>Nguyễn Thùy Nhung</c:v>
                </c:pt>
                <c:pt idx="196">
                  <c:v>chị Hải</c:v>
                </c:pt>
                <c:pt idx="197">
                  <c:v>chị Hải</c:v>
                </c:pt>
                <c:pt idx="198">
                  <c:v>Chị Nhung</c:v>
                </c:pt>
                <c:pt idx="199">
                  <c:v>Công ty TNHH MTV dịch vụ và thương mại viettelpost</c:v>
                </c:pt>
                <c:pt idx="200">
                  <c:v>Chị Minh Hạnh</c:v>
                </c:pt>
                <c:pt idx="201">
                  <c:v>Chị Minh Hạnh</c:v>
                </c:pt>
                <c:pt idx="202">
                  <c:v>Anh Liêm</c:v>
                </c:pt>
                <c:pt idx="203">
                  <c:v>Chị Minh Hạnh</c:v>
                </c:pt>
                <c:pt idx="204">
                  <c:v>Trương Quang Dương</c:v>
                </c:pt>
                <c:pt idx="205">
                  <c:v>Phạm Văn Cương</c:v>
                </c:pt>
                <c:pt idx="206">
                  <c:v>Trương Quang Dương</c:v>
                </c:pt>
                <c:pt idx="207">
                  <c:v>Phạm Văn Cương</c:v>
                </c:pt>
                <c:pt idx="208">
                  <c:v>Anh Liêm</c:v>
                </c:pt>
                <c:pt idx="209">
                  <c:v>Nguyễn Việt Hưng</c:v>
                </c:pt>
                <c:pt idx="211">
                  <c:v>C. Mai</c:v>
                </c:pt>
                <c:pt idx="212">
                  <c:v> Bảo Trân</c:v>
                </c:pt>
                <c:pt idx="213">
                  <c:v>chị Giang</c:v>
                </c:pt>
                <c:pt idx="214">
                  <c:v>chị Giang</c:v>
                </c:pt>
                <c:pt idx="215">
                  <c:v>chị Hải</c:v>
                </c:pt>
                <c:pt idx="216">
                  <c:v>chị Hải</c:v>
                </c:pt>
                <c:pt idx="217">
                  <c:v>Ng Quốc Huy</c:v>
                </c:pt>
              </c:strCache>
            </c:strRef>
          </c:tx>
          <c:invertIfNegative val="0"/>
          <c:val>
            <c:numRef>
              <c:f>Data!$F$202:$F$220</c:f>
              <c:numCache>
                <c:formatCode>#,##0_);\(#,##0\)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23-4F71-93E9-73CD9A6CCCC5}"/>
            </c:ext>
          </c:extLst>
        </c:ser>
        <c:ser>
          <c:idx val="6"/>
          <c:order val="6"/>
          <c:tx>
            <c:strRef>
              <c:f>Data!$G$3:$G$220</c:f>
              <c:strCache>
                <c:ptCount val="218"/>
                <c:pt idx="0">
                  <c:v>Điện thoại
 người đại diện</c:v>
                </c:pt>
                <c:pt idx="1">
                  <c:v>(7)</c:v>
                </c:pt>
                <c:pt idx="2">
                  <c:v>0346413588</c:v>
                </c:pt>
                <c:pt idx="3">
                  <c:v>0986675792</c:v>
                </c:pt>
                <c:pt idx="4">
                  <c:v>0912258465</c:v>
                </c:pt>
                <c:pt idx="5">
                  <c:v>0975297996</c:v>
                </c:pt>
                <c:pt idx="6">
                  <c:v>0986675792</c:v>
                </c:pt>
                <c:pt idx="7">
                  <c:v>0986675792</c:v>
                </c:pt>
                <c:pt idx="8">
                  <c:v>0945656446</c:v>
                </c:pt>
                <c:pt idx="9">
                  <c:v>0918764073</c:v>
                </c:pt>
                <c:pt idx="10">
                  <c:v>0912894948</c:v>
                </c:pt>
                <c:pt idx="11">
                  <c:v>0888261868</c:v>
                </c:pt>
                <c:pt idx="12">
                  <c:v>0944289288</c:v>
                </c:pt>
                <c:pt idx="13">
                  <c:v>0972261616</c:v>
                </c:pt>
                <c:pt idx="14">
                  <c:v>0972261616</c:v>
                </c:pt>
                <c:pt idx="15">
                  <c:v>0977340326</c:v>
                </c:pt>
                <c:pt idx="16">
                  <c:v>0912567686</c:v>
                </c:pt>
                <c:pt idx="17">
                  <c:v>0903251444</c:v>
                </c:pt>
                <c:pt idx="18">
                  <c:v>0915023999</c:v>
                </c:pt>
                <c:pt idx="19">
                  <c:v>0903251444</c:v>
                </c:pt>
                <c:pt idx="20">
                  <c:v>0977295439</c:v>
                </c:pt>
                <c:pt idx="21">
                  <c:v>0948742589</c:v>
                </c:pt>
                <c:pt idx="22">
                  <c:v>0975744134</c:v>
                </c:pt>
                <c:pt idx="23">
                  <c:v>0982886906</c:v>
                </c:pt>
                <c:pt idx="24">
                  <c:v>0989483276</c:v>
                </c:pt>
                <c:pt idx="25">
                  <c:v>0913219791</c:v>
                </c:pt>
                <c:pt idx="26">
                  <c:v>0943751976</c:v>
                </c:pt>
                <c:pt idx="27">
                  <c:v>0819906149</c:v>
                </c:pt>
                <c:pt idx="28">
                  <c:v>0915805666</c:v>
                </c:pt>
                <c:pt idx="29">
                  <c:v>0915805666</c:v>
                </c:pt>
                <c:pt idx="31">
                  <c:v>0834214946</c:v>
                </c:pt>
                <c:pt idx="32">
                  <c:v>0976596779</c:v>
                </c:pt>
                <c:pt idx="33">
                  <c:v>0936865486</c:v>
                </c:pt>
                <c:pt idx="34">
                  <c:v>912212968</c:v>
                </c:pt>
                <c:pt idx="35">
                  <c:v>0949318686</c:v>
                </c:pt>
                <c:pt idx="36">
                  <c:v>0913525259</c:v>
                </c:pt>
                <c:pt idx="37">
                  <c:v>0915343555</c:v>
                </c:pt>
                <c:pt idx="38">
                  <c:v>0915343555</c:v>
                </c:pt>
                <c:pt idx="39">
                  <c:v>0942567886</c:v>
                </c:pt>
                <c:pt idx="40">
                  <c:v>0986675792</c:v>
                </c:pt>
                <c:pt idx="41">
                  <c:v>0393953999</c:v>
                </c:pt>
                <c:pt idx="42">
                  <c:v>0912372528</c:v>
                </c:pt>
                <c:pt idx="43">
                  <c:v>0942373388</c:v>
                </c:pt>
                <c:pt idx="44">
                  <c:v>0393245710</c:v>
                </c:pt>
                <c:pt idx="45">
                  <c:v>0944838353</c:v>
                </c:pt>
                <c:pt idx="46">
                  <c:v>0944838353</c:v>
                </c:pt>
                <c:pt idx="47">
                  <c:v>0902171933</c:v>
                </c:pt>
                <c:pt idx="48">
                  <c:v>0902171933</c:v>
                </c:pt>
                <c:pt idx="49">
                  <c:v>0944838353</c:v>
                </c:pt>
                <c:pt idx="50">
                  <c:v>091 4343833</c:v>
                </c:pt>
                <c:pt idx="51">
                  <c:v>091 4343833</c:v>
                </c:pt>
                <c:pt idx="52">
                  <c:v>0947279988</c:v>
                </c:pt>
                <c:pt idx="53">
                  <c:v>0912265004</c:v>
                </c:pt>
                <c:pt idx="54">
                  <c:v>0912265004</c:v>
                </c:pt>
                <c:pt idx="55">
                  <c:v>0913521321</c:v>
                </c:pt>
                <c:pt idx="56">
                  <c:v>0913521321</c:v>
                </c:pt>
                <c:pt idx="57">
                  <c:v>0379997777</c:v>
                </c:pt>
                <c:pt idx="58">
                  <c:v>0379997777</c:v>
                </c:pt>
                <c:pt idx="59">
                  <c:v>0915678432</c:v>
                </c:pt>
                <c:pt idx="60">
                  <c:v>0976636216</c:v>
                </c:pt>
                <c:pt idx="61">
                  <c:v>0988793468</c:v>
                </c:pt>
                <c:pt idx="62">
                  <c:v>0904509467</c:v>
                </c:pt>
                <c:pt idx="63">
                  <c:v>0988355343</c:v>
                </c:pt>
                <c:pt idx="64">
                  <c:v>0988355343</c:v>
                </c:pt>
                <c:pt idx="65">
                  <c:v>0988355343</c:v>
                </c:pt>
                <c:pt idx="66">
                  <c:v>0988355343</c:v>
                </c:pt>
                <c:pt idx="67">
                  <c:v>0912772168</c:v>
                </c:pt>
                <c:pt idx="68">
                  <c:v>0912998468</c:v>
                </c:pt>
                <c:pt idx="69">
                  <c:v>0346504559, 0947020290 (Hạnh)</c:v>
                </c:pt>
                <c:pt idx="70">
                  <c:v>0346504559, 0947020290 (Hạnh)</c:v>
                </c:pt>
                <c:pt idx="71">
                  <c:v>0904526676</c:v>
                </c:pt>
                <c:pt idx="72">
                  <c:v>0904526676</c:v>
                </c:pt>
                <c:pt idx="73">
                  <c:v>0904526676</c:v>
                </c:pt>
                <c:pt idx="74">
                  <c:v>0904526676</c:v>
                </c:pt>
                <c:pt idx="75">
                  <c:v>0904526676</c:v>
                </c:pt>
                <c:pt idx="76">
                  <c:v>0904526676</c:v>
                </c:pt>
                <c:pt idx="77">
                  <c:v>0904526676</c:v>
                </c:pt>
                <c:pt idx="78">
                  <c:v>0904526676</c:v>
                </c:pt>
                <c:pt idx="79">
                  <c:v>0904526676</c:v>
                </c:pt>
                <c:pt idx="80">
                  <c:v>0904526676</c:v>
                </c:pt>
                <c:pt idx="81">
                  <c:v>0904526676</c:v>
                </c:pt>
                <c:pt idx="82">
                  <c:v>0904526676</c:v>
                </c:pt>
                <c:pt idx="83">
                  <c:v>0982280945</c:v>
                </c:pt>
                <c:pt idx="84">
                  <c:v>Hạnh: '0377659897</c:v>
                </c:pt>
                <c:pt idx="85">
                  <c:v>0971561418</c:v>
                </c:pt>
                <c:pt idx="86">
                  <c:v>0932367577</c:v>
                </c:pt>
                <c:pt idx="87">
                  <c:v>0987015666</c:v>
                </c:pt>
                <c:pt idx="89">
                  <c:v>0987015666</c:v>
                </c:pt>
                <c:pt idx="91">
                  <c:v>0983852603</c:v>
                </c:pt>
                <c:pt idx="92">
                  <c:v>0913516262</c:v>
                </c:pt>
                <c:pt idx="93">
                  <c:v>0913516262</c:v>
                </c:pt>
                <c:pt idx="94">
                  <c:v>0987015666</c:v>
                </c:pt>
                <c:pt idx="95">
                  <c:v>966633683</c:v>
                </c:pt>
                <c:pt idx="96">
                  <c:v>0932367577</c:v>
                </c:pt>
                <c:pt idx="97">
                  <c:v>0947279988</c:v>
                </c:pt>
                <c:pt idx="98">
                  <c:v>0904125908</c:v>
                </c:pt>
                <c:pt idx="99">
                  <c:v>0904125908</c:v>
                </c:pt>
                <c:pt idx="100">
                  <c:v>0904125908</c:v>
                </c:pt>
                <c:pt idx="101">
                  <c:v>0904125908</c:v>
                </c:pt>
                <c:pt idx="102">
                  <c:v>0904125908</c:v>
                </c:pt>
                <c:pt idx="103">
                  <c:v>0904125908</c:v>
                </c:pt>
                <c:pt idx="104">
                  <c:v>0904125908</c:v>
                </c:pt>
                <c:pt idx="105">
                  <c:v>0967405962</c:v>
                </c:pt>
                <c:pt idx="106">
                  <c:v>0989083546</c:v>
                </c:pt>
                <c:pt idx="107">
                  <c:v>0904667684</c:v>
                </c:pt>
                <c:pt idx="108">
                  <c:v>0988793468</c:v>
                </c:pt>
                <c:pt idx="109">
                  <c:v>0912640379</c:v>
                </c:pt>
                <c:pt idx="111">
                  <c:v>36231035</c:v>
                </c:pt>
                <c:pt idx="112">
                  <c:v>0982404936</c:v>
                </c:pt>
                <c:pt idx="117">
                  <c:v>0983118015</c:v>
                </c:pt>
                <c:pt idx="118">
                  <c:v>0961084029</c:v>
                </c:pt>
                <c:pt idx="119">
                  <c:v>0961084029</c:v>
                </c:pt>
                <c:pt idx="120">
                  <c:v>0915527063</c:v>
                </c:pt>
                <c:pt idx="121">
                  <c:v>0902211356</c:v>
                </c:pt>
                <c:pt idx="122">
                  <c:v>0902211356</c:v>
                </c:pt>
                <c:pt idx="123">
                  <c:v>0912201194</c:v>
                </c:pt>
                <c:pt idx="124">
                  <c:v>0936386293</c:v>
                </c:pt>
                <c:pt idx="125">
                  <c:v>0987439889</c:v>
                </c:pt>
                <c:pt idx="126">
                  <c:v>0987439889</c:v>
                </c:pt>
                <c:pt idx="127">
                  <c:v>0987439889</c:v>
                </c:pt>
                <c:pt idx="128">
                  <c:v>0987439889</c:v>
                </c:pt>
                <c:pt idx="129">
                  <c:v>0987439889</c:v>
                </c:pt>
                <c:pt idx="130">
                  <c:v>0986329918</c:v>
                </c:pt>
                <c:pt idx="131">
                  <c:v>0986329918</c:v>
                </c:pt>
                <c:pt idx="132">
                  <c:v>0986329918</c:v>
                </c:pt>
                <c:pt idx="133">
                  <c:v>0986329918</c:v>
                </c:pt>
                <c:pt idx="134">
                  <c:v>0913512282- 0968090564</c:v>
                </c:pt>
                <c:pt idx="135">
                  <c:v>0978817568</c:v>
                </c:pt>
                <c:pt idx="136">
                  <c:v>0978817568</c:v>
                </c:pt>
                <c:pt idx="137">
                  <c:v>0978817568</c:v>
                </c:pt>
                <c:pt idx="138">
                  <c:v>0978817568</c:v>
                </c:pt>
                <c:pt idx="139">
                  <c:v>0978817568</c:v>
                </c:pt>
                <c:pt idx="140">
                  <c:v>0978817568</c:v>
                </c:pt>
                <c:pt idx="141">
                  <c:v>0906123357</c:v>
                </c:pt>
                <c:pt idx="142">
                  <c:v>0906123357</c:v>
                </c:pt>
                <c:pt idx="143">
                  <c:v>0906123357</c:v>
                </c:pt>
                <c:pt idx="144">
                  <c:v>0973253788</c:v>
                </c:pt>
                <c:pt idx="145">
                  <c:v>0973253788</c:v>
                </c:pt>
                <c:pt idx="146">
                  <c:v>0906123357</c:v>
                </c:pt>
                <c:pt idx="147">
                  <c:v>0988628266</c:v>
                </c:pt>
                <c:pt idx="148">
                  <c:v>0974041888</c:v>
                </c:pt>
                <c:pt idx="149">
                  <c:v>0345890588</c:v>
                </c:pt>
                <c:pt idx="150">
                  <c:v>0904173826</c:v>
                </c:pt>
                <c:pt idx="151">
                  <c:v>0904173826</c:v>
                </c:pt>
                <c:pt idx="152">
                  <c:v>0904173826</c:v>
                </c:pt>
                <c:pt idx="153">
                  <c:v>0904173826</c:v>
                </c:pt>
                <c:pt idx="154">
                  <c:v>0904173826</c:v>
                </c:pt>
                <c:pt idx="155">
                  <c:v>0904173826</c:v>
                </c:pt>
                <c:pt idx="156">
                  <c:v>0904173826</c:v>
                </c:pt>
                <c:pt idx="157">
                  <c:v>0904173826</c:v>
                </c:pt>
                <c:pt idx="158">
                  <c:v>0904173826</c:v>
                </c:pt>
                <c:pt idx="159">
                  <c:v>0904173826</c:v>
                </c:pt>
                <c:pt idx="160">
                  <c:v>0904173826</c:v>
                </c:pt>
                <c:pt idx="161">
                  <c:v>0904173826</c:v>
                </c:pt>
                <c:pt idx="162">
                  <c:v>0904173826</c:v>
                </c:pt>
                <c:pt idx="163">
                  <c:v>0904173826</c:v>
                </c:pt>
                <c:pt idx="164">
                  <c:v>0904173826</c:v>
                </c:pt>
                <c:pt idx="165">
                  <c:v>0906123357</c:v>
                </c:pt>
                <c:pt idx="166">
                  <c:v>0906123357</c:v>
                </c:pt>
                <c:pt idx="167">
                  <c:v>0988630459</c:v>
                </c:pt>
                <c:pt idx="168">
                  <c:v>0906850866</c:v>
                </c:pt>
                <c:pt idx="169">
                  <c:v>02438681888</c:v>
                </c:pt>
                <c:pt idx="170">
                  <c:v>0978423004</c:v>
                </c:pt>
                <c:pt idx="171">
                  <c:v>0912223464</c:v>
                </c:pt>
                <c:pt idx="172">
                  <c:v>0912223464</c:v>
                </c:pt>
                <c:pt idx="173">
                  <c:v>0912223464</c:v>
                </c:pt>
                <c:pt idx="174">
                  <c:v>0912223464</c:v>
                </c:pt>
                <c:pt idx="175">
                  <c:v>0912223464</c:v>
                </c:pt>
                <c:pt idx="176">
                  <c:v>0912223464</c:v>
                </c:pt>
                <c:pt idx="177">
                  <c:v>0912223464</c:v>
                </c:pt>
                <c:pt idx="178">
                  <c:v>0912223464</c:v>
                </c:pt>
                <c:pt idx="179">
                  <c:v>0912223464</c:v>
                </c:pt>
                <c:pt idx="180">
                  <c:v>0912223464</c:v>
                </c:pt>
                <c:pt idx="181">
                  <c:v>0912223464</c:v>
                </c:pt>
                <c:pt idx="182">
                  <c:v>0912223464</c:v>
                </c:pt>
                <c:pt idx="183">
                  <c:v>0912223464</c:v>
                </c:pt>
                <c:pt idx="184">
                  <c:v>0912223464</c:v>
                </c:pt>
                <c:pt idx="185">
                  <c:v>0912223464</c:v>
                </c:pt>
                <c:pt idx="186">
                  <c:v>0912223464</c:v>
                </c:pt>
                <c:pt idx="187">
                  <c:v>0912223464</c:v>
                </c:pt>
                <c:pt idx="188">
                  <c:v>0912223464</c:v>
                </c:pt>
                <c:pt idx="189">
                  <c:v>0912223464</c:v>
                </c:pt>
                <c:pt idx="190">
                  <c:v>0912223464</c:v>
                </c:pt>
                <c:pt idx="191">
                  <c:v>082906666</c:v>
                </c:pt>
                <c:pt idx="192">
                  <c:v>082906666</c:v>
                </c:pt>
                <c:pt idx="193">
                  <c:v>0903297878</c:v>
                </c:pt>
                <c:pt idx="194">
                  <c:v>0903297878</c:v>
                </c:pt>
                <c:pt idx="195">
                  <c:v>0987265632</c:v>
                </c:pt>
                <c:pt idx="196">
                  <c:v>0904251166</c:v>
                </c:pt>
                <c:pt idx="197">
                  <c:v>0904251166</c:v>
                </c:pt>
                <c:pt idx="198">
                  <c:v>0936042348</c:v>
                </c:pt>
                <c:pt idx="199">
                  <c:v>0963723666</c:v>
                </c:pt>
                <c:pt idx="200">
                  <c:v>0966283388</c:v>
                </c:pt>
                <c:pt idx="201">
                  <c:v>0966283388</c:v>
                </c:pt>
                <c:pt idx="202">
                  <c:v>0966669596</c:v>
                </c:pt>
                <c:pt idx="203">
                  <c:v>0966283388</c:v>
                </c:pt>
                <c:pt idx="204">
                  <c:v>0332563666</c:v>
                </c:pt>
                <c:pt idx="205">
                  <c:v>0975715666</c:v>
                </c:pt>
                <c:pt idx="206">
                  <c:v>0332563666</c:v>
                </c:pt>
                <c:pt idx="207">
                  <c:v>0975715666</c:v>
                </c:pt>
                <c:pt idx="208">
                  <c:v>0966669596</c:v>
                </c:pt>
                <c:pt idx="209">
                  <c:v>0987936113</c:v>
                </c:pt>
                <c:pt idx="210">
                  <c:v>19004690</c:v>
                </c:pt>
                <c:pt idx="211">
                  <c:v>0984592468</c:v>
                </c:pt>
                <c:pt idx="212">
                  <c:v>0914415742</c:v>
                </c:pt>
                <c:pt idx="213">
                  <c:v>0962365030</c:v>
                </c:pt>
                <c:pt idx="214">
                  <c:v>0962365030</c:v>
                </c:pt>
                <c:pt idx="215">
                  <c:v>0904251166</c:v>
                </c:pt>
                <c:pt idx="216">
                  <c:v>0904251166</c:v>
                </c:pt>
                <c:pt idx="217">
                  <c:v>0904811081</c:v>
                </c:pt>
              </c:strCache>
            </c:strRef>
          </c:tx>
          <c:invertIfNegative val="0"/>
          <c:val>
            <c:numRef>
              <c:f>Data!$G$202:$G$220</c:f>
              <c:numCache>
                <c:formatCode>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23-4F71-93E9-73CD9A6CCCC5}"/>
            </c:ext>
          </c:extLst>
        </c:ser>
        <c:ser>
          <c:idx val="7"/>
          <c:order val="7"/>
          <c:tx>
            <c:strRef>
              <c:f>Data!$H$3:$H$220</c:f>
              <c:strCache>
                <c:ptCount val="218"/>
                <c:pt idx="0">
                  <c:v>Nhà/ Tòa nhà</c:v>
                </c:pt>
                <c:pt idx="1">
                  <c:v>(8)</c:v>
                </c:pt>
                <c:pt idx="2">
                  <c:v>SVĐ</c:v>
                </c:pt>
                <c:pt idx="3">
                  <c:v>SVĐ</c:v>
                </c:pt>
                <c:pt idx="4">
                  <c:v>B</c:v>
                </c:pt>
                <c:pt idx="5">
                  <c:v>SVĐ</c:v>
                </c:pt>
                <c:pt idx="6">
                  <c:v>SVĐ</c:v>
                </c:pt>
                <c:pt idx="7">
                  <c:v>SVĐ</c:v>
                </c:pt>
                <c:pt idx="8">
                  <c:v>Số 10 TQB</c:v>
                </c:pt>
                <c:pt idx="9">
                  <c:v>Số 10 TQB</c:v>
                </c:pt>
                <c:pt idx="10">
                  <c:v>Số 10 TQB</c:v>
                </c:pt>
                <c:pt idx="11">
                  <c:v>Số 10 TQB</c:v>
                </c:pt>
                <c:pt idx="12">
                  <c:v>Số 10 TQB</c:v>
                </c:pt>
                <c:pt idx="13">
                  <c:v>Số 10 TQB</c:v>
                </c:pt>
                <c:pt idx="14">
                  <c:v>Số 10 TQB</c:v>
                </c:pt>
                <c:pt idx="15">
                  <c:v>Số 10 TQB</c:v>
                </c:pt>
                <c:pt idx="16">
                  <c:v>Số 10 TQB</c:v>
                </c:pt>
                <c:pt idx="17">
                  <c:v>Số 10 TQB</c:v>
                </c:pt>
                <c:pt idx="19">
                  <c:v>A15</c:v>
                </c:pt>
                <c:pt idx="20">
                  <c:v>B1</c:v>
                </c:pt>
                <c:pt idx="21">
                  <c:v>B1</c:v>
                </c:pt>
                <c:pt idx="23">
                  <c:v>B7 BIS</c:v>
                </c:pt>
                <c:pt idx="24">
                  <c:v>D2A</c:v>
                </c:pt>
                <c:pt idx="25">
                  <c:v>D2B</c:v>
                </c:pt>
                <c:pt idx="26">
                  <c:v>D2D</c:v>
                </c:pt>
                <c:pt idx="27">
                  <c:v>D6</c:v>
                </c:pt>
                <c:pt idx="28">
                  <c:v>A17</c:v>
                </c:pt>
                <c:pt idx="29">
                  <c:v>A17</c:v>
                </c:pt>
                <c:pt idx="30">
                  <c:v>A17</c:v>
                </c:pt>
                <c:pt idx="31">
                  <c:v>A17</c:v>
                </c:pt>
                <c:pt idx="32">
                  <c:v>A17</c:v>
                </c:pt>
                <c:pt idx="33">
                  <c:v>A17</c:v>
                </c:pt>
                <c:pt idx="34">
                  <c:v>A17</c:v>
                </c:pt>
                <c:pt idx="35">
                  <c:v>TC</c:v>
                </c:pt>
                <c:pt idx="37">
                  <c:v>Bể bơi</c:v>
                </c:pt>
                <c:pt idx="38">
                  <c:v>Bể bơi</c:v>
                </c:pt>
                <c:pt idx="39">
                  <c:v>Bể bơi</c:v>
                </c:pt>
                <c:pt idx="40">
                  <c:v>D3</c:v>
                </c:pt>
                <c:pt idx="41">
                  <c:v>D3</c:v>
                </c:pt>
                <c:pt idx="42">
                  <c:v>D5</c:v>
                </c:pt>
                <c:pt idx="43">
                  <c:v>D9</c:v>
                </c:pt>
                <c:pt idx="44">
                  <c:v>D9</c:v>
                </c:pt>
                <c:pt idx="45">
                  <c:v>TVĐT</c:v>
                </c:pt>
                <c:pt idx="46">
                  <c:v>TVĐT</c:v>
                </c:pt>
                <c:pt idx="47">
                  <c:v>TVĐT</c:v>
                </c:pt>
                <c:pt idx="48">
                  <c:v>TVĐT</c:v>
                </c:pt>
                <c:pt idx="49">
                  <c:v>TVĐT</c:v>
                </c:pt>
                <c:pt idx="50">
                  <c:v>TVĐT</c:v>
                </c:pt>
                <c:pt idx="51">
                  <c:v>D2D</c:v>
                </c:pt>
                <c:pt idx="52">
                  <c:v>TVĐT</c:v>
                </c:pt>
                <c:pt idx="53">
                  <c:v>TVĐT</c:v>
                </c:pt>
                <c:pt idx="55">
                  <c:v>C9</c:v>
                </c:pt>
                <c:pt idx="56">
                  <c:v>C5</c:v>
                </c:pt>
                <c:pt idx="57">
                  <c:v>D8</c:v>
                </c:pt>
                <c:pt idx="58">
                  <c:v>D8</c:v>
                </c:pt>
                <c:pt idx="59">
                  <c:v>Ngõ 17</c:v>
                </c:pt>
                <c:pt idx="61">
                  <c:v>TVĐT</c:v>
                </c:pt>
                <c:pt idx="62">
                  <c:v>B1</c:v>
                </c:pt>
                <c:pt idx="63">
                  <c:v>C</c:v>
                </c:pt>
                <c:pt idx="64">
                  <c:v>TC</c:v>
                </c:pt>
                <c:pt idx="65">
                  <c:v>TVĐT</c:v>
                </c:pt>
                <c:pt idx="66">
                  <c:v>TVĐT</c:v>
                </c:pt>
                <c:pt idx="68">
                  <c:v>KTX</c:v>
                </c:pt>
                <c:pt idx="69">
                  <c:v>C8B</c:v>
                </c:pt>
                <c:pt idx="70">
                  <c:v>C8B</c:v>
                </c:pt>
                <c:pt idx="71">
                  <c:v>T</c:v>
                </c:pt>
                <c:pt idx="72">
                  <c:v>T</c:v>
                </c:pt>
                <c:pt idx="73">
                  <c:v>T</c:v>
                </c:pt>
                <c:pt idx="74">
                  <c:v>T</c:v>
                </c:pt>
                <c:pt idx="75">
                  <c:v>T</c:v>
                </c:pt>
                <c:pt idx="76">
                  <c:v>T</c:v>
                </c:pt>
                <c:pt idx="77">
                  <c:v>T</c:v>
                </c:pt>
                <c:pt idx="78">
                  <c:v>T</c:v>
                </c:pt>
                <c:pt idx="79">
                  <c:v>T</c:v>
                </c:pt>
                <c:pt idx="80">
                  <c:v>T</c:v>
                </c:pt>
                <c:pt idx="81">
                  <c:v>T</c:v>
                </c:pt>
                <c:pt idx="82">
                  <c:v>T</c:v>
                </c:pt>
                <c:pt idx="83">
                  <c:v>T</c:v>
                </c:pt>
                <c:pt idx="84">
                  <c:v>T</c:v>
                </c:pt>
                <c:pt idx="85">
                  <c:v>T</c:v>
                </c:pt>
                <c:pt idx="86">
                  <c:v>T</c:v>
                </c:pt>
                <c:pt idx="87">
                  <c:v>T</c:v>
                </c:pt>
                <c:pt idx="88">
                  <c:v>T</c:v>
                </c:pt>
                <c:pt idx="89">
                  <c:v>T</c:v>
                </c:pt>
                <c:pt idx="90">
                  <c:v>T</c:v>
                </c:pt>
                <c:pt idx="91">
                  <c:v>D8</c:v>
                </c:pt>
                <c:pt idx="92">
                  <c:v>T</c:v>
                </c:pt>
                <c:pt idx="93">
                  <c:v>T</c:v>
                </c:pt>
                <c:pt idx="94">
                  <c:v>T</c:v>
                </c:pt>
                <c:pt idx="95">
                  <c:v>T</c:v>
                </c:pt>
                <c:pt idx="96">
                  <c:v>T</c:v>
                </c:pt>
                <c:pt idx="97">
                  <c:v>B1</c:v>
                </c:pt>
                <c:pt idx="98">
                  <c:v>B4</c:v>
                </c:pt>
                <c:pt idx="99">
                  <c:v>D8</c:v>
                </c:pt>
                <c:pt idx="100">
                  <c:v>D8</c:v>
                </c:pt>
                <c:pt idx="101">
                  <c:v>D8</c:v>
                </c:pt>
                <c:pt idx="102">
                  <c:v>D8</c:v>
                </c:pt>
                <c:pt idx="103">
                  <c:v>D8</c:v>
                </c:pt>
                <c:pt idx="104">
                  <c:v>D8</c:v>
                </c:pt>
                <c:pt idx="105">
                  <c:v>A</c:v>
                </c:pt>
                <c:pt idx="106">
                  <c:v>B4</c:v>
                </c:pt>
                <c:pt idx="107">
                  <c:v>B4</c:v>
                </c:pt>
                <c:pt idx="108">
                  <c:v>B1</c:v>
                </c:pt>
                <c:pt idx="109">
                  <c:v>D6B</c:v>
                </c:pt>
                <c:pt idx="110">
                  <c:v>C10</c:v>
                </c:pt>
                <c:pt idx="111">
                  <c:v>C10</c:v>
                </c:pt>
                <c:pt idx="112">
                  <c:v>C10</c:v>
                </c:pt>
                <c:pt idx="113">
                  <c:v>TC</c:v>
                </c:pt>
                <c:pt idx="114">
                  <c:v>TC</c:v>
                </c:pt>
                <c:pt idx="115">
                  <c:v>TC</c:v>
                </c:pt>
                <c:pt idx="116">
                  <c:v>TC</c:v>
                </c:pt>
                <c:pt idx="117">
                  <c:v>B</c:v>
                </c:pt>
                <c:pt idx="118">
                  <c:v>T</c:v>
                </c:pt>
                <c:pt idx="119">
                  <c:v>T</c:v>
                </c:pt>
                <c:pt idx="120">
                  <c:v>C10B</c:v>
                </c:pt>
                <c:pt idx="121">
                  <c:v>TVĐT</c:v>
                </c:pt>
                <c:pt idx="122">
                  <c:v>TVĐT</c:v>
                </c:pt>
                <c:pt idx="123">
                  <c:v>B1</c:v>
                </c:pt>
                <c:pt idx="124">
                  <c:v>D8</c:v>
                </c:pt>
                <c:pt idx="125">
                  <c:v>C3B</c:v>
                </c:pt>
                <c:pt idx="126">
                  <c:v>TVĐT</c:v>
                </c:pt>
                <c:pt idx="127">
                  <c:v>D2C</c:v>
                </c:pt>
                <c:pt idx="128">
                  <c:v>D6</c:v>
                </c:pt>
                <c:pt idx="129">
                  <c:v>D6</c:v>
                </c:pt>
                <c:pt idx="130">
                  <c:v>C6</c:v>
                </c:pt>
                <c:pt idx="131">
                  <c:v>C1B</c:v>
                </c:pt>
                <c:pt idx="132">
                  <c:v>C1B</c:v>
                </c:pt>
                <c:pt idx="133">
                  <c:v>Ngõ 15</c:v>
                </c:pt>
                <c:pt idx="135">
                  <c:v>15 TQB</c:v>
                </c:pt>
                <c:pt idx="136">
                  <c:v>F</c:v>
                </c:pt>
                <c:pt idx="137">
                  <c:v>B1</c:v>
                </c:pt>
                <c:pt idx="138">
                  <c:v>Ngõ 17</c:v>
                </c:pt>
                <c:pt idx="139">
                  <c:v>Ngõ 42</c:v>
                </c:pt>
                <c:pt idx="140">
                  <c:v>Bể bơi</c:v>
                </c:pt>
                <c:pt idx="141">
                  <c:v>A17</c:v>
                </c:pt>
                <c:pt idx="142">
                  <c:v>A17</c:v>
                </c:pt>
                <c:pt idx="143">
                  <c:v>A17</c:v>
                </c:pt>
                <c:pt idx="144">
                  <c:v>A17</c:v>
                </c:pt>
                <c:pt idx="145">
                  <c:v>A17</c:v>
                </c:pt>
                <c:pt idx="146">
                  <c:v>A17</c:v>
                </c:pt>
                <c:pt idx="147">
                  <c:v>Ngõ 15</c:v>
                </c:pt>
                <c:pt idx="148">
                  <c:v>Ngõ 15</c:v>
                </c:pt>
                <c:pt idx="149">
                  <c:v>Ngõ 15</c:v>
                </c:pt>
                <c:pt idx="150">
                  <c:v>C4B</c:v>
                </c:pt>
                <c:pt idx="151">
                  <c:v>11 TQB</c:v>
                </c:pt>
                <c:pt idx="152">
                  <c:v>15 TQB</c:v>
                </c:pt>
                <c:pt idx="153">
                  <c:v>B4</c:v>
                </c:pt>
                <c:pt idx="154">
                  <c:v>B4</c:v>
                </c:pt>
                <c:pt idx="155">
                  <c:v>A17</c:v>
                </c:pt>
                <c:pt idx="156">
                  <c:v>A17</c:v>
                </c:pt>
                <c:pt idx="157">
                  <c:v>A17</c:v>
                </c:pt>
                <c:pt idx="158">
                  <c:v>Ngõ 17</c:v>
                </c:pt>
                <c:pt idx="159">
                  <c:v>B</c:v>
                </c:pt>
                <c:pt idx="160">
                  <c:v>B4</c:v>
                </c:pt>
                <c:pt idx="161">
                  <c:v>B4</c:v>
                </c:pt>
                <c:pt idx="162">
                  <c:v>A</c:v>
                </c:pt>
                <c:pt idx="163">
                  <c:v>A</c:v>
                </c:pt>
                <c:pt idx="164">
                  <c:v>A</c:v>
                </c:pt>
                <c:pt idx="165">
                  <c:v>TC</c:v>
                </c:pt>
                <c:pt idx="166">
                  <c:v>TC</c:v>
                </c:pt>
                <c:pt idx="167">
                  <c:v>C3</c:v>
                </c:pt>
                <c:pt idx="168">
                  <c:v>C6</c:v>
                </c:pt>
                <c:pt idx="169">
                  <c:v>C5</c:v>
                </c:pt>
                <c:pt idx="170">
                  <c:v>C5</c:v>
                </c:pt>
                <c:pt idx="171">
                  <c:v>SVĐ</c:v>
                </c:pt>
                <c:pt idx="172">
                  <c:v>SVĐ</c:v>
                </c:pt>
                <c:pt idx="173">
                  <c:v>SVĐ</c:v>
                </c:pt>
                <c:pt idx="174">
                  <c:v>SVĐ</c:v>
                </c:pt>
                <c:pt idx="175">
                  <c:v>SVĐ</c:v>
                </c:pt>
                <c:pt idx="176">
                  <c:v>SVĐ</c:v>
                </c:pt>
                <c:pt idx="177">
                  <c:v>SVĐ</c:v>
                </c:pt>
                <c:pt idx="178">
                  <c:v>SVĐ</c:v>
                </c:pt>
                <c:pt idx="179">
                  <c:v>SVĐ</c:v>
                </c:pt>
                <c:pt idx="180">
                  <c:v>B9</c:v>
                </c:pt>
                <c:pt idx="181">
                  <c:v>NTĐ</c:v>
                </c:pt>
                <c:pt idx="182">
                  <c:v>NTĐ</c:v>
                </c:pt>
                <c:pt idx="183">
                  <c:v>NTĐ</c:v>
                </c:pt>
                <c:pt idx="184">
                  <c:v>NTĐ</c:v>
                </c:pt>
                <c:pt idx="185">
                  <c:v>BB</c:v>
                </c:pt>
                <c:pt idx="186">
                  <c:v>NTĐ</c:v>
                </c:pt>
                <c:pt idx="187">
                  <c:v>NTĐ</c:v>
                </c:pt>
                <c:pt idx="188">
                  <c:v>NTĐ</c:v>
                </c:pt>
                <c:pt idx="189">
                  <c:v>NTĐ</c:v>
                </c:pt>
                <c:pt idx="190">
                  <c:v>NTĐ</c:v>
                </c:pt>
                <c:pt idx="191">
                  <c:v>A17</c:v>
                </c:pt>
                <c:pt idx="192">
                  <c:v>D3</c:v>
                </c:pt>
                <c:pt idx="193">
                  <c:v>A17</c:v>
                </c:pt>
                <c:pt idx="194">
                  <c:v>D3</c:v>
                </c:pt>
                <c:pt idx="195">
                  <c:v>D3</c:v>
                </c:pt>
                <c:pt idx="196">
                  <c:v>B1</c:v>
                </c:pt>
                <c:pt idx="197">
                  <c:v>D4</c:v>
                </c:pt>
                <c:pt idx="198">
                  <c:v>TVĐT</c:v>
                </c:pt>
                <c:pt idx="200">
                  <c:v>C7</c:v>
                </c:pt>
                <c:pt idx="201">
                  <c:v>C7</c:v>
                </c:pt>
                <c:pt idx="202">
                  <c:v>C4</c:v>
                </c:pt>
                <c:pt idx="203">
                  <c:v>D6</c:v>
                </c:pt>
                <c:pt idx="204">
                  <c:v>B10</c:v>
                </c:pt>
                <c:pt idx="205">
                  <c:v>B1</c:v>
                </c:pt>
                <c:pt idx="206">
                  <c:v>TVĐT</c:v>
                </c:pt>
                <c:pt idx="207">
                  <c:v>D8</c:v>
                </c:pt>
                <c:pt idx="208">
                  <c:v>D5</c:v>
                </c:pt>
                <c:pt idx="213">
                  <c:v>TVĐT</c:v>
                </c:pt>
                <c:pt idx="214">
                  <c:v>TVĐT</c:v>
                </c:pt>
                <c:pt idx="215">
                  <c:v>B10</c:v>
                </c:pt>
                <c:pt idx="216">
                  <c:v>B7</c:v>
                </c:pt>
                <c:pt idx="217">
                  <c:v>B10</c:v>
                </c:pt>
              </c:strCache>
            </c:strRef>
          </c:tx>
          <c:invertIfNegative val="0"/>
          <c:val>
            <c:numRef>
              <c:f>Data!$H$202:$H$220</c:f>
              <c:numCache>
                <c:formatCode>#,##0_);\(#,##0\)</c:formatCode>
                <c:ptCount val="12"/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10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23-4F71-93E9-73CD9A6CCCC5}"/>
            </c:ext>
          </c:extLst>
        </c:ser>
        <c:ser>
          <c:idx val="8"/>
          <c:order val="8"/>
          <c:tx>
            <c:strRef>
              <c:f>Data!$J$3:$J$220</c:f>
              <c:strCache>
                <c:ptCount val="218"/>
                <c:pt idx="0">
                  <c:v>Số công tơ</c:v>
                </c:pt>
                <c:pt idx="1">
                  <c:v>(10)</c:v>
                </c:pt>
                <c:pt idx="2">
                  <c:v>1711</c:v>
                </c:pt>
                <c:pt idx="3">
                  <c:v>3206</c:v>
                </c:pt>
                <c:pt idx="4">
                  <c:v>7771</c:v>
                </c:pt>
                <c:pt idx="5">
                  <c:v>5440</c:v>
                </c:pt>
                <c:pt idx="6">
                  <c:v>4220</c:v>
                </c:pt>
                <c:pt idx="7">
                  <c:v>8737</c:v>
                </c:pt>
                <c:pt idx="8">
                  <c:v>5089</c:v>
                </c:pt>
                <c:pt idx="9">
                  <c:v>2174</c:v>
                </c:pt>
                <c:pt idx="10">
                  <c:v>1738</c:v>
                </c:pt>
                <c:pt idx="11">
                  <c:v>2709</c:v>
                </c:pt>
                <c:pt idx="12">
                  <c:v>3448</c:v>
                </c:pt>
                <c:pt idx="13">
                  <c:v>2028</c:v>
                </c:pt>
                <c:pt idx="14">
                  <c:v>9307</c:v>
                </c:pt>
                <c:pt idx="15">
                  <c:v>8259</c:v>
                </c:pt>
                <c:pt idx="16">
                  <c:v>7671</c:v>
                </c:pt>
                <c:pt idx="17">
                  <c:v>60755</c:v>
                </c:pt>
                <c:pt idx="18">
                  <c:v>1778</c:v>
                </c:pt>
                <c:pt idx="19">
                  <c:v>4936</c:v>
                </c:pt>
                <c:pt idx="20">
                  <c:v>1478</c:v>
                </c:pt>
                <c:pt idx="21">
                  <c:v>90445</c:v>
                </c:pt>
                <c:pt idx="22">
                  <c:v>3307</c:v>
                </c:pt>
                <c:pt idx="23">
                  <c:v>9094, 4383</c:v>
                </c:pt>
                <c:pt idx="24">
                  <c:v>9045</c:v>
                </c:pt>
                <c:pt idx="25">
                  <c:v>3399 </c:v>
                </c:pt>
                <c:pt idx="26">
                  <c:v>7828</c:v>
                </c:pt>
                <c:pt idx="27">
                  <c:v> 3842</c:v>
                </c:pt>
                <c:pt idx="28">
                  <c:v>0566</c:v>
                </c:pt>
                <c:pt idx="29">
                  <c:v>5125</c:v>
                </c:pt>
                <c:pt idx="30">
                  <c:v>0322</c:v>
                </c:pt>
                <c:pt idx="31">
                  <c:v>8820</c:v>
                </c:pt>
                <c:pt idx="32">
                  <c:v>9838</c:v>
                </c:pt>
                <c:pt idx="33">
                  <c:v>1735</c:v>
                </c:pt>
                <c:pt idx="34">
                  <c:v>1324</c:v>
                </c:pt>
                <c:pt idx="35">
                  <c:v>2184</c:v>
                </c:pt>
                <c:pt idx="36">
                  <c:v>7782</c:v>
                </c:pt>
                <c:pt idx="37">
                  <c:v>7041</c:v>
                </c:pt>
                <c:pt idx="38">
                  <c:v>7041</c:v>
                </c:pt>
                <c:pt idx="39">
                  <c:v>3218</c:v>
                </c:pt>
                <c:pt idx="40">
                  <c:v>9876</c:v>
                </c:pt>
                <c:pt idx="41">
                  <c:v>9903</c:v>
                </c:pt>
                <c:pt idx="42">
                  <c:v>6203</c:v>
                </c:pt>
                <c:pt idx="43">
                  <c:v>9682</c:v>
                </c:pt>
                <c:pt idx="44">
                  <c:v>4881</c:v>
                </c:pt>
                <c:pt idx="45">
                  <c:v>2172</c:v>
                </c:pt>
                <c:pt idx="46">
                  <c:v>4103</c:v>
                </c:pt>
                <c:pt idx="47">
                  <c:v>0804</c:v>
                </c:pt>
                <c:pt idx="48">
                  <c:v>2526</c:v>
                </c:pt>
                <c:pt idx="49">
                  <c:v>4311</c:v>
                </c:pt>
                <c:pt idx="50">
                  <c:v>10004862</c:v>
                </c:pt>
                <c:pt idx="51">
                  <c:v>4332</c:v>
                </c:pt>
                <c:pt idx="52">
                  <c:v>80529</c:v>
                </c:pt>
                <c:pt idx="53">
                  <c:v>1793</c:v>
                </c:pt>
                <c:pt idx="54">
                  <c:v>9391</c:v>
                </c:pt>
                <c:pt idx="55">
                  <c:v>5545</c:v>
                </c:pt>
                <c:pt idx="56">
                  <c:v>6385</c:v>
                </c:pt>
                <c:pt idx="57">
                  <c:v>0931</c:v>
                </c:pt>
                <c:pt idx="58">
                  <c:v>1624</c:v>
                </c:pt>
                <c:pt idx="59">
                  <c:v>4061</c:v>
                </c:pt>
                <c:pt idx="60">
                  <c:v>9504</c:v>
                </c:pt>
                <c:pt idx="61">
                  <c:v>5356</c:v>
                </c:pt>
                <c:pt idx="62">
                  <c:v>29 công tơ</c:v>
                </c:pt>
                <c:pt idx="63">
                  <c:v>4593</c:v>
                </c:pt>
                <c:pt idx="64">
                  <c:v>1334</c:v>
                </c:pt>
                <c:pt idx="65">
                  <c:v>1724</c:v>
                </c:pt>
                <c:pt idx="66">
                  <c:v>6333</c:v>
                </c:pt>
                <c:pt idx="67">
                  <c:v>3833</c:v>
                </c:pt>
                <c:pt idx="68">
                  <c:v>2148</c:v>
                </c:pt>
                <c:pt idx="69">
                  <c:v>7290</c:v>
                </c:pt>
                <c:pt idx="70">
                  <c:v>2002</c:v>
                </c:pt>
                <c:pt idx="71">
                  <c:v>3388</c:v>
                </c:pt>
                <c:pt idx="72">
                  <c:v>5428</c:v>
                </c:pt>
                <c:pt idx="73">
                  <c:v>3723</c:v>
                </c:pt>
                <c:pt idx="74">
                  <c:v>2273</c:v>
                </c:pt>
                <c:pt idx="75">
                  <c:v>1157</c:v>
                </c:pt>
                <c:pt idx="76">
                  <c:v>3291</c:v>
                </c:pt>
                <c:pt idx="77">
                  <c:v>2447</c:v>
                </c:pt>
                <c:pt idx="78">
                  <c:v>5191</c:v>
                </c:pt>
                <c:pt idx="79">
                  <c:v>3553</c:v>
                </c:pt>
                <c:pt idx="80">
                  <c:v>3722</c:v>
                </c:pt>
                <c:pt idx="81">
                  <c:v>3629</c:v>
                </c:pt>
                <c:pt idx="82">
                  <c:v>3394</c:v>
                </c:pt>
                <c:pt idx="83">
                  <c:v>8533</c:v>
                </c:pt>
                <c:pt idx="84">
                  <c:v>3085</c:v>
                </c:pt>
                <c:pt idx="85">
                  <c:v>2059</c:v>
                </c:pt>
                <c:pt idx="86">
                  <c:v>3834</c:v>
                </c:pt>
                <c:pt idx="87">
                  <c:v>3388</c:v>
                </c:pt>
                <c:pt idx="88">
                  <c:v>2473</c:v>
                </c:pt>
                <c:pt idx="89">
                  <c:v>3469</c:v>
                </c:pt>
                <c:pt idx="90">
                  <c:v>2206</c:v>
                </c:pt>
                <c:pt idx="91">
                  <c:v>4896</c:v>
                </c:pt>
                <c:pt idx="92">
                  <c:v>7691</c:v>
                </c:pt>
                <c:pt idx="93">
                  <c:v>7746</c:v>
                </c:pt>
                <c:pt idx="94">
                  <c:v>4231</c:v>
                </c:pt>
                <c:pt idx="95">
                  <c:v>0391</c:v>
                </c:pt>
                <c:pt idx="96">
                  <c:v>4004</c:v>
                </c:pt>
                <c:pt idx="97">
                  <c:v>2421</c:v>
                </c:pt>
                <c:pt idx="98">
                  <c:v>11478</c:v>
                </c:pt>
                <c:pt idx="99">
                  <c:v>8160</c:v>
                </c:pt>
                <c:pt idx="100">
                  <c:v>1078</c:v>
                </c:pt>
                <c:pt idx="101">
                  <c:v>1043</c:v>
                </c:pt>
                <c:pt idx="102">
                  <c:v>6360</c:v>
                </c:pt>
                <c:pt idx="103">
                  <c:v>8047</c:v>
                </c:pt>
                <c:pt idx="104">
                  <c:v>6342</c:v>
                </c:pt>
                <c:pt idx="105">
                  <c:v>9143</c:v>
                </c:pt>
                <c:pt idx="106">
                  <c:v>0387</c:v>
                </c:pt>
                <c:pt idx="107">
                  <c:v>8441</c:v>
                </c:pt>
                <c:pt idx="108">
                  <c:v>40112</c:v>
                </c:pt>
                <c:pt idx="109">
                  <c:v>5410</c:v>
                </c:pt>
                <c:pt idx="110">
                  <c:v>7435</c:v>
                </c:pt>
                <c:pt idx="111">
                  <c:v>2708</c:v>
                </c:pt>
                <c:pt idx="112">
                  <c:v>2458</c:v>
                </c:pt>
                <c:pt idx="113">
                  <c:v>8641</c:v>
                </c:pt>
                <c:pt idx="114">
                  <c:v>0757</c:v>
                </c:pt>
                <c:pt idx="115">
                  <c:v>8249</c:v>
                </c:pt>
                <c:pt idx="116">
                  <c:v>3713</c:v>
                </c:pt>
                <c:pt idx="117">
                  <c:v>6061</c:v>
                </c:pt>
                <c:pt idx="118">
                  <c:v>2363</c:v>
                </c:pt>
                <c:pt idx="119">
                  <c:v>2053</c:v>
                </c:pt>
                <c:pt idx="120">
                  <c:v>2507</c:v>
                </c:pt>
                <c:pt idx="121">
                  <c:v>1534</c:v>
                </c:pt>
                <c:pt idx="122">
                  <c:v>5217</c:v>
                </c:pt>
                <c:pt idx="123">
                  <c:v>16 công tơ</c:v>
                </c:pt>
                <c:pt idx="124">
                  <c:v>7832</c:v>
                </c:pt>
                <c:pt idx="125">
                  <c:v>7971</c:v>
                </c:pt>
                <c:pt idx="126">
                  <c:v>3543</c:v>
                </c:pt>
                <c:pt idx="127">
                  <c:v>9514</c:v>
                </c:pt>
                <c:pt idx="128">
                  <c:v>1615</c:v>
                </c:pt>
                <c:pt idx="129">
                  <c:v>8240</c:v>
                </c:pt>
                <c:pt idx="131">
                  <c:v>6085</c:v>
                </c:pt>
                <c:pt idx="132">
                  <c:v>4248</c:v>
                </c:pt>
                <c:pt idx="133">
                  <c:v>10462</c:v>
                </c:pt>
                <c:pt idx="134">
                  <c:v>3 công tơ</c:v>
                </c:pt>
                <c:pt idx="135">
                  <c:v>3113</c:v>
                </c:pt>
                <c:pt idx="136">
                  <c:v>6460, 1098</c:v>
                </c:pt>
                <c:pt idx="137">
                  <c:v>3927</c:v>
                </c:pt>
                <c:pt idx="138">
                  <c:v>2673</c:v>
                </c:pt>
                <c:pt idx="139">
                  <c:v>4855</c:v>
                </c:pt>
                <c:pt idx="140">
                  <c:v>0651</c:v>
                </c:pt>
                <c:pt idx="141">
                  <c:v>5163</c:v>
                </c:pt>
                <c:pt idx="142">
                  <c:v>0757</c:v>
                </c:pt>
                <c:pt idx="143">
                  <c:v>9357</c:v>
                </c:pt>
                <c:pt idx="144">
                  <c:v>9497</c:v>
                </c:pt>
                <c:pt idx="145">
                  <c:v>9277</c:v>
                </c:pt>
                <c:pt idx="146">
                  <c:v>9310</c:v>
                </c:pt>
                <c:pt idx="147">
                  <c:v>2278</c:v>
                </c:pt>
                <c:pt idx="148">
                  <c:v>6387</c:v>
                </c:pt>
                <c:pt idx="149">
                  <c:v>40857</c:v>
                </c:pt>
                <c:pt idx="150">
                  <c:v>3259</c:v>
                </c:pt>
                <c:pt idx="151">
                  <c:v>80030</c:v>
                </c:pt>
                <c:pt idx="152">
                  <c:v>1124</c:v>
                </c:pt>
                <c:pt idx="153">
                  <c:v>3974</c:v>
                </c:pt>
                <c:pt idx="154">
                  <c:v>0648</c:v>
                </c:pt>
                <c:pt idx="155">
                  <c:v>5836</c:v>
                </c:pt>
                <c:pt idx="156">
                  <c:v>0651</c:v>
                </c:pt>
                <c:pt idx="157">
                  <c:v>0488</c:v>
                </c:pt>
                <c:pt idx="158">
                  <c:v>3543</c:v>
                </c:pt>
                <c:pt idx="159">
                  <c:v>0674</c:v>
                </c:pt>
                <c:pt idx="160">
                  <c:v>1489</c:v>
                </c:pt>
                <c:pt idx="161">
                  <c:v>5823</c:v>
                </c:pt>
                <c:pt idx="162">
                  <c:v>3756</c:v>
                </c:pt>
                <c:pt idx="163">
                  <c:v>2029</c:v>
                </c:pt>
                <c:pt idx="164">
                  <c:v>4091</c:v>
                </c:pt>
                <c:pt idx="165">
                  <c:v>2130</c:v>
                </c:pt>
                <c:pt idx="166">
                  <c:v>4607</c:v>
                </c:pt>
                <c:pt idx="167">
                  <c:v>0041</c:v>
                </c:pt>
                <c:pt idx="168">
                  <c:v>2706</c:v>
                </c:pt>
                <c:pt idx="169">
                  <c:v>4708</c:v>
                </c:pt>
                <c:pt idx="170">
                  <c:v>4973</c:v>
                </c:pt>
                <c:pt idx="171">
                  <c:v>6266</c:v>
                </c:pt>
                <c:pt idx="172">
                  <c:v>5688</c:v>
                </c:pt>
                <c:pt idx="173">
                  <c:v>8419</c:v>
                </c:pt>
                <c:pt idx="174">
                  <c:v>3476</c:v>
                </c:pt>
                <c:pt idx="175">
                  <c:v>0357</c:v>
                </c:pt>
                <c:pt idx="176">
                  <c:v>3478</c:v>
                </c:pt>
                <c:pt idx="177">
                  <c:v>2679</c:v>
                </c:pt>
                <c:pt idx="179">
                  <c:v>5960</c:v>
                </c:pt>
                <c:pt idx="180">
                  <c:v>6352</c:v>
                </c:pt>
                <c:pt idx="181">
                  <c:v>8467</c:v>
                </c:pt>
                <c:pt idx="182">
                  <c:v>20465</c:v>
                </c:pt>
                <c:pt idx="183">
                  <c:v>4722</c:v>
                </c:pt>
                <c:pt idx="184">
                  <c:v>6988</c:v>
                </c:pt>
                <c:pt idx="185">
                  <c:v>7444</c:v>
                </c:pt>
                <c:pt idx="186">
                  <c:v>8246</c:v>
                </c:pt>
                <c:pt idx="187">
                  <c:v>7684</c:v>
                </c:pt>
                <c:pt idx="188">
                  <c:v>4240</c:v>
                </c:pt>
                <c:pt idx="189">
                  <c:v>6120</c:v>
                </c:pt>
                <c:pt idx="190">
                  <c:v>1473</c:v>
                </c:pt>
                <c:pt idx="191">
                  <c:v>9278</c:v>
                </c:pt>
                <c:pt idx="192">
                  <c:v>4829</c:v>
                </c:pt>
                <c:pt idx="193">
                  <c:v>1731</c:v>
                </c:pt>
                <c:pt idx="194">
                  <c:v>50952</c:v>
                </c:pt>
                <c:pt idx="195">
                  <c:v>6156</c:v>
                </c:pt>
                <c:pt idx="196">
                  <c:v>2360</c:v>
                </c:pt>
                <c:pt idx="197">
                  <c:v>1861</c:v>
                </c:pt>
                <c:pt idx="198">
                  <c:v>4413</c:v>
                </c:pt>
                <c:pt idx="199">
                  <c:v>13833</c:v>
                </c:pt>
                <c:pt idx="200">
                  <c:v>5846</c:v>
                </c:pt>
                <c:pt idx="201">
                  <c:v>5558</c:v>
                </c:pt>
                <c:pt idx="202">
                  <c:v>8057</c:v>
                </c:pt>
                <c:pt idx="203">
                  <c:v>9962</c:v>
                </c:pt>
                <c:pt idx="204">
                  <c:v>5829</c:v>
                </c:pt>
                <c:pt idx="205">
                  <c:v>3855</c:v>
                </c:pt>
                <c:pt idx="206">
                  <c:v>4824</c:v>
                </c:pt>
                <c:pt idx="207">
                  <c:v>3749</c:v>
                </c:pt>
                <c:pt idx="208">
                  <c:v>1761</c:v>
                </c:pt>
                <c:pt idx="209">
                  <c:v>3323, 0101,0218,0229, 1135.3535.0957</c:v>
                </c:pt>
                <c:pt idx="210">
                  <c:v>7378, 9068,
,0086,,0183</c:v>
                </c:pt>
                <c:pt idx="211">
                  <c:v>7206, 7210</c:v>
                </c:pt>
                <c:pt idx="212">
                  <c:v>9735</c:v>
                </c:pt>
                <c:pt idx="213">
                  <c:v>6957</c:v>
                </c:pt>
                <c:pt idx="214">
                  <c:v>1984</c:v>
                </c:pt>
                <c:pt idx="215">
                  <c:v>9221</c:v>
                </c:pt>
                <c:pt idx="216">
                  <c:v>1736</c:v>
                </c:pt>
                <c:pt idx="217">
                  <c:v>3750</c:v>
                </c:pt>
              </c:strCache>
            </c:strRef>
          </c:tx>
          <c:invertIfNegative val="0"/>
          <c:val>
            <c:numRef>
              <c:f>Data!$J$202:$J$220</c:f>
            </c:numRef>
          </c:val>
          <c:extLst>
            <c:ext xmlns:c16="http://schemas.microsoft.com/office/drawing/2014/chart" uri="{C3380CC4-5D6E-409C-BE32-E72D297353CC}">
              <c16:uniqueId val="{00000008-B723-4F71-93E9-73CD9A6CCCC5}"/>
            </c:ext>
          </c:extLst>
        </c:ser>
        <c:ser>
          <c:idx val="9"/>
          <c:order val="9"/>
          <c:tx>
            <c:strRef>
              <c:f>Data!$K$3:$K$220</c:f>
              <c:strCache>
                <c:ptCount val="218"/>
                <c:pt idx="0">
                  <c:v>Loại công tơ</c:v>
                </c:pt>
                <c:pt idx="1">
                  <c:v>(11)</c:v>
                </c:pt>
                <c:pt idx="2">
                  <c:v>1 pha</c:v>
                </c:pt>
                <c:pt idx="3">
                  <c:v>1 pha</c:v>
                </c:pt>
                <c:pt idx="4">
                  <c:v>1 pha</c:v>
                </c:pt>
                <c:pt idx="5">
                  <c:v>3 pha</c:v>
                </c:pt>
                <c:pt idx="6">
                  <c:v>3 pha</c:v>
                </c:pt>
                <c:pt idx="7">
                  <c:v>3 pha</c:v>
                </c:pt>
                <c:pt idx="8">
                  <c:v>3 pha</c:v>
                </c:pt>
                <c:pt idx="9">
                  <c:v>1 pha</c:v>
                </c:pt>
                <c:pt idx="10">
                  <c:v>1 pha</c:v>
                </c:pt>
                <c:pt idx="11">
                  <c:v>3 pha</c:v>
                </c:pt>
                <c:pt idx="12">
                  <c:v>3 pha</c:v>
                </c:pt>
                <c:pt idx="13">
                  <c:v>1 pha</c:v>
                </c:pt>
                <c:pt idx="14">
                  <c:v>3 pha</c:v>
                </c:pt>
                <c:pt idx="15">
                  <c:v>1 pha</c:v>
                </c:pt>
                <c:pt idx="16">
                  <c:v>3 pha</c:v>
                </c:pt>
                <c:pt idx="17">
                  <c:v>3 pha</c:v>
                </c:pt>
                <c:pt idx="18">
                  <c:v>1 pha</c:v>
                </c:pt>
                <c:pt idx="19">
                  <c:v>3 pha</c:v>
                </c:pt>
                <c:pt idx="20">
                  <c:v>3 pha</c:v>
                </c:pt>
                <c:pt idx="21">
                  <c:v>3 pha</c:v>
                </c:pt>
                <c:pt idx="22">
                  <c:v>3 pha</c:v>
                </c:pt>
                <c:pt idx="23">
                  <c:v>3 pha</c:v>
                </c:pt>
                <c:pt idx="24">
                  <c:v>3 pha</c:v>
                </c:pt>
                <c:pt idx="25">
                  <c:v>3 pha</c:v>
                </c:pt>
                <c:pt idx="26">
                  <c:v>3 pha</c:v>
                </c:pt>
                <c:pt idx="27">
                  <c:v>1 pha</c:v>
                </c:pt>
                <c:pt idx="28">
                  <c:v>3 pha</c:v>
                </c:pt>
                <c:pt idx="29">
                  <c:v>1 pha</c:v>
                </c:pt>
                <c:pt idx="30">
                  <c:v>3 pha</c:v>
                </c:pt>
                <c:pt idx="31">
                  <c:v>1 pha</c:v>
                </c:pt>
                <c:pt idx="32">
                  <c:v>3 pha</c:v>
                </c:pt>
                <c:pt idx="33">
                  <c:v>3 pha</c:v>
                </c:pt>
                <c:pt idx="34">
                  <c:v>3 pha</c:v>
                </c:pt>
                <c:pt idx="35">
                  <c:v>1 pha</c:v>
                </c:pt>
                <c:pt idx="36">
                  <c:v>3 pha</c:v>
                </c:pt>
                <c:pt idx="37">
                  <c:v>3 pha</c:v>
                </c:pt>
                <c:pt idx="38">
                  <c:v>3 pha</c:v>
                </c:pt>
                <c:pt idx="39">
                  <c:v>1 pha</c:v>
                </c:pt>
                <c:pt idx="40">
                  <c:v>1 pha</c:v>
                </c:pt>
                <c:pt idx="41">
                  <c:v>1 pha</c:v>
                </c:pt>
                <c:pt idx="42">
                  <c:v>1 pha</c:v>
                </c:pt>
                <c:pt idx="43">
                  <c:v>1 pha</c:v>
                </c:pt>
                <c:pt idx="44">
                  <c:v>1 pha</c:v>
                </c:pt>
                <c:pt idx="45">
                  <c:v>3 pha</c:v>
                </c:pt>
                <c:pt idx="46">
                  <c:v>3 pha</c:v>
                </c:pt>
                <c:pt idx="47">
                  <c:v>1 pha</c:v>
                </c:pt>
                <c:pt idx="48">
                  <c:v>3 pha</c:v>
                </c:pt>
                <c:pt idx="49">
                  <c:v>3 pha</c:v>
                </c:pt>
                <c:pt idx="50">
                  <c:v>3 pha</c:v>
                </c:pt>
                <c:pt idx="51">
                  <c:v>3 pha</c:v>
                </c:pt>
                <c:pt idx="52">
                  <c:v>3 pha</c:v>
                </c:pt>
                <c:pt idx="53">
                  <c:v>3 pha</c:v>
                </c:pt>
                <c:pt idx="54">
                  <c:v>3 pha</c:v>
                </c:pt>
                <c:pt idx="55">
                  <c:v>1 pha</c:v>
                </c:pt>
                <c:pt idx="56">
                  <c:v>1 pha</c:v>
                </c:pt>
                <c:pt idx="57">
                  <c:v>3 pha</c:v>
                </c:pt>
                <c:pt idx="58">
                  <c:v>3 pha</c:v>
                </c:pt>
                <c:pt idx="59">
                  <c:v>3 pha</c:v>
                </c:pt>
                <c:pt idx="60">
                  <c:v>1 pha</c:v>
                </c:pt>
                <c:pt idx="61">
                  <c:v>3 pha</c:v>
                </c:pt>
                <c:pt idx="63">
                  <c:v>3 pha</c:v>
                </c:pt>
                <c:pt idx="64">
                  <c:v>3 pha</c:v>
                </c:pt>
                <c:pt idx="65">
                  <c:v>3 pha</c:v>
                </c:pt>
                <c:pt idx="66">
                  <c:v>3 pha</c:v>
                </c:pt>
                <c:pt idx="67">
                  <c:v>3 pha</c:v>
                </c:pt>
                <c:pt idx="68">
                  <c:v>3 pha</c:v>
                </c:pt>
                <c:pt idx="69">
                  <c:v>3 pha</c:v>
                </c:pt>
                <c:pt idx="70">
                  <c:v>3 pha</c:v>
                </c:pt>
                <c:pt idx="71">
                  <c:v>3 pha</c:v>
                </c:pt>
                <c:pt idx="72">
                  <c:v>3 pha</c:v>
                </c:pt>
                <c:pt idx="73">
                  <c:v>1 pha</c:v>
                </c:pt>
                <c:pt idx="74">
                  <c:v>3 pha</c:v>
                </c:pt>
                <c:pt idx="75">
                  <c:v>3 pha</c:v>
                </c:pt>
                <c:pt idx="76">
                  <c:v>1 pha</c:v>
                </c:pt>
                <c:pt idx="77">
                  <c:v>3 pha</c:v>
                </c:pt>
                <c:pt idx="78">
                  <c:v>3 pha</c:v>
                </c:pt>
                <c:pt idx="79">
                  <c:v>1 pha</c:v>
                </c:pt>
                <c:pt idx="80">
                  <c:v>1 pha</c:v>
                </c:pt>
                <c:pt idx="81">
                  <c:v>1 pha</c:v>
                </c:pt>
                <c:pt idx="82">
                  <c:v>1 pha</c:v>
                </c:pt>
                <c:pt idx="83">
                  <c:v>3 pha</c:v>
                </c:pt>
                <c:pt idx="84">
                  <c:v>3 pha</c:v>
                </c:pt>
                <c:pt idx="85">
                  <c:v>1 pha</c:v>
                </c:pt>
                <c:pt idx="86">
                  <c:v>1 pha</c:v>
                </c:pt>
                <c:pt idx="87">
                  <c:v>1 pha</c:v>
                </c:pt>
                <c:pt idx="88">
                  <c:v>3 pha</c:v>
                </c:pt>
                <c:pt idx="89">
                  <c:v>1 pha</c:v>
                </c:pt>
                <c:pt idx="90">
                  <c:v>3 pha</c:v>
                </c:pt>
                <c:pt idx="91">
                  <c:v>3 pha</c:v>
                </c:pt>
                <c:pt idx="92">
                  <c:v>3 pha</c:v>
                </c:pt>
                <c:pt idx="93">
                  <c:v>3 pha</c:v>
                </c:pt>
                <c:pt idx="94">
                  <c:v>3 pha</c:v>
                </c:pt>
                <c:pt idx="95">
                  <c:v>3 pha</c:v>
                </c:pt>
                <c:pt idx="96">
                  <c:v>3 pha</c:v>
                </c:pt>
                <c:pt idx="98">
                  <c:v>1 pha</c:v>
                </c:pt>
                <c:pt idx="99">
                  <c:v>3 pha </c:v>
                </c:pt>
                <c:pt idx="100">
                  <c:v>3 pha</c:v>
                </c:pt>
                <c:pt idx="101">
                  <c:v>3 pha </c:v>
                </c:pt>
                <c:pt idx="102">
                  <c:v>3 pha </c:v>
                </c:pt>
                <c:pt idx="103">
                  <c:v>3 pha </c:v>
                </c:pt>
                <c:pt idx="104">
                  <c:v>3 pha </c:v>
                </c:pt>
                <c:pt idx="105">
                  <c:v>3 pha</c:v>
                </c:pt>
                <c:pt idx="106">
                  <c:v>3 pha</c:v>
                </c:pt>
                <c:pt idx="107">
                  <c:v>1 pha</c:v>
                </c:pt>
                <c:pt idx="108">
                  <c:v>3 pha</c:v>
                </c:pt>
                <c:pt idx="109">
                  <c:v>1 pha</c:v>
                </c:pt>
                <c:pt idx="110">
                  <c:v>1 pha</c:v>
                </c:pt>
                <c:pt idx="111">
                  <c:v>3 pha</c:v>
                </c:pt>
                <c:pt idx="112">
                  <c:v>3 pha</c:v>
                </c:pt>
                <c:pt idx="113">
                  <c:v>3 pha</c:v>
                </c:pt>
                <c:pt idx="114">
                  <c:v>3 pha</c:v>
                </c:pt>
                <c:pt idx="115">
                  <c:v>3 pha</c:v>
                </c:pt>
                <c:pt idx="116">
                  <c:v>3 pha</c:v>
                </c:pt>
                <c:pt idx="118">
                  <c:v>1 pha</c:v>
                </c:pt>
                <c:pt idx="119">
                  <c:v>3 pha</c:v>
                </c:pt>
                <c:pt idx="120">
                  <c:v>3 pha</c:v>
                </c:pt>
                <c:pt idx="121">
                  <c:v>3 pha</c:v>
                </c:pt>
                <c:pt idx="122">
                  <c:v>3 pha</c:v>
                </c:pt>
                <c:pt idx="123">
                  <c:v>1 pha</c:v>
                </c:pt>
                <c:pt idx="124">
                  <c:v>3 pha</c:v>
                </c:pt>
                <c:pt idx="125">
                  <c:v>3 pha</c:v>
                </c:pt>
                <c:pt idx="126">
                  <c:v>1 pha</c:v>
                </c:pt>
                <c:pt idx="127">
                  <c:v>3 pha</c:v>
                </c:pt>
                <c:pt idx="128">
                  <c:v>1 pha</c:v>
                </c:pt>
                <c:pt idx="129">
                  <c:v>1 pha</c:v>
                </c:pt>
                <c:pt idx="130">
                  <c:v>3 pha</c:v>
                </c:pt>
                <c:pt idx="131">
                  <c:v>3 pha</c:v>
                </c:pt>
                <c:pt idx="132">
                  <c:v>3 pha</c:v>
                </c:pt>
                <c:pt idx="133">
                  <c:v>3 pha</c:v>
                </c:pt>
                <c:pt idx="135">
                  <c:v>1 pha</c:v>
                </c:pt>
                <c:pt idx="136">
                  <c:v>1 pha</c:v>
                </c:pt>
                <c:pt idx="137">
                  <c:v>1 pha</c:v>
                </c:pt>
                <c:pt idx="138">
                  <c:v>1 pha</c:v>
                </c:pt>
                <c:pt idx="139">
                  <c:v>1 pha</c:v>
                </c:pt>
                <c:pt idx="140">
                  <c:v>1 pha</c:v>
                </c:pt>
                <c:pt idx="141">
                  <c:v>3 pha</c:v>
                </c:pt>
                <c:pt idx="142">
                  <c:v>3 pha</c:v>
                </c:pt>
                <c:pt idx="143">
                  <c:v>3 pha</c:v>
                </c:pt>
                <c:pt idx="144">
                  <c:v>3 pha</c:v>
                </c:pt>
                <c:pt idx="145">
                  <c:v>3 pha</c:v>
                </c:pt>
                <c:pt idx="146">
                  <c:v>1 pha</c:v>
                </c:pt>
                <c:pt idx="147">
                  <c:v>3 pha</c:v>
                </c:pt>
                <c:pt idx="148">
                  <c:v>3 pha</c:v>
                </c:pt>
                <c:pt idx="149">
                  <c:v>3 pha</c:v>
                </c:pt>
                <c:pt idx="150">
                  <c:v>3 pha</c:v>
                </c:pt>
                <c:pt idx="151">
                  <c:v>3 pha</c:v>
                </c:pt>
                <c:pt idx="152">
                  <c:v>3 pha</c:v>
                </c:pt>
                <c:pt idx="153">
                  <c:v>1 pha</c:v>
                </c:pt>
                <c:pt idx="154">
                  <c:v>3 pha</c:v>
                </c:pt>
                <c:pt idx="155">
                  <c:v>3 pha</c:v>
                </c:pt>
                <c:pt idx="156">
                  <c:v>3 pha</c:v>
                </c:pt>
                <c:pt idx="157">
                  <c:v>3 pha</c:v>
                </c:pt>
                <c:pt idx="158">
                  <c:v>3 pha</c:v>
                </c:pt>
                <c:pt idx="159">
                  <c:v>1 pha</c:v>
                </c:pt>
                <c:pt idx="160">
                  <c:v>1 pha</c:v>
                </c:pt>
                <c:pt idx="161">
                  <c:v>3 pha</c:v>
                </c:pt>
                <c:pt idx="162">
                  <c:v>3 pha</c:v>
                </c:pt>
                <c:pt idx="163">
                  <c:v>3 pha</c:v>
                </c:pt>
                <c:pt idx="164">
                  <c:v>3 pha</c:v>
                </c:pt>
                <c:pt idx="165">
                  <c:v>3 pha</c:v>
                </c:pt>
                <c:pt idx="166">
                  <c:v>3 pha</c:v>
                </c:pt>
                <c:pt idx="167">
                  <c:v>3 pha</c:v>
                </c:pt>
                <c:pt idx="168">
                  <c:v>1 pha</c:v>
                </c:pt>
                <c:pt idx="169">
                  <c:v>3 pha</c:v>
                </c:pt>
                <c:pt idx="170">
                  <c:v>3 pha</c:v>
                </c:pt>
                <c:pt idx="171">
                  <c:v>1 pha</c:v>
                </c:pt>
                <c:pt idx="172">
                  <c:v>1 pha</c:v>
                </c:pt>
                <c:pt idx="173">
                  <c:v>1 pha</c:v>
                </c:pt>
                <c:pt idx="174">
                  <c:v>1 pha</c:v>
                </c:pt>
                <c:pt idx="175">
                  <c:v>1 pha</c:v>
                </c:pt>
                <c:pt idx="176">
                  <c:v>1 pha</c:v>
                </c:pt>
                <c:pt idx="177">
                  <c:v>1 pha</c:v>
                </c:pt>
                <c:pt idx="178">
                  <c:v>1 pha</c:v>
                </c:pt>
                <c:pt idx="179">
                  <c:v>3 pha</c:v>
                </c:pt>
                <c:pt idx="180">
                  <c:v>3 pha</c:v>
                </c:pt>
                <c:pt idx="182">
                  <c:v>3 pha</c:v>
                </c:pt>
                <c:pt idx="185">
                  <c:v>3 pha</c:v>
                </c:pt>
                <c:pt idx="190">
                  <c:v>3 pha</c:v>
                </c:pt>
                <c:pt idx="191">
                  <c:v>1 pha</c:v>
                </c:pt>
                <c:pt idx="192">
                  <c:v>1 pha</c:v>
                </c:pt>
                <c:pt idx="193">
                  <c:v>1 pha</c:v>
                </c:pt>
                <c:pt idx="194">
                  <c:v>1 pha</c:v>
                </c:pt>
                <c:pt idx="195">
                  <c:v>1 pha</c:v>
                </c:pt>
                <c:pt idx="196">
                  <c:v>1 pha</c:v>
                </c:pt>
                <c:pt idx="197">
                  <c:v>1 pha</c:v>
                </c:pt>
                <c:pt idx="198">
                  <c:v>1 pha</c:v>
                </c:pt>
                <c:pt idx="199">
                  <c:v>1 pha</c:v>
                </c:pt>
                <c:pt idx="201">
                  <c:v>1 pha</c:v>
                </c:pt>
                <c:pt idx="202">
                  <c:v>1 pha</c:v>
                </c:pt>
                <c:pt idx="203">
                  <c:v>1 pha</c:v>
                </c:pt>
                <c:pt idx="207">
                  <c:v>1 pha</c:v>
                </c:pt>
                <c:pt idx="208">
                  <c:v>1 pha</c:v>
                </c:pt>
                <c:pt idx="209">
                  <c:v>1 pha</c:v>
                </c:pt>
                <c:pt idx="210">
                  <c:v>1 pha</c:v>
                </c:pt>
                <c:pt idx="211">
                  <c:v>1 pha</c:v>
                </c:pt>
                <c:pt idx="212">
                  <c:v>1 pha</c:v>
                </c:pt>
                <c:pt idx="213">
                  <c:v>1 pha</c:v>
                </c:pt>
                <c:pt idx="214">
                  <c:v>1 pha</c:v>
                </c:pt>
                <c:pt idx="215">
                  <c:v>1 pha</c:v>
                </c:pt>
                <c:pt idx="216">
                  <c:v>1 pha</c:v>
                </c:pt>
                <c:pt idx="217">
                  <c:v>1 pha</c:v>
                </c:pt>
              </c:strCache>
            </c:strRef>
          </c:tx>
          <c:invertIfNegative val="0"/>
          <c:val>
            <c:numRef>
              <c:f>Data!$K$202:$K$220</c:f>
              <c:numCache>
                <c:formatCode>@</c:formatCode>
                <c:ptCount val="12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23-4F71-93E9-73CD9A6CCCC5}"/>
            </c:ext>
          </c:extLst>
        </c:ser>
        <c:ser>
          <c:idx val="10"/>
          <c:order val="10"/>
          <c:tx>
            <c:strRef>
              <c:f>Data!$L$3:$L$220</c:f>
              <c:strCache>
                <c:ptCount val="218"/>
                <c:pt idx="0">
                  <c:v>Vị trí 
đặt công tơ</c:v>
                </c:pt>
                <c:pt idx="1">
                  <c:v>(12)</c:v>
                </c:pt>
                <c:pt idx="2">
                  <c:v>KĐ B- SVĐ</c:v>
                </c:pt>
                <c:pt idx="3">
                  <c:v>KĐ B- SVĐ</c:v>
                </c:pt>
                <c:pt idx="4">
                  <c:v>Nhà B</c:v>
                </c:pt>
                <c:pt idx="5">
                  <c:v>KĐ B- SVĐ</c:v>
                </c:pt>
                <c:pt idx="6">
                  <c:v>KĐ B- SVĐ</c:v>
                </c:pt>
                <c:pt idx="7">
                  <c:v>KĐ B- SVĐ</c:v>
                </c:pt>
                <c:pt idx="8">
                  <c:v>Tủ tổng T1</c:v>
                </c:pt>
                <c:pt idx="9">
                  <c:v>Tầng 1 TTPV</c:v>
                </c:pt>
                <c:pt idx="10">
                  <c:v>KTĐ T1</c:v>
                </c:pt>
                <c:pt idx="11">
                  <c:v>KTĐ T1</c:v>
                </c:pt>
                <c:pt idx="12">
                  <c:v>Tầng 1 TTPV</c:v>
                </c:pt>
                <c:pt idx="13">
                  <c:v>Tầng 3 TTPV</c:v>
                </c:pt>
                <c:pt idx="14">
                  <c:v>Tầng 1 TTPV</c:v>
                </c:pt>
                <c:pt idx="15">
                  <c:v>Tầng 1</c:v>
                </c:pt>
                <c:pt idx="16">
                  <c:v>Tầng 3</c:v>
                </c:pt>
                <c:pt idx="17">
                  <c:v>10A TQB</c:v>
                </c:pt>
                <c:pt idx="18">
                  <c:v>Số 5 TQB</c:v>
                </c:pt>
                <c:pt idx="19">
                  <c:v>Cửa ngoài VP</c:v>
                </c:pt>
                <c:pt idx="20">
                  <c:v>KTĐ T11</c:v>
                </c:pt>
                <c:pt idx="21">
                  <c:v>KTĐ T1</c:v>
                </c:pt>
                <c:pt idx="22">
                  <c:v>KTĐ T1</c:v>
                </c:pt>
                <c:pt idx="23">
                  <c:v>KTĐ T1</c:v>
                </c:pt>
                <c:pt idx="24">
                  <c:v>Tầng 1 D2A</c:v>
                </c:pt>
                <c:pt idx="25">
                  <c:v>Tủ tổng</c:v>
                </c:pt>
                <c:pt idx="26">
                  <c:v>Tầng 1 D2D</c:v>
                </c:pt>
                <c:pt idx="27">
                  <c:v>T1 D6</c:v>
                </c:pt>
                <c:pt idx="28">
                  <c:v>Tủ ĐN1</c:v>
                </c:pt>
                <c:pt idx="29">
                  <c:v>Tủ ĐN1</c:v>
                </c:pt>
                <c:pt idx="30">
                  <c:v>Tầng 3</c:v>
                </c:pt>
                <c:pt idx="31">
                  <c:v>Tủ ĐN2</c:v>
                </c:pt>
                <c:pt idx="32">
                  <c:v>Tủ ĐN2</c:v>
                </c:pt>
                <c:pt idx="33">
                  <c:v>Tủ ĐN2</c:v>
                </c:pt>
                <c:pt idx="34">
                  <c:v>Tủ ĐN2</c:v>
                </c:pt>
                <c:pt idx="35">
                  <c:v>T1 TC</c:v>
                </c:pt>
                <c:pt idx="36">
                  <c:v>T2 TC</c:v>
                </c:pt>
                <c:pt idx="37">
                  <c:v>T1 cầu thang</c:v>
                </c:pt>
                <c:pt idx="38">
                  <c:v>T1 cầu thang</c:v>
                </c:pt>
                <c:pt idx="39">
                  <c:v>Tường ngoài</c:v>
                </c:pt>
                <c:pt idx="40">
                  <c:v>T1  D3</c:v>
                </c:pt>
                <c:pt idx="41">
                  <c:v>T1 D3</c:v>
                </c:pt>
                <c:pt idx="42">
                  <c:v>T1 D5</c:v>
                </c:pt>
                <c:pt idx="43">
                  <c:v>T1 D9</c:v>
                </c:pt>
                <c:pt idx="44">
                  <c:v>Tủ tổng KCN</c:v>
                </c:pt>
                <c:pt idx="45">
                  <c:v>TV 1C </c:v>
                </c:pt>
                <c:pt idx="46">
                  <c:v>TV 1C </c:v>
                </c:pt>
                <c:pt idx="47">
                  <c:v>TV 1D </c:v>
                </c:pt>
                <c:pt idx="48">
                  <c:v>TV 1D </c:v>
                </c:pt>
                <c:pt idx="49">
                  <c:v>TV 4C </c:v>
                </c:pt>
                <c:pt idx="50">
                  <c:v>TV 6C</c:v>
                </c:pt>
                <c:pt idx="51">
                  <c:v>D2D T1 </c:v>
                </c:pt>
                <c:pt idx="52">
                  <c:v>TV 6C</c:v>
                </c:pt>
                <c:pt idx="53">
                  <c:v>TV 9D</c:v>
                </c:pt>
                <c:pt idx="54">
                  <c:v>PKTD T1-B1</c:v>
                </c:pt>
                <c:pt idx="55">
                  <c:v>Quán tròn C9</c:v>
                </c:pt>
                <c:pt idx="56">
                  <c:v>Quán tròn C5</c:v>
                </c:pt>
                <c:pt idx="57">
                  <c:v>KTĐ T6</c:v>
                </c:pt>
                <c:pt idx="58">
                  <c:v>KTĐ T11</c:v>
                </c:pt>
                <c:pt idx="59">
                  <c:v>Nhà khách </c:v>
                </c:pt>
                <c:pt idx="60">
                  <c:v>Quán tròn C10B</c:v>
                </c:pt>
                <c:pt idx="61">
                  <c:v>KTĐ T1D</c:v>
                </c:pt>
                <c:pt idx="62">
                  <c:v>KTĐ B1</c:v>
                </c:pt>
                <c:pt idx="63">
                  <c:v> nhà C</c:v>
                </c:pt>
                <c:pt idx="64">
                  <c:v> nhà C</c:v>
                </c:pt>
                <c:pt idx="65">
                  <c:v>KTĐ D</c:v>
                </c:pt>
                <c:pt idx="66">
                  <c:v>KTĐ C</c:v>
                </c:pt>
                <c:pt idx="67">
                  <c:v>Tủ tổng TT</c:v>
                </c:pt>
                <c:pt idx="69">
                  <c:v>Trạm ĐCĐT</c:v>
                </c:pt>
                <c:pt idx="70">
                  <c:v>Trạm ĐCĐT</c:v>
                </c:pt>
                <c:pt idx="71">
                  <c:v>Trạm bơm</c:v>
                </c:pt>
                <c:pt idx="72">
                  <c:v>Trong phòng</c:v>
                </c:pt>
                <c:pt idx="73">
                  <c:v>TĐN2</c:v>
                </c:pt>
                <c:pt idx="74">
                  <c:v>104- nhà T</c:v>
                </c:pt>
                <c:pt idx="75">
                  <c:v>Ban phay bào</c:v>
                </c:pt>
                <c:pt idx="76">
                  <c:v>TĐN 3</c:v>
                </c:pt>
                <c:pt idx="77">
                  <c:v>Trong phòng</c:v>
                </c:pt>
                <c:pt idx="78">
                  <c:v>TĐN 3</c:v>
                </c:pt>
                <c:pt idx="79">
                  <c:v>TĐN 1</c:v>
                </c:pt>
                <c:pt idx="80">
                  <c:v>TĐN 2</c:v>
                </c:pt>
                <c:pt idx="81">
                  <c:v>TĐN2</c:v>
                </c:pt>
                <c:pt idx="82">
                  <c:v>TĐN2</c:v>
                </c:pt>
                <c:pt idx="83">
                  <c:v>Tủ tầng 2</c:v>
                </c:pt>
                <c:pt idx="84">
                  <c:v>Tủ tầng 2</c:v>
                </c:pt>
                <c:pt idx="85">
                  <c:v>Trong phòng</c:v>
                </c:pt>
                <c:pt idx="86">
                  <c:v>TDN 1</c:v>
                </c:pt>
                <c:pt idx="87">
                  <c:v>TĐN2</c:v>
                </c:pt>
                <c:pt idx="88">
                  <c:v>101A nhà T</c:v>
                </c:pt>
                <c:pt idx="89">
                  <c:v>TĐN2</c:v>
                </c:pt>
                <c:pt idx="90">
                  <c:v>ĐN2</c:v>
                </c:pt>
                <c:pt idx="91">
                  <c:v>KTĐ T11</c:v>
                </c:pt>
                <c:pt idx="92">
                  <c:v>Trạm THCK</c:v>
                </c:pt>
                <c:pt idx="93">
                  <c:v>Trạm bơm T</c:v>
                </c:pt>
                <c:pt idx="94">
                  <c:v>Trạm bơm T</c:v>
                </c:pt>
                <c:pt idx="95">
                  <c:v>Trạm điện</c:v>
                </c:pt>
                <c:pt idx="96">
                  <c:v>Trạm bơm T</c:v>
                </c:pt>
                <c:pt idx="98">
                  <c:v>TT y tế</c:v>
                </c:pt>
                <c:pt idx="99">
                  <c:v>D8 T8</c:v>
                </c:pt>
                <c:pt idx="100">
                  <c:v>D8 T8</c:v>
                </c:pt>
                <c:pt idx="101">
                  <c:v>D8 T9</c:v>
                </c:pt>
                <c:pt idx="102">
                  <c:v>D8 T9</c:v>
                </c:pt>
                <c:pt idx="103">
                  <c:v>D8 T10</c:v>
                </c:pt>
                <c:pt idx="104">
                  <c:v>D8 T10</c:v>
                </c:pt>
                <c:pt idx="105">
                  <c:v>T1</c:v>
                </c:pt>
                <c:pt idx="106">
                  <c:v>Tầng 1- B4</c:v>
                </c:pt>
                <c:pt idx="107">
                  <c:v>Tầng 1- B4</c:v>
                </c:pt>
                <c:pt idx="108">
                  <c:v>KTĐ T3</c:v>
                </c:pt>
                <c:pt idx="109">
                  <c:v>Tủ D6</c:v>
                </c:pt>
                <c:pt idx="110">
                  <c:v>Cửa hành lang</c:v>
                </c:pt>
                <c:pt idx="111">
                  <c:v>T4 C10</c:v>
                </c:pt>
                <c:pt idx="112">
                  <c:v>T1 C10</c:v>
                </c:pt>
                <c:pt idx="117">
                  <c:v>Tầng 1-B</c:v>
                </c:pt>
                <c:pt idx="118">
                  <c:v>TĐN3</c:v>
                </c:pt>
                <c:pt idx="119">
                  <c:v>Trong phòng 112</c:v>
                </c:pt>
                <c:pt idx="120">
                  <c:v>Trạm BK2</c:v>
                </c:pt>
                <c:pt idx="121">
                  <c:v>TVTQB</c:v>
                </c:pt>
                <c:pt idx="122">
                  <c:v>TVTQB</c:v>
                </c:pt>
                <c:pt idx="123">
                  <c:v>KTĐ</c:v>
                </c:pt>
                <c:pt idx="124">
                  <c:v>T6-D8</c:v>
                </c:pt>
                <c:pt idx="125">
                  <c:v>ĐCĐT</c:v>
                </c:pt>
                <c:pt idx="126">
                  <c:v>P228</c:v>
                </c:pt>
                <c:pt idx="127">
                  <c:v>Tủ tổng TT</c:v>
                </c:pt>
                <c:pt idx="128">
                  <c:v>Phòng KTĐ</c:v>
                </c:pt>
                <c:pt idx="129">
                  <c:v>Tầng 2</c:v>
                </c:pt>
                <c:pt idx="130">
                  <c:v>C6 T2</c:v>
                </c:pt>
                <c:pt idx="131">
                  <c:v>T2-C1B</c:v>
                </c:pt>
                <c:pt idx="132">
                  <c:v>T3-C1B</c:v>
                </c:pt>
                <c:pt idx="133">
                  <c:v>Tuủ trung gian B4</c:v>
                </c:pt>
                <c:pt idx="140">
                  <c:v> Phòng trực</c:v>
                </c:pt>
                <c:pt idx="141">
                  <c:v>Tủ ĐN2</c:v>
                </c:pt>
                <c:pt idx="142">
                  <c:v>Tủ cầu thang T2</c:v>
                </c:pt>
                <c:pt idx="143">
                  <c:v>Tủ ĐN2</c:v>
                </c:pt>
                <c:pt idx="144">
                  <c:v>Tủ ĐN 2</c:v>
                </c:pt>
                <c:pt idx="145">
                  <c:v>Tủ ĐN2</c:v>
                </c:pt>
                <c:pt idx="146">
                  <c:v>Tủ ĐN2</c:v>
                </c:pt>
                <c:pt idx="147">
                  <c:v>Cầu thang</c:v>
                </c:pt>
                <c:pt idx="148">
                  <c:v>Tủ tổng xưởng Hàn</c:v>
                </c:pt>
                <c:pt idx="149">
                  <c:v>Trạm B4BK</c:v>
                </c:pt>
                <c:pt idx="150">
                  <c:v>Trạm BK2</c:v>
                </c:pt>
                <c:pt idx="151">
                  <c:v>Trạm B1</c:v>
                </c:pt>
                <c:pt idx="152">
                  <c:v>Cầu thang T3 </c:v>
                </c:pt>
                <c:pt idx="153">
                  <c:v>T2 B4</c:v>
                </c:pt>
                <c:pt idx="154">
                  <c:v>T2 B4</c:v>
                </c:pt>
                <c:pt idx="155">
                  <c:v>Tủ ĐN2</c:v>
                </c:pt>
                <c:pt idx="156">
                  <c:v>Tủ ĐN1</c:v>
                </c:pt>
                <c:pt idx="157">
                  <c:v>Tủ ĐN1</c:v>
                </c:pt>
                <c:pt idx="158">
                  <c:v>Tầng 1</c:v>
                </c:pt>
                <c:pt idx="159">
                  <c:v>Tầng 1</c:v>
                </c:pt>
                <c:pt idx="160">
                  <c:v>T2 B4</c:v>
                </c:pt>
                <c:pt idx="161">
                  <c:v>Xưởng hàn</c:v>
                </c:pt>
                <c:pt idx="162">
                  <c:v>Tầng 1</c:v>
                </c:pt>
                <c:pt idx="163">
                  <c:v>Tầng 2</c:v>
                </c:pt>
                <c:pt idx="164">
                  <c:v>Tầng 2</c:v>
                </c:pt>
                <c:pt idx="165">
                  <c:v>Cầu thang TC</c:v>
                </c:pt>
                <c:pt idx="166">
                  <c:v>Sân để xe</c:v>
                </c:pt>
                <c:pt idx="167">
                  <c:v>Trạm BK2</c:v>
                </c:pt>
                <c:pt idx="168">
                  <c:v>C6</c:v>
                </c:pt>
                <c:pt idx="169">
                  <c:v>Tầng 1</c:v>
                </c:pt>
                <c:pt idx="170">
                  <c:v>Tầng 1</c:v>
                </c:pt>
                <c:pt idx="171">
                  <c:v>KĐ A- SVĐ</c:v>
                </c:pt>
                <c:pt idx="172">
                  <c:v>KĐ A- SVĐ</c:v>
                </c:pt>
                <c:pt idx="173">
                  <c:v>KĐ A- SVĐ</c:v>
                </c:pt>
                <c:pt idx="174">
                  <c:v>KĐ A- SVĐ</c:v>
                </c:pt>
                <c:pt idx="175">
                  <c:v>KĐ A- SVĐ</c:v>
                </c:pt>
                <c:pt idx="176">
                  <c:v>KĐ A- SVĐ</c:v>
                </c:pt>
                <c:pt idx="177">
                  <c:v>KĐ A- SVĐ</c:v>
                </c:pt>
                <c:pt idx="178">
                  <c:v>Trạm SVĐ</c:v>
                </c:pt>
                <c:pt idx="179">
                  <c:v>TBA SVĐ</c:v>
                </c:pt>
                <c:pt idx="180">
                  <c:v>TBA KTX</c:v>
                </c:pt>
                <c:pt idx="181">
                  <c:v>PKTĐNTĐ</c:v>
                </c:pt>
                <c:pt idx="182">
                  <c:v>Tủ tổng cạnh cửa</c:v>
                </c:pt>
                <c:pt idx="183">
                  <c:v>Buồng KTĐ</c:v>
                </c:pt>
                <c:pt idx="184">
                  <c:v>PKTĐNTĐ</c:v>
                </c:pt>
                <c:pt idx="185">
                  <c:v>T1 cầu thang</c:v>
                </c:pt>
                <c:pt idx="186">
                  <c:v>Buồng KTĐ</c:v>
                </c:pt>
                <c:pt idx="187">
                  <c:v>Tủ tổng sân</c:v>
                </c:pt>
                <c:pt idx="188">
                  <c:v>Tủ tổng sân</c:v>
                </c:pt>
                <c:pt idx="189">
                  <c:v>Buồng KTĐ</c:v>
                </c:pt>
                <c:pt idx="190">
                  <c:v>Buồng KTĐ</c:v>
                </c:pt>
                <c:pt idx="191">
                  <c:v>Tủ ĐN1</c:v>
                </c:pt>
                <c:pt idx="192">
                  <c:v>Tổng D3</c:v>
                </c:pt>
                <c:pt idx="193">
                  <c:v>Tủ ĐN2</c:v>
                </c:pt>
                <c:pt idx="194">
                  <c:v>Tổng D3</c:v>
                </c:pt>
                <c:pt idx="195">
                  <c:v>D3</c:v>
                </c:pt>
                <c:pt idx="196">
                  <c:v>B1 T10</c:v>
                </c:pt>
                <c:pt idx="197">
                  <c:v>D4 T1</c:v>
                </c:pt>
                <c:pt idx="198">
                  <c:v>TV T10</c:v>
                </c:pt>
                <c:pt idx="199">
                  <c:v>PKTĐ D4 T1</c:v>
                </c:pt>
                <c:pt idx="200">
                  <c:v>KTĐ M8</c:v>
                </c:pt>
                <c:pt idx="201">
                  <c:v>KTĐ E8</c:v>
                </c:pt>
                <c:pt idx="202">
                  <c:v>Trạm BK2</c:v>
                </c:pt>
                <c:pt idx="203">
                  <c:v>D6 T1</c:v>
                </c:pt>
                <c:pt idx="205">
                  <c:v>Tầng 10</c:v>
                </c:pt>
                <c:pt idx="207">
                  <c:v>Tầng 11</c:v>
                </c:pt>
                <c:pt idx="208">
                  <c:v>Trạm BK2</c:v>
                </c:pt>
                <c:pt idx="212">
                  <c:v>T1 số 10 TQB</c:v>
                </c:pt>
                <c:pt idx="215">
                  <c:v>T1 B10 </c:v>
                </c:pt>
                <c:pt idx="216">
                  <c:v>T1 B7</c:v>
                </c:pt>
                <c:pt idx="217">
                  <c:v>T1 B10 </c:v>
                </c:pt>
              </c:strCache>
            </c:strRef>
          </c:tx>
          <c:invertIfNegative val="0"/>
          <c:val>
            <c:numRef>
              <c:f>Data!$L$202:$L$220</c:f>
            </c:numRef>
          </c:val>
          <c:extLst>
            <c:ext xmlns:c16="http://schemas.microsoft.com/office/drawing/2014/chart" uri="{C3380CC4-5D6E-409C-BE32-E72D297353CC}">
              <c16:uniqueId val="{0000000A-B723-4F71-93E9-73CD9A6CCCC5}"/>
            </c:ext>
          </c:extLst>
        </c:ser>
        <c:ser>
          <c:idx val="11"/>
          <c:order val="11"/>
          <c:tx>
            <c:strRef>
              <c:f>Data!$M$3:$M$220</c:f>
              <c:strCache>
                <c:ptCount val="218"/>
                <c:pt idx="0">
                  <c:v>Trạm biến áp</c:v>
                </c:pt>
                <c:pt idx="1">
                  <c:v>(13)</c:v>
                </c:pt>
                <c:pt idx="2">
                  <c:v>VVL</c:v>
                </c:pt>
                <c:pt idx="3">
                  <c:v>VVL</c:v>
                </c:pt>
                <c:pt idx="4">
                  <c:v>VVL</c:v>
                </c:pt>
                <c:pt idx="5">
                  <c:v>VVL</c:v>
                </c:pt>
                <c:pt idx="6">
                  <c:v>VVL</c:v>
                </c:pt>
                <c:pt idx="7">
                  <c:v>VVL</c:v>
                </c:pt>
                <c:pt idx="8">
                  <c:v>B1</c:v>
                </c:pt>
                <c:pt idx="9">
                  <c:v>B1</c:v>
                </c:pt>
                <c:pt idx="10">
                  <c:v>B1</c:v>
                </c:pt>
                <c:pt idx="11">
                  <c:v>B1</c:v>
                </c:pt>
                <c:pt idx="12">
                  <c:v>B1</c:v>
                </c:pt>
                <c:pt idx="13">
                  <c:v>B1</c:v>
                </c:pt>
                <c:pt idx="14">
                  <c:v>B1</c:v>
                </c:pt>
                <c:pt idx="15">
                  <c:v>B1</c:v>
                </c:pt>
                <c:pt idx="16">
                  <c:v>B1</c:v>
                </c:pt>
                <c:pt idx="17">
                  <c:v>B1</c:v>
                </c:pt>
                <c:pt idx="18">
                  <c:v>KTX</c:v>
                </c:pt>
                <c:pt idx="19">
                  <c:v>B1</c:v>
                </c:pt>
                <c:pt idx="20">
                  <c:v>B1</c:v>
                </c:pt>
                <c:pt idx="21">
                  <c:v>B1</c:v>
                </c:pt>
                <c:pt idx="22">
                  <c:v>B1</c:v>
                </c:pt>
                <c:pt idx="23">
                  <c:v>ĐCĐT</c:v>
                </c:pt>
                <c:pt idx="24">
                  <c:v>TVĐT</c:v>
                </c:pt>
                <c:pt idx="25">
                  <c:v>BK3B</c:v>
                </c:pt>
                <c:pt idx="26">
                  <c:v>BK3B</c:v>
                </c:pt>
                <c:pt idx="27">
                  <c:v>TVĐT</c:v>
                </c:pt>
                <c:pt idx="28">
                  <c:v>B1</c:v>
                </c:pt>
                <c:pt idx="29">
                  <c:v>B1</c:v>
                </c:pt>
                <c:pt idx="30">
                  <c:v>THCK</c:v>
                </c:pt>
                <c:pt idx="31">
                  <c:v>B1</c:v>
                </c:pt>
                <c:pt idx="32">
                  <c:v>B1</c:v>
                </c:pt>
                <c:pt idx="33">
                  <c:v>B1</c:v>
                </c:pt>
                <c:pt idx="34">
                  <c:v>ĐCĐT</c:v>
                </c:pt>
                <c:pt idx="35">
                  <c:v>THCK</c:v>
                </c:pt>
                <c:pt idx="36">
                  <c:v>THCK</c:v>
                </c:pt>
                <c:pt idx="37">
                  <c:v>B1</c:v>
                </c:pt>
                <c:pt idx="38">
                  <c:v>B1</c:v>
                </c:pt>
                <c:pt idx="39">
                  <c:v>B1</c:v>
                </c:pt>
                <c:pt idx="40">
                  <c:v>ĐLK</c:v>
                </c:pt>
                <c:pt idx="41">
                  <c:v>ĐLK</c:v>
                </c:pt>
                <c:pt idx="42">
                  <c:v>ĐLK</c:v>
                </c:pt>
                <c:pt idx="43">
                  <c:v>ĐLK</c:v>
                </c:pt>
                <c:pt idx="44">
                  <c:v>ĐLK</c:v>
                </c:pt>
                <c:pt idx="45">
                  <c:v>TVĐT</c:v>
                </c:pt>
                <c:pt idx="46">
                  <c:v>TVĐT</c:v>
                </c:pt>
                <c:pt idx="47">
                  <c:v>TVĐT</c:v>
                </c:pt>
                <c:pt idx="48">
                  <c:v>TVĐT</c:v>
                </c:pt>
                <c:pt idx="49">
                  <c:v>TVĐT</c:v>
                </c:pt>
                <c:pt idx="50">
                  <c:v>TVĐT</c:v>
                </c:pt>
                <c:pt idx="51">
                  <c:v>TVĐT</c:v>
                </c:pt>
                <c:pt idx="52">
                  <c:v>TVĐT</c:v>
                </c:pt>
                <c:pt idx="53">
                  <c:v>TVĐT</c:v>
                </c:pt>
                <c:pt idx="54">
                  <c:v>B1</c:v>
                </c:pt>
                <c:pt idx="55">
                  <c:v>BK3B</c:v>
                </c:pt>
                <c:pt idx="56">
                  <c:v>BK2</c:v>
                </c:pt>
                <c:pt idx="57">
                  <c:v>D8</c:v>
                </c:pt>
                <c:pt idx="58">
                  <c:v>D8</c:v>
                </c:pt>
                <c:pt idx="59">
                  <c:v>THCK</c:v>
                </c:pt>
                <c:pt idx="60">
                  <c:v>BK2</c:v>
                </c:pt>
                <c:pt idx="62">
                  <c:v>B1</c:v>
                </c:pt>
                <c:pt idx="63">
                  <c:v>THCK</c:v>
                </c:pt>
                <c:pt idx="64">
                  <c:v>SVĐ</c:v>
                </c:pt>
                <c:pt idx="65">
                  <c:v>TVĐT</c:v>
                </c:pt>
                <c:pt idx="66">
                  <c:v>TVĐT</c:v>
                </c:pt>
                <c:pt idx="67">
                  <c:v>KTX</c:v>
                </c:pt>
                <c:pt idx="68">
                  <c:v>KTX</c:v>
                </c:pt>
                <c:pt idx="69">
                  <c:v>ĐCĐT</c:v>
                </c:pt>
                <c:pt idx="70">
                  <c:v>ĐCĐT</c:v>
                </c:pt>
                <c:pt idx="71">
                  <c:v>THCK</c:v>
                </c:pt>
                <c:pt idx="72">
                  <c:v>THCK</c:v>
                </c:pt>
                <c:pt idx="73">
                  <c:v>THCK</c:v>
                </c:pt>
                <c:pt idx="74">
                  <c:v>THCK</c:v>
                </c:pt>
                <c:pt idx="75">
                  <c:v>THCK</c:v>
                </c:pt>
                <c:pt idx="76">
                  <c:v>THCK</c:v>
                </c:pt>
                <c:pt idx="77">
                  <c:v>THCK</c:v>
                </c:pt>
                <c:pt idx="78">
                  <c:v>THCK</c:v>
                </c:pt>
                <c:pt idx="79">
                  <c:v>THCK</c:v>
                </c:pt>
                <c:pt idx="80">
                  <c:v>THCK</c:v>
                </c:pt>
                <c:pt idx="81">
                  <c:v>THCK</c:v>
                </c:pt>
                <c:pt idx="82">
                  <c:v>THCK</c:v>
                </c:pt>
                <c:pt idx="83">
                  <c:v>ĐLK</c:v>
                </c:pt>
                <c:pt idx="84">
                  <c:v>ĐLK</c:v>
                </c:pt>
                <c:pt idx="85">
                  <c:v>THCK</c:v>
                </c:pt>
                <c:pt idx="86">
                  <c:v>THCK</c:v>
                </c:pt>
                <c:pt idx="87">
                  <c:v>THCK</c:v>
                </c:pt>
                <c:pt idx="88">
                  <c:v>THCK</c:v>
                </c:pt>
                <c:pt idx="89">
                  <c:v>THCK</c:v>
                </c:pt>
                <c:pt idx="90">
                  <c:v>THCK</c:v>
                </c:pt>
                <c:pt idx="91">
                  <c:v>TVĐT</c:v>
                </c:pt>
                <c:pt idx="92">
                  <c:v>THCK</c:v>
                </c:pt>
                <c:pt idx="93">
                  <c:v>THCK</c:v>
                </c:pt>
                <c:pt idx="94">
                  <c:v>THCK</c:v>
                </c:pt>
                <c:pt idx="95">
                  <c:v>THCK</c:v>
                </c:pt>
                <c:pt idx="96">
                  <c:v>THCK</c:v>
                </c:pt>
                <c:pt idx="97">
                  <c:v>B1</c:v>
                </c:pt>
                <c:pt idx="98">
                  <c:v>KTX</c:v>
                </c:pt>
                <c:pt idx="99">
                  <c:v>D8</c:v>
                </c:pt>
                <c:pt idx="100">
                  <c:v>D8</c:v>
                </c:pt>
                <c:pt idx="101">
                  <c:v>D8</c:v>
                </c:pt>
                <c:pt idx="102">
                  <c:v>D8</c:v>
                </c:pt>
                <c:pt idx="103">
                  <c:v>D8</c:v>
                </c:pt>
                <c:pt idx="104">
                  <c:v>D8</c:v>
                </c:pt>
                <c:pt idx="106">
                  <c:v>KTX</c:v>
                </c:pt>
                <c:pt idx="107">
                  <c:v>KTX</c:v>
                </c:pt>
                <c:pt idx="108">
                  <c:v>B1</c:v>
                </c:pt>
                <c:pt idx="109">
                  <c:v>TVĐT</c:v>
                </c:pt>
                <c:pt idx="110">
                  <c:v>ĐCĐT</c:v>
                </c:pt>
                <c:pt idx="111">
                  <c:v>ĐCĐT</c:v>
                </c:pt>
                <c:pt idx="112">
                  <c:v>ĐCĐT</c:v>
                </c:pt>
                <c:pt idx="113">
                  <c:v>THCK</c:v>
                </c:pt>
                <c:pt idx="114">
                  <c:v>THCK</c:v>
                </c:pt>
                <c:pt idx="115">
                  <c:v>THCK</c:v>
                </c:pt>
                <c:pt idx="116">
                  <c:v>THCK</c:v>
                </c:pt>
                <c:pt idx="117">
                  <c:v>VVL</c:v>
                </c:pt>
                <c:pt idx="118">
                  <c:v>THCK</c:v>
                </c:pt>
                <c:pt idx="119">
                  <c:v>THCK</c:v>
                </c:pt>
                <c:pt idx="120">
                  <c:v>BK2</c:v>
                </c:pt>
                <c:pt idx="121">
                  <c:v>TVĐT</c:v>
                </c:pt>
                <c:pt idx="122">
                  <c:v>TVĐT</c:v>
                </c:pt>
                <c:pt idx="123">
                  <c:v>B1</c:v>
                </c:pt>
                <c:pt idx="124">
                  <c:v>D8</c:v>
                </c:pt>
                <c:pt idx="125">
                  <c:v>ĐCĐT</c:v>
                </c:pt>
                <c:pt idx="126">
                  <c:v>TVĐT</c:v>
                </c:pt>
                <c:pt idx="127">
                  <c:v>BK3B</c:v>
                </c:pt>
                <c:pt idx="128">
                  <c:v>TVĐT</c:v>
                </c:pt>
                <c:pt idx="129">
                  <c:v>TVĐT</c:v>
                </c:pt>
                <c:pt idx="130">
                  <c:v>BK2</c:v>
                </c:pt>
                <c:pt idx="131">
                  <c:v>BK2</c:v>
                </c:pt>
                <c:pt idx="132">
                  <c:v>BK2</c:v>
                </c:pt>
                <c:pt idx="133">
                  <c:v>KTX</c:v>
                </c:pt>
                <c:pt idx="134">
                  <c:v>TVĐT</c:v>
                </c:pt>
                <c:pt idx="135">
                  <c:v>KTX</c:v>
                </c:pt>
                <c:pt idx="136">
                  <c:v>B1</c:v>
                </c:pt>
                <c:pt idx="137">
                  <c:v>B1</c:v>
                </c:pt>
                <c:pt idx="138">
                  <c:v>THCK</c:v>
                </c:pt>
                <c:pt idx="139">
                  <c:v>THCK</c:v>
                </c:pt>
                <c:pt idx="140">
                  <c:v>B1</c:v>
                </c:pt>
                <c:pt idx="141">
                  <c:v>B1</c:v>
                </c:pt>
                <c:pt idx="142">
                  <c:v>B1</c:v>
                </c:pt>
                <c:pt idx="143">
                  <c:v>B1</c:v>
                </c:pt>
                <c:pt idx="144">
                  <c:v>B1</c:v>
                </c:pt>
                <c:pt idx="145">
                  <c:v>B1</c:v>
                </c:pt>
                <c:pt idx="146">
                  <c:v>B1</c:v>
                </c:pt>
                <c:pt idx="147">
                  <c:v>KTX</c:v>
                </c:pt>
                <c:pt idx="148">
                  <c:v>KTX</c:v>
                </c:pt>
                <c:pt idx="149">
                  <c:v>KTX</c:v>
                </c:pt>
                <c:pt idx="150">
                  <c:v>BK2</c:v>
                </c:pt>
                <c:pt idx="151">
                  <c:v>B1</c:v>
                </c:pt>
                <c:pt idx="152">
                  <c:v>KTX</c:v>
                </c:pt>
                <c:pt idx="153">
                  <c:v>KTX</c:v>
                </c:pt>
                <c:pt idx="154">
                  <c:v>KTX</c:v>
                </c:pt>
                <c:pt idx="155">
                  <c:v>B1</c:v>
                </c:pt>
                <c:pt idx="156">
                  <c:v>B1</c:v>
                </c:pt>
                <c:pt idx="157">
                  <c:v>B1</c:v>
                </c:pt>
                <c:pt idx="158">
                  <c:v>THCK</c:v>
                </c:pt>
                <c:pt idx="159">
                  <c:v>THCK</c:v>
                </c:pt>
                <c:pt idx="160">
                  <c:v>KTX</c:v>
                </c:pt>
                <c:pt idx="161">
                  <c:v>KTX</c:v>
                </c:pt>
                <c:pt idx="162">
                  <c:v>VVL</c:v>
                </c:pt>
                <c:pt idx="163">
                  <c:v>VVL</c:v>
                </c:pt>
                <c:pt idx="164">
                  <c:v>VVL</c:v>
                </c:pt>
                <c:pt idx="165">
                  <c:v>THCK</c:v>
                </c:pt>
                <c:pt idx="166">
                  <c:v>THCK</c:v>
                </c:pt>
                <c:pt idx="167">
                  <c:v>BK2</c:v>
                </c:pt>
                <c:pt idx="168">
                  <c:v>ĐCĐT</c:v>
                </c:pt>
                <c:pt idx="169">
                  <c:v>BK2</c:v>
                </c:pt>
                <c:pt idx="170">
                  <c:v>BK2</c:v>
                </c:pt>
                <c:pt idx="171">
                  <c:v>SVĐ</c:v>
                </c:pt>
                <c:pt idx="172">
                  <c:v>SVĐ</c:v>
                </c:pt>
                <c:pt idx="173">
                  <c:v>SVĐ</c:v>
                </c:pt>
                <c:pt idx="174">
                  <c:v>SVĐ</c:v>
                </c:pt>
                <c:pt idx="175">
                  <c:v>SVĐ</c:v>
                </c:pt>
                <c:pt idx="176">
                  <c:v>SVĐ</c:v>
                </c:pt>
                <c:pt idx="177">
                  <c:v>SVĐ</c:v>
                </c:pt>
                <c:pt idx="178">
                  <c:v>SVĐ</c:v>
                </c:pt>
                <c:pt idx="179">
                  <c:v>SVĐ</c:v>
                </c:pt>
                <c:pt idx="180">
                  <c:v>KTX</c:v>
                </c:pt>
                <c:pt idx="181">
                  <c:v>SVĐ</c:v>
                </c:pt>
                <c:pt idx="182">
                  <c:v>SVĐ</c:v>
                </c:pt>
                <c:pt idx="183">
                  <c:v>SVĐ</c:v>
                </c:pt>
                <c:pt idx="184">
                  <c:v>SVĐ</c:v>
                </c:pt>
                <c:pt idx="185">
                  <c:v>B1</c:v>
                </c:pt>
                <c:pt idx="186">
                  <c:v>SVĐ</c:v>
                </c:pt>
                <c:pt idx="187">
                  <c:v>THCK</c:v>
                </c:pt>
                <c:pt idx="188">
                  <c:v>THCK</c:v>
                </c:pt>
                <c:pt idx="189">
                  <c:v>SVĐ</c:v>
                </c:pt>
                <c:pt idx="190">
                  <c:v>SVĐ</c:v>
                </c:pt>
                <c:pt idx="191">
                  <c:v>B1</c:v>
                </c:pt>
                <c:pt idx="192">
                  <c:v>ĐLK</c:v>
                </c:pt>
                <c:pt idx="193">
                  <c:v>B1</c:v>
                </c:pt>
                <c:pt idx="194">
                  <c:v>ĐLK</c:v>
                </c:pt>
                <c:pt idx="195">
                  <c:v>ĐLK</c:v>
                </c:pt>
                <c:pt idx="196">
                  <c:v>B1</c:v>
                </c:pt>
                <c:pt idx="197">
                  <c:v>TVĐT</c:v>
                </c:pt>
                <c:pt idx="198">
                  <c:v>TVĐT</c:v>
                </c:pt>
                <c:pt idx="199">
                  <c:v>TVĐT</c:v>
                </c:pt>
                <c:pt idx="200">
                  <c:v>C7</c:v>
                </c:pt>
                <c:pt idx="201">
                  <c:v>C7</c:v>
                </c:pt>
                <c:pt idx="202">
                  <c:v>BK2</c:v>
                </c:pt>
                <c:pt idx="203">
                  <c:v>TVĐT</c:v>
                </c:pt>
                <c:pt idx="204">
                  <c:v>KTX</c:v>
                </c:pt>
                <c:pt idx="205">
                  <c:v>B1</c:v>
                </c:pt>
                <c:pt idx="206">
                  <c:v>TVĐT</c:v>
                </c:pt>
                <c:pt idx="207">
                  <c:v>BK2</c:v>
                </c:pt>
                <c:pt idx="208">
                  <c:v>ĐLK</c:v>
                </c:pt>
                <c:pt idx="209">
                  <c:v>D8</c:v>
                </c:pt>
                <c:pt idx="210">
                  <c:v>ĐLK</c:v>
                </c:pt>
                <c:pt idx="211">
                  <c:v>TVĐT</c:v>
                </c:pt>
                <c:pt idx="212">
                  <c:v>C7</c:v>
                </c:pt>
                <c:pt idx="213">
                  <c:v>TVĐT</c:v>
                </c:pt>
                <c:pt idx="214">
                  <c:v>TVĐT</c:v>
                </c:pt>
                <c:pt idx="215">
                  <c:v>KTX</c:v>
                </c:pt>
                <c:pt idx="216">
                  <c:v>KTX</c:v>
                </c:pt>
                <c:pt idx="217">
                  <c:v>KTX</c:v>
                </c:pt>
              </c:strCache>
            </c:strRef>
          </c:tx>
          <c:invertIfNegative val="0"/>
          <c:val>
            <c:numRef>
              <c:f>Data!$M$202:$M$220</c:f>
            </c:numRef>
          </c:val>
          <c:extLst>
            <c:ext xmlns:c16="http://schemas.microsoft.com/office/drawing/2014/chart" uri="{C3380CC4-5D6E-409C-BE32-E72D297353CC}">
              <c16:uniqueId val="{0000000B-B723-4F71-93E9-73CD9A6CCCC5}"/>
            </c:ext>
          </c:extLst>
        </c:ser>
        <c:ser>
          <c:idx val="12"/>
          <c:order val="12"/>
          <c:tx>
            <c:strRef>
              <c:f>Data!$N$3:$N$220</c:f>
              <c:strCache>
                <c:ptCount val="218"/>
                <c:pt idx="0">
                  <c:v>Trang</c:v>
                </c:pt>
                <c:pt idx="1">
                  <c:v>(14)</c:v>
                </c:pt>
                <c:pt idx="2">
                  <c:v>1 </c:v>
                </c:pt>
                <c:pt idx="3">
                  <c:v>1</c:v>
                </c:pt>
                <c:pt idx="4">
                  <c:v>2 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11 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 </c:v>
                </c:pt>
                <c:pt idx="25">
                  <c:v>13</c:v>
                </c:pt>
                <c:pt idx="26">
                  <c:v>14 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27 </c:v>
                </c:pt>
                <c:pt idx="54">
                  <c:v>28 </c:v>
                </c:pt>
                <c:pt idx="55">
                  <c:v>28</c:v>
                </c:pt>
                <c:pt idx="56">
                  <c:v>29</c:v>
                </c:pt>
                <c:pt idx="57">
                  <c:v>31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36 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38</c:v>
                </c:pt>
                <c:pt idx="69">
                  <c:v>39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45</c:v>
                </c:pt>
                <c:pt idx="96">
                  <c:v>43</c:v>
                </c:pt>
                <c:pt idx="97">
                  <c:v>47</c:v>
                </c:pt>
                <c:pt idx="98">
                  <c:v>51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47</c:v>
                </c:pt>
                <c:pt idx="105">
                  <c:v>47,1</c:v>
                </c:pt>
                <c:pt idx="106">
                  <c:v>47,2</c:v>
                </c:pt>
                <c:pt idx="107">
                  <c:v>47,2</c:v>
                </c:pt>
                <c:pt idx="108">
                  <c:v>47,2</c:v>
                </c:pt>
                <c:pt idx="109">
                  <c:v>47,3</c:v>
                </c:pt>
                <c:pt idx="110">
                  <c:v>47,3</c:v>
                </c:pt>
                <c:pt idx="111">
                  <c:v>47,3</c:v>
                </c:pt>
                <c:pt idx="112">
                  <c:v>47,3</c:v>
                </c:pt>
                <c:pt idx="113">
                  <c:v>47,4</c:v>
                </c:pt>
                <c:pt idx="114">
                  <c:v>47,4</c:v>
                </c:pt>
                <c:pt idx="115">
                  <c:v>47,4</c:v>
                </c:pt>
                <c:pt idx="116">
                  <c:v>47,4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63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48</c:v>
                </c:pt>
                <c:pt idx="130">
                  <c:v>50</c:v>
                </c:pt>
                <c:pt idx="131">
                  <c:v>64</c:v>
                </c:pt>
                <c:pt idx="132">
                  <c:v>64</c:v>
                </c:pt>
                <c:pt idx="133">
                  <c:v>50</c:v>
                </c:pt>
                <c:pt idx="134">
                  <c:v>52</c:v>
                </c:pt>
                <c:pt idx="135">
                  <c:v>53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</c:v>
                </c:pt>
                <c:pt idx="141">
                  <c:v>56</c:v>
                </c:pt>
                <c:pt idx="142">
                  <c:v>56</c:v>
                </c:pt>
                <c:pt idx="143">
                  <c:v>56</c:v>
                </c:pt>
                <c:pt idx="144">
                  <c:v>56</c:v>
                </c:pt>
                <c:pt idx="145">
                  <c:v>56</c:v>
                </c:pt>
                <c:pt idx="146">
                  <c:v>56</c:v>
                </c:pt>
                <c:pt idx="147">
                  <c:v>56</c:v>
                </c:pt>
                <c:pt idx="148">
                  <c:v>56</c:v>
                </c:pt>
                <c:pt idx="149">
                  <c:v>56</c:v>
                </c:pt>
                <c:pt idx="150">
                  <c:v>57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58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59</c:v>
                </c:pt>
                <c:pt idx="166">
                  <c:v>59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61</c:v>
                </c:pt>
                <c:pt idx="172">
                  <c:v>61</c:v>
                </c:pt>
                <c:pt idx="173">
                  <c:v>61</c:v>
                </c:pt>
                <c:pt idx="174">
                  <c:v>61</c:v>
                </c:pt>
                <c:pt idx="175">
                  <c:v>61</c:v>
                </c:pt>
                <c:pt idx="176">
                  <c:v>61</c:v>
                </c:pt>
                <c:pt idx="177">
                  <c:v>61</c:v>
                </c:pt>
                <c:pt idx="178">
                  <c:v>61</c:v>
                </c:pt>
                <c:pt idx="179">
                  <c:v>61</c:v>
                </c:pt>
                <c:pt idx="180">
                  <c:v>61</c:v>
                </c:pt>
                <c:pt idx="181">
                  <c:v>64</c:v>
                </c:pt>
                <c:pt idx="182">
                  <c:v>64</c:v>
                </c:pt>
                <c:pt idx="183">
                  <c:v>64</c:v>
                </c:pt>
                <c:pt idx="184">
                  <c:v>64</c:v>
                </c:pt>
                <c:pt idx="185">
                  <c:v>64</c:v>
                </c:pt>
                <c:pt idx="186">
                  <c:v>64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65</c:v>
                </c:pt>
                <c:pt idx="192">
                  <c:v>65</c:v>
                </c:pt>
                <c:pt idx="193">
                  <c:v>65</c:v>
                </c:pt>
                <c:pt idx="194">
                  <c:v>65</c:v>
                </c:pt>
                <c:pt idx="195">
                  <c:v>65</c:v>
                </c:pt>
                <c:pt idx="196">
                  <c:v>95 </c:v>
                </c:pt>
                <c:pt idx="197">
                  <c:v>95 </c:v>
                </c:pt>
                <c:pt idx="198">
                  <c:v>95</c:v>
                </c:pt>
                <c:pt idx="199">
                  <c:v>67</c:v>
                </c:pt>
                <c:pt idx="200">
                  <c:v>67</c:v>
                </c:pt>
                <c:pt idx="201">
                  <c:v>67</c:v>
                </c:pt>
                <c:pt idx="202">
                  <c:v>67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69</c:v>
                </c:pt>
                <c:pt idx="210">
                  <c:v>70</c:v>
                </c:pt>
                <c:pt idx="211">
                  <c:v>71</c:v>
                </c:pt>
                <c:pt idx="212">
                  <c:v>72</c:v>
                </c:pt>
                <c:pt idx="213">
                  <c:v>72 </c:v>
                </c:pt>
                <c:pt idx="214">
                  <c:v>72</c:v>
                </c:pt>
                <c:pt idx="215">
                  <c:v>KTX</c:v>
                </c:pt>
                <c:pt idx="216">
                  <c:v>KTX</c:v>
                </c:pt>
                <c:pt idx="217">
                  <c:v>KTX</c:v>
                </c:pt>
              </c:strCache>
            </c:strRef>
          </c:tx>
          <c:invertIfNegative val="0"/>
          <c:val>
            <c:numRef>
              <c:f>Data!$N$202:$N$220</c:f>
            </c:numRef>
          </c:val>
          <c:extLst>
            <c:ext xmlns:c16="http://schemas.microsoft.com/office/drawing/2014/chart" uri="{C3380CC4-5D6E-409C-BE32-E72D297353CC}">
              <c16:uniqueId val="{0000000C-B723-4F71-93E9-73CD9A6CCCC5}"/>
            </c:ext>
          </c:extLst>
        </c:ser>
        <c:ser>
          <c:idx val="13"/>
          <c:order val="13"/>
          <c:tx>
            <c:strRef>
              <c:f>Data!$O$3:$O$220</c:f>
              <c:strCache>
                <c:ptCount val="218"/>
                <c:pt idx="0">
                  <c:v>Chỉ số mới</c:v>
                </c:pt>
                <c:pt idx="1">
                  <c:v>-15</c:v>
                </c:pt>
                <c:pt idx="3">
                  <c:v>5.814</c:v>
                </c:pt>
                <c:pt idx="4">
                  <c:v>28.105</c:v>
                </c:pt>
                <c:pt idx="5">
                  <c:v>143.496</c:v>
                </c:pt>
                <c:pt idx="6">
                  <c:v>188.215</c:v>
                </c:pt>
                <c:pt idx="7">
                  <c:v>31.025</c:v>
                </c:pt>
                <c:pt idx="8">
                  <c:v>439.092</c:v>
                </c:pt>
                <c:pt idx="9">
                  <c:v>83.158</c:v>
                </c:pt>
                <c:pt idx="10">
                  <c:v>7.342</c:v>
                </c:pt>
                <c:pt idx="11">
                  <c:v>22.029</c:v>
                </c:pt>
                <c:pt idx="12">
                  <c:v>485.846</c:v>
                </c:pt>
                <c:pt idx="13">
                  <c:v>15.509</c:v>
                </c:pt>
                <c:pt idx="14">
                  <c:v>109.970</c:v>
                </c:pt>
                <c:pt idx="15">
                  <c:v>12.634</c:v>
                </c:pt>
                <c:pt idx="16">
                  <c:v>347.723</c:v>
                </c:pt>
                <c:pt idx="17">
                  <c:v>198.968</c:v>
                </c:pt>
                <c:pt idx="18">
                  <c:v>89.343</c:v>
                </c:pt>
                <c:pt idx="19">
                  <c:v>32.418</c:v>
                </c:pt>
                <c:pt idx="20">
                  <c:v>304.740</c:v>
                </c:pt>
                <c:pt idx="21">
                  <c:v>493.925</c:v>
                </c:pt>
                <c:pt idx="22">
                  <c:v>79.570</c:v>
                </c:pt>
                <c:pt idx="23">
                  <c:v>4.438</c:v>
                </c:pt>
                <c:pt idx="24">
                  <c:v>201.790</c:v>
                </c:pt>
                <c:pt idx="25">
                  <c:v>11.565</c:v>
                </c:pt>
                <c:pt idx="26">
                  <c:v>263.254</c:v>
                </c:pt>
                <c:pt idx="27">
                  <c:v>45.965</c:v>
                </c:pt>
                <c:pt idx="28">
                  <c:v>327.826</c:v>
                </c:pt>
                <c:pt idx="29">
                  <c:v>37.244</c:v>
                </c:pt>
                <c:pt idx="30">
                  <c:v>145.582</c:v>
                </c:pt>
                <c:pt idx="31">
                  <c:v>90.671</c:v>
                </c:pt>
                <c:pt idx="32">
                  <c:v>131.554</c:v>
                </c:pt>
                <c:pt idx="33">
                  <c:v>166.292</c:v>
                </c:pt>
                <c:pt idx="34">
                  <c:v>120.940</c:v>
                </c:pt>
                <c:pt idx="35">
                  <c:v>33.678</c:v>
                </c:pt>
                <c:pt idx="36">
                  <c:v>174.029</c:v>
                </c:pt>
                <c:pt idx="37">
                  <c:v>575.714</c:v>
                </c:pt>
                <c:pt idx="38">
                  <c:v>578.604</c:v>
                </c:pt>
                <c:pt idx="39">
                  <c:v>17.977</c:v>
                </c:pt>
                <c:pt idx="40">
                  <c:v>60.871</c:v>
                </c:pt>
                <c:pt idx="41">
                  <c:v>20.459</c:v>
                </c:pt>
                <c:pt idx="42">
                  <c:v>17.404</c:v>
                </c:pt>
                <c:pt idx="43">
                  <c:v>567</c:v>
                </c:pt>
                <c:pt idx="44">
                  <c:v>68.049</c:v>
                </c:pt>
                <c:pt idx="45">
                  <c:v>53.505</c:v>
                </c:pt>
                <c:pt idx="46">
                  <c:v>283.862</c:v>
                </c:pt>
                <c:pt idx="47">
                  <c:v>9.446</c:v>
                </c:pt>
                <c:pt idx="48">
                  <c:v>37.554</c:v>
                </c:pt>
                <c:pt idx="49">
                  <c:v>7.023</c:v>
                </c:pt>
                <c:pt idx="50">
                  <c:v>26.937</c:v>
                </c:pt>
                <c:pt idx="51">
                  <c:v>11.700</c:v>
                </c:pt>
                <c:pt idx="52">
                  <c:v>28.474</c:v>
                </c:pt>
                <c:pt idx="53">
                  <c:v>164.085</c:v>
                </c:pt>
                <c:pt idx="54">
                  <c:v>677.794</c:v>
                </c:pt>
                <c:pt idx="55">
                  <c:v>61.615</c:v>
                </c:pt>
                <c:pt idx="56">
                  <c:v>36.108</c:v>
                </c:pt>
                <c:pt idx="57">
                  <c:v>147.008</c:v>
                </c:pt>
                <c:pt idx="58">
                  <c:v>18.361</c:v>
                </c:pt>
                <c:pt idx="59">
                  <c:v>45.698</c:v>
                </c:pt>
                <c:pt idx="60">
                  <c:v>40.159</c:v>
                </c:pt>
                <c:pt idx="61">
                  <c:v>195.115</c:v>
                </c:pt>
                <c:pt idx="62">
                  <c:v>40.125</c:v>
                </c:pt>
                <c:pt idx="63">
                  <c:v>147.573</c:v>
                </c:pt>
                <c:pt idx="65">
                  <c:v>59.462</c:v>
                </c:pt>
                <c:pt idx="66">
                  <c:v>78.594</c:v>
                </c:pt>
                <c:pt idx="67">
                  <c:v>5.696</c:v>
                </c:pt>
                <c:pt idx="68">
                  <c:v>320.271</c:v>
                </c:pt>
                <c:pt idx="69">
                  <c:v>2.860</c:v>
                </c:pt>
                <c:pt idx="70">
                  <c:v>240</c:v>
                </c:pt>
                <c:pt idx="72">
                  <c:v>96.911</c:v>
                </c:pt>
                <c:pt idx="73">
                  <c:v>32.125</c:v>
                </c:pt>
                <c:pt idx="74">
                  <c:v>35.037</c:v>
                </c:pt>
                <c:pt idx="75">
                  <c:v>5.912</c:v>
                </c:pt>
                <c:pt idx="76">
                  <c:v>5.424</c:v>
                </c:pt>
                <c:pt idx="77">
                  <c:v>56.126</c:v>
                </c:pt>
                <c:pt idx="79">
                  <c:v>14.647</c:v>
                </c:pt>
                <c:pt idx="80">
                  <c:v>12.325</c:v>
                </c:pt>
                <c:pt idx="81">
                  <c:v>16.589</c:v>
                </c:pt>
                <c:pt idx="82">
                  <c:v>18.720</c:v>
                </c:pt>
                <c:pt idx="87">
                  <c:v>40.309</c:v>
                </c:pt>
                <c:pt idx="89">
                  <c:v>28.037</c:v>
                </c:pt>
                <c:pt idx="91">
                  <c:v>2.987</c:v>
                </c:pt>
                <c:pt idx="92">
                  <c:v>28.945</c:v>
                </c:pt>
                <c:pt idx="93">
                  <c:v>137.416</c:v>
                </c:pt>
                <c:pt idx="95">
                  <c:v>214</c:v>
                </c:pt>
                <c:pt idx="96">
                  <c:v>790</c:v>
                </c:pt>
                <c:pt idx="97">
                  <c:v>19.144</c:v>
                </c:pt>
                <c:pt idx="99">
                  <c:v>1.842</c:v>
                </c:pt>
                <c:pt idx="100">
                  <c:v>33</c:v>
                </c:pt>
                <c:pt idx="101">
                  <c:v>1.090</c:v>
                </c:pt>
                <c:pt idx="102">
                  <c:v>421</c:v>
                </c:pt>
                <c:pt idx="103">
                  <c:v>1.728</c:v>
                </c:pt>
                <c:pt idx="104">
                  <c:v>592</c:v>
                </c:pt>
                <c:pt idx="105">
                  <c:v>4.869</c:v>
                </c:pt>
                <c:pt idx="106">
                  <c:v>180.178</c:v>
                </c:pt>
                <c:pt idx="107">
                  <c:v>7.432</c:v>
                </c:pt>
                <c:pt idx="108">
                  <c:v>13.268</c:v>
                </c:pt>
                <c:pt idx="109">
                  <c:v>220.307</c:v>
                </c:pt>
                <c:pt idx="110">
                  <c:v>92.349</c:v>
                </c:pt>
                <c:pt idx="111">
                  <c:v>29.983</c:v>
                </c:pt>
                <c:pt idx="112">
                  <c:v>54.787</c:v>
                </c:pt>
                <c:pt idx="113">
                  <c:v>42.341</c:v>
                </c:pt>
                <c:pt idx="116">
                  <c:v>25.542</c:v>
                </c:pt>
                <c:pt idx="117">
                  <c:v>136.214</c:v>
                </c:pt>
                <c:pt idx="119">
                  <c:v>45.089</c:v>
                </c:pt>
                <c:pt idx="120">
                  <c:v>20.179</c:v>
                </c:pt>
                <c:pt idx="121">
                  <c:v>759.446</c:v>
                </c:pt>
                <c:pt idx="122">
                  <c:v>18.173</c:v>
                </c:pt>
                <c:pt idx="123">
                  <c:v>4.063</c:v>
                </c:pt>
                <c:pt idx="124">
                  <c:v>5.919</c:v>
                </c:pt>
                <c:pt idx="125">
                  <c:v>6.914</c:v>
                </c:pt>
                <c:pt idx="126">
                  <c:v>113.924</c:v>
                </c:pt>
                <c:pt idx="127">
                  <c:v>169.025</c:v>
                </c:pt>
                <c:pt idx="128">
                  <c:v>8.142</c:v>
                </c:pt>
                <c:pt idx="129">
                  <c:v>10.326</c:v>
                </c:pt>
                <c:pt idx="131">
                  <c:v>33.244</c:v>
                </c:pt>
                <c:pt idx="132">
                  <c:v>130.926</c:v>
                </c:pt>
                <c:pt idx="134">
                  <c:v>6.641</c:v>
                </c:pt>
                <c:pt idx="135">
                  <c:v>17.475</c:v>
                </c:pt>
                <c:pt idx="136">
                  <c:v>846</c:v>
                </c:pt>
                <c:pt idx="137">
                  <c:v>29.073</c:v>
                </c:pt>
                <c:pt idx="138">
                  <c:v>30.311</c:v>
                </c:pt>
                <c:pt idx="139">
                  <c:v>57.447</c:v>
                </c:pt>
                <c:pt idx="140">
                  <c:v>23.494</c:v>
                </c:pt>
                <c:pt idx="141">
                  <c:v>173.485</c:v>
                </c:pt>
                <c:pt idx="142">
                  <c:v>113.103</c:v>
                </c:pt>
                <c:pt idx="143">
                  <c:v>656.483</c:v>
                </c:pt>
                <c:pt idx="144">
                  <c:v>728.248</c:v>
                </c:pt>
                <c:pt idx="145">
                  <c:v>355.481</c:v>
                </c:pt>
                <c:pt idx="146">
                  <c:v>479.208</c:v>
                </c:pt>
                <c:pt idx="147">
                  <c:v>78.396</c:v>
                </c:pt>
                <c:pt idx="148">
                  <c:v>295.285</c:v>
                </c:pt>
                <c:pt idx="149">
                  <c:v>157.504</c:v>
                </c:pt>
                <c:pt idx="150">
                  <c:v>15.682</c:v>
                </c:pt>
                <c:pt idx="151">
                  <c:v>88.654</c:v>
                </c:pt>
                <c:pt idx="152">
                  <c:v>115.662</c:v>
                </c:pt>
                <c:pt idx="153">
                  <c:v>80.171</c:v>
                </c:pt>
                <c:pt idx="154">
                  <c:v>110.664</c:v>
                </c:pt>
                <c:pt idx="155">
                  <c:v>153.517</c:v>
                </c:pt>
                <c:pt idx="156">
                  <c:v>167.065</c:v>
                </c:pt>
                <c:pt idx="157">
                  <c:v>257.083</c:v>
                </c:pt>
                <c:pt idx="158">
                  <c:v>153.422</c:v>
                </c:pt>
                <c:pt idx="159">
                  <c:v>36.265</c:v>
                </c:pt>
                <c:pt idx="160">
                  <c:v>8.820</c:v>
                </c:pt>
                <c:pt idx="161">
                  <c:v>11.044</c:v>
                </c:pt>
                <c:pt idx="162">
                  <c:v>148.492</c:v>
                </c:pt>
                <c:pt idx="163">
                  <c:v>28.824</c:v>
                </c:pt>
                <c:pt idx="164">
                  <c:v>112.427</c:v>
                </c:pt>
                <c:pt idx="165">
                  <c:v>159.839</c:v>
                </c:pt>
                <c:pt idx="166">
                  <c:v>161.147</c:v>
                </c:pt>
                <c:pt idx="167">
                  <c:v>6.528</c:v>
                </c:pt>
                <c:pt idx="168">
                  <c:v>41.955</c:v>
                </c:pt>
                <c:pt idx="169">
                  <c:v>279.814</c:v>
                </c:pt>
                <c:pt idx="170">
                  <c:v>155.747</c:v>
                </c:pt>
                <c:pt idx="171">
                  <c:v>39.536</c:v>
                </c:pt>
                <c:pt idx="172">
                  <c:v>97.279</c:v>
                </c:pt>
                <c:pt idx="173">
                  <c:v>38.685</c:v>
                </c:pt>
                <c:pt idx="174">
                  <c:v>59.189</c:v>
                </c:pt>
                <c:pt idx="175">
                  <c:v>44.717</c:v>
                </c:pt>
                <c:pt idx="176">
                  <c:v>9.816</c:v>
                </c:pt>
                <c:pt idx="177">
                  <c:v>20.395</c:v>
                </c:pt>
                <c:pt idx="178">
                  <c:v>0</c:v>
                </c:pt>
                <c:pt idx="179">
                  <c:v>176.145</c:v>
                </c:pt>
                <c:pt idx="180">
                  <c:v>129.854</c:v>
                </c:pt>
                <c:pt idx="181">
                  <c:v>52.727</c:v>
                </c:pt>
                <c:pt idx="182">
                  <c:v>106.542</c:v>
                </c:pt>
                <c:pt idx="183">
                  <c:v>31.792</c:v>
                </c:pt>
                <c:pt idx="184">
                  <c:v>33.115</c:v>
                </c:pt>
                <c:pt idx="185">
                  <c:v>28.651</c:v>
                </c:pt>
                <c:pt idx="186">
                  <c:v>7.695</c:v>
                </c:pt>
                <c:pt idx="187">
                  <c:v>9.051</c:v>
                </c:pt>
                <c:pt idx="188">
                  <c:v>137.382</c:v>
                </c:pt>
                <c:pt idx="190">
                  <c:v>489.647</c:v>
                </c:pt>
                <c:pt idx="191">
                  <c:v>228.688</c:v>
                </c:pt>
                <c:pt idx="192">
                  <c:v>25.150</c:v>
                </c:pt>
                <c:pt idx="193">
                  <c:v>272.595</c:v>
                </c:pt>
                <c:pt idx="194">
                  <c:v>11.280</c:v>
                </c:pt>
                <c:pt idx="195">
                  <c:v>14.198</c:v>
                </c:pt>
                <c:pt idx="196">
                  <c:v>82.800</c:v>
                </c:pt>
                <c:pt idx="197">
                  <c:v>51.268</c:v>
                </c:pt>
                <c:pt idx="198">
                  <c:v>37.974</c:v>
                </c:pt>
                <c:pt idx="199">
                  <c:v>71.148</c:v>
                </c:pt>
                <c:pt idx="200">
                  <c:v>2985</c:v>
                </c:pt>
                <c:pt idx="201">
                  <c:v>8772</c:v>
                </c:pt>
                <c:pt idx="202">
                  <c:v>35.671</c:v>
                </c:pt>
                <c:pt idx="203">
                  <c:v>9.693</c:v>
                </c:pt>
                <c:pt idx="204">
                  <c:v>73382</c:v>
                </c:pt>
                <c:pt idx="205">
                  <c:v>9120</c:v>
                </c:pt>
                <c:pt idx="206">
                  <c:v>69960</c:v>
                </c:pt>
                <c:pt idx="207">
                  <c:v>10975</c:v>
                </c:pt>
                <c:pt idx="208">
                  <c:v>9.087</c:v>
                </c:pt>
                <c:pt idx="209">
                  <c:v>2.760</c:v>
                </c:pt>
                <c:pt idx="210">
                  <c:v>553</c:v>
                </c:pt>
                <c:pt idx="211">
                  <c:v>1.180</c:v>
                </c:pt>
                <c:pt idx="212">
                  <c:v>757</c:v>
                </c:pt>
                <c:pt idx="213">
                  <c:v>220</c:v>
                </c:pt>
                <c:pt idx="214">
                  <c:v>459</c:v>
                </c:pt>
                <c:pt idx="215">
                  <c:v>51.583</c:v>
                </c:pt>
                <c:pt idx="216">
                  <c:v>91.531</c:v>
                </c:pt>
                <c:pt idx="217">
                  <c:v>31.847</c:v>
                </c:pt>
              </c:strCache>
            </c:strRef>
          </c:tx>
          <c:invertIfNegative val="0"/>
          <c:val>
            <c:numRef>
              <c:f>Data!$O$202:$O$220</c:f>
              <c:numCache>
                <c:formatCode>General</c:formatCode>
                <c:ptCount val="12"/>
                <c:pt idx="0" formatCode="#,##0">
                  <c:v>71148</c:v>
                </c:pt>
                <c:pt idx="1">
                  <c:v>2985</c:v>
                </c:pt>
                <c:pt idx="2">
                  <c:v>8772</c:v>
                </c:pt>
                <c:pt idx="3" formatCode="#,##0">
                  <c:v>35671</c:v>
                </c:pt>
                <c:pt idx="4" formatCode="#,##0">
                  <c:v>9693</c:v>
                </c:pt>
                <c:pt idx="5" formatCode="#,##0">
                  <c:v>9087</c:v>
                </c:pt>
                <c:pt idx="6" formatCode="#,##0">
                  <c:v>2760</c:v>
                </c:pt>
                <c:pt idx="7" formatCode="#,##0">
                  <c:v>553</c:v>
                </c:pt>
                <c:pt idx="8" formatCode="#,##0">
                  <c:v>1180</c:v>
                </c:pt>
                <c:pt idx="9">
                  <c:v>757</c:v>
                </c:pt>
                <c:pt idx="10" formatCode="#,##0">
                  <c:v>220</c:v>
                </c:pt>
                <c:pt idx="11" formatCode="#,##0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23-4F71-93E9-73CD9A6CCCC5}"/>
            </c:ext>
          </c:extLst>
        </c:ser>
        <c:ser>
          <c:idx val="14"/>
          <c:order val="14"/>
          <c:tx>
            <c:strRef>
              <c:f>Data!$P$3:$P$220</c:f>
              <c:strCache>
                <c:ptCount val="218"/>
                <c:pt idx="0">
                  <c:v>Chỉ số cũ</c:v>
                </c:pt>
                <c:pt idx="1">
                  <c:v>-15</c:v>
                </c:pt>
                <c:pt idx="3">
                  <c:v>5.788</c:v>
                </c:pt>
                <c:pt idx="4">
                  <c:v>28.105</c:v>
                </c:pt>
                <c:pt idx="5">
                  <c:v>140.187</c:v>
                </c:pt>
                <c:pt idx="6">
                  <c:v>184.610</c:v>
                </c:pt>
                <c:pt idx="7">
                  <c:v>29.211</c:v>
                </c:pt>
                <c:pt idx="8">
                  <c:v>436.148</c:v>
                </c:pt>
                <c:pt idx="9">
                  <c:v>82.313</c:v>
                </c:pt>
                <c:pt idx="10">
                  <c:v>3.511</c:v>
                </c:pt>
                <c:pt idx="11">
                  <c:v>19.132</c:v>
                </c:pt>
                <c:pt idx="12">
                  <c:v>480.771</c:v>
                </c:pt>
                <c:pt idx="13">
                  <c:v>13.898</c:v>
                </c:pt>
                <c:pt idx="14">
                  <c:v>105.798</c:v>
                </c:pt>
                <c:pt idx="15">
                  <c:v>10.219</c:v>
                </c:pt>
                <c:pt idx="16">
                  <c:v>342.391</c:v>
                </c:pt>
                <c:pt idx="17">
                  <c:v>195.768</c:v>
                </c:pt>
                <c:pt idx="18">
                  <c:v>88.393</c:v>
                </c:pt>
                <c:pt idx="19">
                  <c:v>32.209</c:v>
                </c:pt>
                <c:pt idx="20">
                  <c:v>301.434</c:v>
                </c:pt>
                <c:pt idx="21">
                  <c:v>481.603</c:v>
                </c:pt>
                <c:pt idx="22">
                  <c:v>74.040</c:v>
                </c:pt>
                <c:pt idx="23">
                  <c:v>0</c:v>
                </c:pt>
                <c:pt idx="24">
                  <c:v>198.973</c:v>
                </c:pt>
                <c:pt idx="25">
                  <c:v>11.478</c:v>
                </c:pt>
                <c:pt idx="26">
                  <c:v>259.479</c:v>
                </c:pt>
                <c:pt idx="27">
                  <c:v>45.614</c:v>
                </c:pt>
                <c:pt idx="28">
                  <c:v>322.893</c:v>
                </c:pt>
                <c:pt idx="29">
                  <c:v>35.879</c:v>
                </c:pt>
                <c:pt idx="30">
                  <c:v>144.506</c:v>
                </c:pt>
                <c:pt idx="31">
                  <c:v>90.168</c:v>
                </c:pt>
                <c:pt idx="32">
                  <c:v>129.256</c:v>
                </c:pt>
                <c:pt idx="33">
                  <c:v>163.786</c:v>
                </c:pt>
                <c:pt idx="34">
                  <c:v>117.880</c:v>
                </c:pt>
                <c:pt idx="35">
                  <c:v>33.678</c:v>
                </c:pt>
                <c:pt idx="36">
                  <c:v>174.029</c:v>
                </c:pt>
                <c:pt idx="37">
                  <c:v>572.824</c:v>
                </c:pt>
                <c:pt idx="38">
                  <c:v>575.714</c:v>
                </c:pt>
                <c:pt idx="39">
                  <c:v>17.420</c:v>
                </c:pt>
                <c:pt idx="40">
                  <c:v>60.702</c:v>
                </c:pt>
                <c:pt idx="41">
                  <c:v>20.260</c:v>
                </c:pt>
                <c:pt idx="42">
                  <c:v>17.214</c:v>
                </c:pt>
                <c:pt idx="43">
                  <c:v>448</c:v>
                </c:pt>
                <c:pt idx="44">
                  <c:v>67.761</c:v>
                </c:pt>
                <c:pt idx="45">
                  <c:v>53.428</c:v>
                </c:pt>
                <c:pt idx="46">
                  <c:v>283.692</c:v>
                </c:pt>
                <c:pt idx="47">
                  <c:v>8.866</c:v>
                </c:pt>
                <c:pt idx="48">
                  <c:v>33.915</c:v>
                </c:pt>
                <c:pt idx="49">
                  <c:v>6.753</c:v>
                </c:pt>
                <c:pt idx="50">
                  <c:v>24.244</c:v>
                </c:pt>
                <c:pt idx="51">
                  <c:v>10.744</c:v>
                </c:pt>
                <c:pt idx="52">
                  <c:v>21.226</c:v>
                </c:pt>
                <c:pt idx="53">
                  <c:v>163.826</c:v>
                </c:pt>
                <c:pt idx="54">
                  <c:v>668.771</c:v>
                </c:pt>
                <c:pt idx="55">
                  <c:v>61.116</c:v>
                </c:pt>
                <c:pt idx="56">
                  <c:v>35.859</c:v>
                </c:pt>
                <c:pt idx="57">
                  <c:v>142.343</c:v>
                </c:pt>
                <c:pt idx="58">
                  <c:v>17.039</c:v>
                </c:pt>
                <c:pt idx="59">
                  <c:v>44.005</c:v>
                </c:pt>
                <c:pt idx="60">
                  <c:v>39.384</c:v>
                </c:pt>
                <c:pt idx="61">
                  <c:v>194.485</c:v>
                </c:pt>
                <c:pt idx="62">
                  <c:v>0</c:v>
                </c:pt>
                <c:pt idx="63">
                  <c:v>145.425</c:v>
                </c:pt>
                <c:pt idx="65">
                  <c:v>55.265</c:v>
                </c:pt>
                <c:pt idx="66">
                  <c:v>75.874</c:v>
                </c:pt>
                <c:pt idx="67">
                  <c:v>0</c:v>
                </c:pt>
                <c:pt idx="68">
                  <c:v>0</c:v>
                </c:pt>
                <c:pt idx="69">
                  <c:v>1.400</c:v>
                </c:pt>
                <c:pt idx="70">
                  <c:v>212</c:v>
                </c:pt>
                <c:pt idx="72">
                  <c:v>96.911</c:v>
                </c:pt>
                <c:pt idx="73">
                  <c:v>31.898</c:v>
                </c:pt>
                <c:pt idx="74">
                  <c:v>35.037</c:v>
                </c:pt>
                <c:pt idx="75">
                  <c:v>5.912</c:v>
                </c:pt>
                <c:pt idx="76">
                  <c:v>5.424</c:v>
                </c:pt>
                <c:pt idx="77">
                  <c:v>56.126</c:v>
                </c:pt>
                <c:pt idx="79">
                  <c:v>14.552</c:v>
                </c:pt>
                <c:pt idx="80">
                  <c:v>12.221</c:v>
                </c:pt>
                <c:pt idx="81">
                  <c:v>16.435</c:v>
                </c:pt>
                <c:pt idx="82">
                  <c:v>18.361</c:v>
                </c:pt>
                <c:pt idx="87">
                  <c:v>40.158</c:v>
                </c:pt>
                <c:pt idx="89">
                  <c:v>27.912</c:v>
                </c:pt>
                <c:pt idx="91">
                  <c:v>2.895</c:v>
                </c:pt>
                <c:pt idx="92">
                  <c:v>28.804</c:v>
                </c:pt>
                <c:pt idx="93">
                  <c:v>136.996</c:v>
                </c:pt>
                <c:pt idx="95">
                  <c:v>190</c:v>
                </c:pt>
                <c:pt idx="96">
                  <c:v>765</c:v>
                </c:pt>
                <c:pt idx="97">
                  <c:v>18.285</c:v>
                </c:pt>
                <c:pt idx="99">
                  <c:v>1.731</c:v>
                </c:pt>
                <c:pt idx="100">
                  <c:v>28</c:v>
                </c:pt>
                <c:pt idx="101">
                  <c:v>1.032</c:v>
                </c:pt>
                <c:pt idx="102">
                  <c:v>373</c:v>
                </c:pt>
                <c:pt idx="103">
                  <c:v>1.605</c:v>
                </c:pt>
                <c:pt idx="104">
                  <c:v>573</c:v>
                </c:pt>
                <c:pt idx="105">
                  <c:v>3.324</c:v>
                </c:pt>
                <c:pt idx="106">
                  <c:v>180.178</c:v>
                </c:pt>
                <c:pt idx="107">
                  <c:v>7.432</c:v>
                </c:pt>
                <c:pt idx="108">
                  <c:v>13.158</c:v>
                </c:pt>
                <c:pt idx="109">
                  <c:v>220.268</c:v>
                </c:pt>
                <c:pt idx="110">
                  <c:v>92.200</c:v>
                </c:pt>
                <c:pt idx="111">
                  <c:v>29.908</c:v>
                </c:pt>
                <c:pt idx="112">
                  <c:v>53.397</c:v>
                </c:pt>
                <c:pt idx="113">
                  <c:v>42.140</c:v>
                </c:pt>
                <c:pt idx="116">
                  <c:v>25.417</c:v>
                </c:pt>
                <c:pt idx="117">
                  <c:v>133.755</c:v>
                </c:pt>
                <c:pt idx="119">
                  <c:v>45.089</c:v>
                </c:pt>
                <c:pt idx="120">
                  <c:v>20.108</c:v>
                </c:pt>
                <c:pt idx="121">
                  <c:v>756.784</c:v>
                </c:pt>
                <c:pt idx="122">
                  <c:v>17.326</c:v>
                </c:pt>
                <c:pt idx="123">
                  <c:v>0</c:v>
                </c:pt>
                <c:pt idx="124">
                  <c:v>5.477</c:v>
                </c:pt>
                <c:pt idx="125">
                  <c:v>6.798</c:v>
                </c:pt>
                <c:pt idx="126">
                  <c:v>113.392</c:v>
                </c:pt>
                <c:pt idx="127">
                  <c:v>160.991</c:v>
                </c:pt>
                <c:pt idx="128">
                  <c:v>7.522</c:v>
                </c:pt>
                <c:pt idx="129">
                  <c:v>10.130</c:v>
                </c:pt>
                <c:pt idx="131">
                  <c:v>30.901</c:v>
                </c:pt>
                <c:pt idx="132">
                  <c:v>128.078</c:v>
                </c:pt>
                <c:pt idx="134">
                  <c:v>0</c:v>
                </c:pt>
                <c:pt idx="135">
                  <c:v>16.140</c:v>
                </c:pt>
                <c:pt idx="136">
                  <c:v>0</c:v>
                </c:pt>
                <c:pt idx="137">
                  <c:v>28.044</c:v>
                </c:pt>
                <c:pt idx="138">
                  <c:v>29.702</c:v>
                </c:pt>
                <c:pt idx="139">
                  <c:v>57.150</c:v>
                </c:pt>
                <c:pt idx="140">
                  <c:v>23.290</c:v>
                </c:pt>
                <c:pt idx="141">
                  <c:v>171.987</c:v>
                </c:pt>
                <c:pt idx="142">
                  <c:v>112.230</c:v>
                </c:pt>
                <c:pt idx="143">
                  <c:v>647.638</c:v>
                </c:pt>
                <c:pt idx="144">
                  <c:v>721.101</c:v>
                </c:pt>
                <c:pt idx="145">
                  <c:v>351.381</c:v>
                </c:pt>
                <c:pt idx="146">
                  <c:v>472.977</c:v>
                </c:pt>
                <c:pt idx="147">
                  <c:v>78.396</c:v>
                </c:pt>
                <c:pt idx="148">
                  <c:v>295.285</c:v>
                </c:pt>
                <c:pt idx="149">
                  <c:v>156.321</c:v>
                </c:pt>
                <c:pt idx="150">
                  <c:v>15.682</c:v>
                </c:pt>
                <c:pt idx="151">
                  <c:v>85.035</c:v>
                </c:pt>
                <c:pt idx="152">
                  <c:v>107.277</c:v>
                </c:pt>
                <c:pt idx="153">
                  <c:v>79.556</c:v>
                </c:pt>
                <c:pt idx="154">
                  <c:v>105.678</c:v>
                </c:pt>
                <c:pt idx="155">
                  <c:v>148.089</c:v>
                </c:pt>
                <c:pt idx="156">
                  <c:v>160.364</c:v>
                </c:pt>
                <c:pt idx="157">
                  <c:v>253.992</c:v>
                </c:pt>
                <c:pt idx="158">
                  <c:v>149.162</c:v>
                </c:pt>
                <c:pt idx="159">
                  <c:v>34.765</c:v>
                </c:pt>
                <c:pt idx="160">
                  <c:v>8.820</c:v>
                </c:pt>
                <c:pt idx="161">
                  <c:v>9.208</c:v>
                </c:pt>
                <c:pt idx="162">
                  <c:v>147.885</c:v>
                </c:pt>
                <c:pt idx="163">
                  <c:v>28.517</c:v>
                </c:pt>
                <c:pt idx="164">
                  <c:v>109.727</c:v>
                </c:pt>
                <c:pt idx="165">
                  <c:v>158.344</c:v>
                </c:pt>
                <c:pt idx="166">
                  <c:v>159.905</c:v>
                </c:pt>
                <c:pt idx="167">
                  <c:v>6.482</c:v>
                </c:pt>
                <c:pt idx="168">
                  <c:v>41.823</c:v>
                </c:pt>
                <c:pt idx="169">
                  <c:v>277.861</c:v>
                </c:pt>
                <c:pt idx="170">
                  <c:v>154.421</c:v>
                </c:pt>
                <c:pt idx="171">
                  <c:v>38.171</c:v>
                </c:pt>
                <c:pt idx="172">
                  <c:v>96.937</c:v>
                </c:pt>
                <c:pt idx="173">
                  <c:v>38.625</c:v>
                </c:pt>
                <c:pt idx="174">
                  <c:v>57.373</c:v>
                </c:pt>
                <c:pt idx="175">
                  <c:v>44.583</c:v>
                </c:pt>
                <c:pt idx="176">
                  <c:v>8.919</c:v>
                </c:pt>
                <c:pt idx="177">
                  <c:v>19.724</c:v>
                </c:pt>
                <c:pt idx="178">
                  <c:v>0</c:v>
                </c:pt>
                <c:pt idx="179">
                  <c:v>173.037</c:v>
                </c:pt>
                <c:pt idx="180">
                  <c:v>129.005</c:v>
                </c:pt>
                <c:pt idx="181">
                  <c:v>51.883</c:v>
                </c:pt>
                <c:pt idx="182">
                  <c:v>102.521</c:v>
                </c:pt>
                <c:pt idx="183">
                  <c:v>30.667</c:v>
                </c:pt>
                <c:pt idx="184">
                  <c:v>32.768</c:v>
                </c:pt>
                <c:pt idx="185">
                  <c:v>28.078</c:v>
                </c:pt>
                <c:pt idx="186">
                  <c:v>7.363</c:v>
                </c:pt>
                <c:pt idx="187">
                  <c:v>9.004</c:v>
                </c:pt>
                <c:pt idx="188">
                  <c:v>136.103</c:v>
                </c:pt>
                <c:pt idx="190">
                  <c:v>488.569</c:v>
                </c:pt>
                <c:pt idx="191">
                  <c:v>226.340</c:v>
                </c:pt>
                <c:pt idx="192">
                  <c:v>24.903</c:v>
                </c:pt>
                <c:pt idx="193">
                  <c:v>269.671</c:v>
                </c:pt>
                <c:pt idx="194">
                  <c:v>10.770</c:v>
                </c:pt>
                <c:pt idx="195">
                  <c:v>13.968</c:v>
                </c:pt>
                <c:pt idx="196">
                  <c:v>80.493</c:v>
                </c:pt>
                <c:pt idx="197">
                  <c:v>48.457</c:v>
                </c:pt>
                <c:pt idx="198">
                  <c:v>33.701</c:v>
                </c:pt>
                <c:pt idx="199">
                  <c:v>68.944</c:v>
                </c:pt>
                <c:pt idx="200">
                  <c:v>2740</c:v>
                </c:pt>
                <c:pt idx="201">
                  <c:v>8048</c:v>
                </c:pt>
                <c:pt idx="202">
                  <c:v>33.721</c:v>
                </c:pt>
                <c:pt idx="203">
                  <c:v>6.484</c:v>
                </c:pt>
                <c:pt idx="204">
                  <c:v>73382</c:v>
                </c:pt>
                <c:pt idx="205">
                  <c:v>9120</c:v>
                </c:pt>
                <c:pt idx="206">
                  <c:v>69960</c:v>
                </c:pt>
                <c:pt idx="207">
                  <c:v>10975</c:v>
                </c:pt>
                <c:pt idx="208">
                  <c:v>8.274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633</c:v>
                </c:pt>
                <c:pt idx="213">
                  <c:v>62</c:v>
                </c:pt>
                <c:pt idx="214">
                  <c:v>99</c:v>
                </c:pt>
                <c:pt idx="215">
                  <c:v>51.583</c:v>
                </c:pt>
                <c:pt idx="216">
                  <c:v>91.531</c:v>
                </c:pt>
                <c:pt idx="217">
                  <c:v>31.847</c:v>
                </c:pt>
              </c:strCache>
            </c:strRef>
          </c:tx>
          <c:invertIfNegative val="0"/>
          <c:val>
            <c:numRef>
              <c:f>Data!$P$202:$P$220</c:f>
              <c:numCache>
                <c:formatCode>General</c:formatCode>
                <c:ptCount val="12"/>
                <c:pt idx="0" formatCode="#,##0">
                  <c:v>68944</c:v>
                </c:pt>
                <c:pt idx="1">
                  <c:v>2740</c:v>
                </c:pt>
                <c:pt idx="2">
                  <c:v>8048</c:v>
                </c:pt>
                <c:pt idx="3" formatCode="#,##0">
                  <c:v>33721</c:v>
                </c:pt>
                <c:pt idx="4" formatCode="#,##0">
                  <c:v>6484</c:v>
                </c:pt>
                <c:pt idx="5" formatCode="#,##0">
                  <c:v>8274</c:v>
                </c:pt>
                <c:pt idx="6" formatCode="#,##0">
                  <c:v>0</c:v>
                </c:pt>
                <c:pt idx="7" formatCode="#,##0">
                  <c:v>0</c:v>
                </c:pt>
                <c:pt idx="8" formatCode="#,##0">
                  <c:v>0</c:v>
                </c:pt>
                <c:pt idx="9">
                  <c:v>633</c:v>
                </c:pt>
                <c:pt idx="10" formatCode="#,##0">
                  <c:v>62</c:v>
                </c:pt>
                <c:pt idx="11" formatCode="#,##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723-4F71-93E9-73CD9A6CCCC5}"/>
            </c:ext>
          </c:extLst>
        </c:ser>
        <c:ser>
          <c:idx val="15"/>
          <c:order val="15"/>
          <c:tx>
            <c:strRef>
              <c:f>Data!$Q$3:$Q$220</c:f>
              <c:strCache>
                <c:ptCount val="218"/>
                <c:pt idx="0">
                  <c:v>Hệ số nhân</c:v>
                </c:pt>
                <c:pt idx="1">
                  <c:v>(17)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80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40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30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100</c:v>
                </c:pt>
                <c:pt idx="96">
                  <c:v>40</c:v>
                </c:pt>
                <c:pt idx="97">
                  <c:v>1</c:v>
                </c:pt>
                <c:pt idx="98">
                  <c:v>1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100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120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50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40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</c:strCache>
            </c:strRef>
          </c:tx>
          <c:invertIfNegative val="0"/>
          <c:val>
            <c:numRef>
              <c:f>Data!$Q$202:$Q$220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723-4F71-93E9-73CD9A6CCCC5}"/>
            </c:ext>
          </c:extLst>
        </c:ser>
        <c:ser>
          <c:idx val="16"/>
          <c:order val="16"/>
          <c:tx>
            <c:strRef>
              <c:f>Data!$R$3:$R$220</c:f>
              <c:strCache>
                <c:ptCount val="218"/>
                <c:pt idx="0">
                  <c:v>Tổng điện năng 
tiêu thụ</c:v>
                </c:pt>
                <c:pt idx="1">
                  <c:v>-18</c:v>
                </c:pt>
                <c:pt idx="2">
                  <c:v>0</c:v>
                </c:pt>
                <c:pt idx="3">
                  <c:v>26</c:v>
                </c:pt>
                <c:pt idx="4">
                  <c:v>0</c:v>
                </c:pt>
                <c:pt idx="5">
                  <c:v>3.309</c:v>
                </c:pt>
                <c:pt idx="6">
                  <c:v>3.605</c:v>
                </c:pt>
                <c:pt idx="7">
                  <c:v>1.814</c:v>
                </c:pt>
                <c:pt idx="8">
                  <c:v>2.944</c:v>
                </c:pt>
                <c:pt idx="9">
                  <c:v>845</c:v>
                </c:pt>
                <c:pt idx="10">
                  <c:v>3.831</c:v>
                </c:pt>
                <c:pt idx="11">
                  <c:v>2.897</c:v>
                </c:pt>
                <c:pt idx="12">
                  <c:v>5.075</c:v>
                </c:pt>
                <c:pt idx="13">
                  <c:v>1.611</c:v>
                </c:pt>
                <c:pt idx="14">
                  <c:v>4.172</c:v>
                </c:pt>
                <c:pt idx="15">
                  <c:v>2.415</c:v>
                </c:pt>
                <c:pt idx="16">
                  <c:v>5.332</c:v>
                </c:pt>
                <c:pt idx="17">
                  <c:v>3.200</c:v>
                </c:pt>
                <c:pt idx="18">
                  <c:v>950</c:v>
                </c:pt>
                <c:pt idx="19">
                  <c:v>209</c:v>
                </c:pt>
                <c:pt idx="20">
                  <c:v>3.306</c:v>
                </c:pt>
                <c:pt idx="21">
                  <c:v>12.322</c:v>
                </c:pt>
                <c:pt idx="22">
                  <c:v>5.530</c:v>
                </c:pt>
                <c:pt idx="23">
                  <c:v>4.438</c:v>
                </c:pt>
                <c:pt idx="24">
                  <c:v>2.817</c:v>
                </c:pt>
                <c:pt idx="25">
                  <c:v>6.960</c:v>
                </c:pt>
                <c:pt idx="26">
                  <c:v>3.775</c:v>
                </c:pt>
                <c:pt idx="27">
                  <c:v>351</c:v>
                </c:pt>
                <c:pt idx="28">
                  <c:v>4.933</c:v>
                </c:pt>
                <c:pt idx="29">
                  <c:v>1.365</c:v>
                </c:pt>
                <c:pt idx="30">
                  <c:v>1.076</c:v>
                </c:pt>
                <c:pt idx="31">
                  <c:v>503</c:v>
                </c:pt>
                <c:pt idx="32">
                  <c:v>2.298</c:v>
                </c:pt>
                <c:pt idx="33">
                  <c:v>2.506</c:v>
                </c:pt>
                <c:pt idx="34">
                  <c:v>3.060</c:v>
                </c:pt>
                <c:pt idx="35">
                  <c:v>0</c:v>
                </c:pt>
                <c:pt idx="36">
                  <c:v>0</c:v>
                </c:pt>
                <c:pt idx="37">
                  <c:v>2.890</c:v>
                </c:pt>
                <c:pt idx="38">
                  <c:v>2.890</c:v>
                </c:pt>
                <c:pt idx="39">
                  <c:v>557</c:v>
                </c:pt>
                <c:pt idx="40">
                  <c:v>169</c:v>
                </c:pt>
                <c:pt idx="41">
                  <c:v>199</c:v>
                </c:pt>
                <c:pt idx="42">
                  <c:v>190</c:v>
                </c:pt>
                <c:pt idx="43">
                  <c:v>119</c:v>
                </c:pt>
                <c:pt idx="44">
                  <c:v>288</c:v>
                </c:pt>
                <c:pt idx="45">
                  <c:v>77</c:v>
                </c:pt>
                <c:pt idx="46">
                  <c:v>170</c:v>
                </c:pt>
                <c:pt idx="47">
                  <c:v>580</c:v>
                </c:pt>
                <c:pt idx="48">
                  <c:v>3.639</c:v>
                </c:pt>
                <c:pt idx="49">
                  <c:v>10.800</c:v>
                </c:pt>
                <c:pt idx="50">
                  <c:v>2.693</c:v>
                </c:pt>
                <c:pt idx="51">
                  <c:v>956</c:v>
                </c:pt>
                <c:pt idx="52">
                  <c:v>7.248</c:v>
                </c:pt>
                <c:pt idx="53">
                  <c:v>259</c:v>
                </c:pt>
                <c:pt idx="54">
                  <c:v>9.023</c:v>
                </c:pt>
                <c:pt idx="55">
                  <c:v>499</c:v>
                </c:pt>
                <c:pt idx="56">
                  <c:v>249</c:v>
                </c:pt>
                <c:pt idx="57">
                  <c:v>4.665</c:v>
                </c:pt>
                <c:pt idx="58">
                  <c:v>1.322</c:v>
                </c:pt>
                <c:pt idx="59">
                  <c:v>1.693</c:v>
                </c:pt>
                <c:pt idx="60">
                  <c:v>775</c:v>
                </c:pt>
                <c:pt idx="61">
                  <c:v>630</c:v>
                </c:pt>
                <c:pt idx="62">
                  <c:v>40.125</c:v>
                </c:pt>
                <c:pt idx="63">
                  <c:v>2.148</c:v>
                </c:pt>
                <c:pt idx="64">
                  <c:v>0</c:v>
                </c:pt>
                <c:pt idx="65">
                  <c:v>4.197</c:v>
                </c:pt>
                <c:pt idx="66">
                  <c:v>2.720</c:v>
                </c:pt>
                <c:pt idx="67">
                  <c:v>5.696</c:v>
                </c:pt>
                <c:pt idx="68">
                  <c:v>320.271</c:v>
                </c:pt>
                <c:pt idx="69">
                  <c:v>1.460</c:v>
                </c:pt>
                <c:pt idx="70">
                  <c:v>840</c:v>
                </c:pt>
                <c:pt idx="71">
                  <c:v>0</c:v>
                </c:pt>
                <c:pt idx="72">
                  <c:v>0</c:v>
                </c:pt>
                <c:pt idx="73">
                  <c:v>227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</c:v>
                </c:pt>
                <c:pt idx="80">
                  <c:v>104</c:v>
                </c:pt>
                <c:pt idx="81">
                  <c:v>154</c:v>
                </c:pt>
                <c:pt idx="82">
                  <c:v>359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151</c:v>
                </c:pt>
                <c:pt idx="88">
                  <c:v>0</c:v>
                </c:pt>
                <c:pt idx="89">
                  <c:v>125</c:v>
                </c:pt>
                <c:pt idx="90">
                  <c:v>0</c:v>
                </c:pt>
                <c:pt idx="91">
                  <c:v>1.840</c:v>
                </c:pt>
                <c:pt idx="92">
                  <c:v>141</c:v>
                </c:pt>
                <c:pt idx="93">
                  <c:v>420</c:v>
                </c:pt>
                <c:pt idx="94">
                  <c:v>0</c:v>
                </c:pt>
                <c:pt idx="95">
                  <c:v>2.400</c:v>
                </c:pt>
                <c:pt idx="96">
                  <c:v>1.000</c:v>
                </c:pt>
                <c:pt idx="97">
                  <c:v>859</c:v>
                </c:pt>
                <c:pt idx="98">
                  <c:v>0</c:v>
                </c:pt>
                <c:pt idx="99">
                  <c:v>2.220</c:v>
                </c:pt>
                <c:pt idx="100">
                  <c:v>100</c:v>
                </c:pt>
                <c:pt idx="101">
                  <c:v>1.160</c:v>
                </c:pt>
                <c:pt idx="102">
                  <c:v>960</c:v>
                </c:pt>
                <c:pt idx="103">
                  <c:v>2.460</c:v>
                </c:pt>
                <c:pt idx="104">
                  <c:v>380</c:v>
                </c:pt>
                <c:pt idx="105">
                  <c:v>1.545</c:v>
                </c:pt>
                <c:pt idx="106">
                  <c:v>0</c:v>
                </c:pt>
                <c:pt idx="107">
                  <c:v>0</c:v>
                </c:pt>
                <c:pt idx="108">
                  <c:v>11.000</c:v>
                </c:pt>
                <c:pt idx="109">
                  <c:v>39</c:v>
                </c:pt>
                <c:pt idx="110">
                  <c:v>149</c:v>
                </c:pt>
                <c:pt idx="111">
                  <c:v>75</c:v>
                </c:pt>
                <c:pt idx="112">
                  <c:v>1.390</c:v>
                </c:pt>
                <c:pt idx="113">
                  <c:v>201</c:v>
                </c:pt>
                <c:pt idx="114">
                  <c:v>0</c:v>
                </c:pt>
                <c:pt idx="115">
                  <c:v>0</c:v>
                </c:pt>
                <c:pt idx="116">
                  <c:v>125</c:v>
                </c:pt>
                <c:pt idx="117">
                  <c:v>2.459</c:v>
                </c:pt>
                <c:pt idx="118">
                  <c:v>0</c:v>
                </c:pt>
                <c:pt idx="119">
                  <c:v>0</c:v>
                </c:pt>
                <c:pt idx="120">
                  <c:v>8.520</c:v>
                </c:pt>
                <c:pt idx="121">
                  <c:v>2.662</c:v>
                </c:pt>
                <c:pt idx="122">
                  <c:v>847</c:v>
                </c:pt>
                <c:pt idx="123">
                  <c:v>4.063</c:v>
                </c:pt>
                <c:pt idx="124">
                  <c:v>442</c:v>
                </c:pt>
                <c:pt idx="125">
                  <c:v>5.800</c:v>
                </c:pt>
                <c:pt idx="126">
                  <c:v>532</c:v>
                </c:pt>
                <c:pt idx="127">
                  <c:v>8.034</c:v>
                </c:pt>
                <c:pt idx="128">
                  <c:v>620</c:v>
                </c:pt>
                <c:pt idx="129">
                  <c:v>196</c:v>
                </c:pt>
                <c:pt idx="130">
                  <c:v>0</c:v>
                </c:pt>
                <c:pt idx="131">
                  <c:v>2.343</c:v>
                </c:pt>
                <c:pt idx="132">
                  <c:v>2.848</c:v>
                </c:pt>
                <c:pt idx="133">
                  <c:v>0</c:v>
                </c:pt>
                <c:pt idx="134">
                  <c:v>6.641</c:v>
                </c:pt>
                <c:pt idx="135">
                  <c:v>1.335</c:v>
                </c:pt>
                <c:pt idx="136">
                  <c:v>846</c:v>
                </c:pt>
                <c:pt idx="137">
                  <c:v>1.029</c:v>
                </c:pt>
                <c:pt idx="138">
                  <c:v>609</c:v>
                </c:pt>
                <c:pt idx="139">
                  <c:v>297</c:v>
                </c:pt>
                <c:pt idx="140">
                  <c:v>204</c:v>
                </c:pt>
                <c:pt idx="141">
                  <c:v>1.498</c:v>
                </c:pt>
                <c:pt idx="142">
                  <c:v>873</c:v>
                </c:pt>
                <c:pt idx="143">
                  <c:v>8.845</c:v>
                </c:pt>
                <c:pt idx="144">
                  <c:v>7.147</c:v>
                </c:pt>
                <c:pt idx="145">
                  <c:v>4.100</c:v>
                </c:pt>
                <c:pt idx="146">
                  <c:v>6.231</c:v>
                </c:pt>
                <c:pt idx="147">
                  <c:v>0</c:v>
                </c:pt>
                <c:pt idx="148">
                  <c:v>0</c:v>
                </c:pt>
                <c:pt idx="149">
                  <c:v>1.183</c:v>
                </c:pt>
                <c:pt idx="150">
                  <c:v>0</c:v>
                </c:pt>
                <c:pt idx="151">
                  <c:v>3.619</c:v>
                </c:pt>
                <c:pt idx="152">
                  <c:v>8.385</c:v>
                </c:pt>
                <c:pt idx="153">
                  <c:v>615</c:v>
                </c:pt>
                <c:pt idx="154">
                  <c:v>4.986</c:v>
                </c:pt>
                <c:pt idx="155">
                  <c:v>5.428</c:v>
                </c:pt>
                <c:pt idx="156">
                  <c:v>6.701</c:v>
                </c:pt>
                <c:pt idx="157">
                  <c:v>3.091</c:v>
                </c:pt>
                <c:pt idx="158">
                  <c:v>4.260</c:v>
                </c:pt>
                <c:pt idx="159">
                  <c:v>1.500</c:v>
                </c:pt>
                <c:pt idx="160">
                  <c:v>0</c:v>
                </c:pt>
                <c:pt idx="161">
                  <c:v>1.836</c:v>
                </c:pt>
                <c:pt idx="162">
                  <c:v>607</c:v>
                </c:pt>
                <c:pt idx="163">
                  <c:v>307</c:v>
                </c:pt>
                <c:pt idx="164">
                  <c:v>2.700</c:v>
                </c:pt>
                <c:pt idx="165">
                  <c:v>1.495</c:v>
                </c:pt>
                <c:pt idx="166">
                  <c:v>1.242</c:v>
                </c:pt>
                <c:pt idx="167">
                  <c:v>1.840</c:v>
                </c:pt>
                <c:pt idx="168">
                  <c:v>132</c:v>
                </c:pt>
                <c:pt idx="169">
                  <c:v>1.953</c:v>
                </c:pt>
                <c:pt idx="170">
                  <c:v>1.326</c:v>
                </c:pt>
                <c:pt idx="171">
                  <c:v>1.365</c:v>
                </c:pt>
                <c:pt idx="172">
                  <c:v>342</c:v>
                </c:pt>
                <c:pt idx="173">
                  <c:v>60</c:v>
                </c:pt>
                <c:pt idx="174">
                  <c:v>1.816</c:v>
                </c:pt>
                <c:pt idx="175">
                  <c:v>134</c:v>
                </c:pt>
                <c:pt idx="176">
                  <c:v>897</c:v>
                </c:pt>
                <c:pt idx="177">
                  <c:v>671</c:v>
                </c:pt>
                <c:pt idx="178">
                  <c:v>0</c:v>
                </c:pt>
                <c:pt idx="179">
                  <c:v>3.108</c:v>
                </c:pt>
                <c:pt idx="180">
                  <c:v>849</c:v>
                </c:pt>
                <c:pt idx="181">
                  <c:v>844</c:v>
                </c:pt>
                <c:pt idx="182">
                  <c:v>4.021</c:v>
                </c:pt>
                <c:pt idx="183">
                  <c:v>1.125</c:v>
                </c:pt>
                <c:pt idx="184">
                  <c:v>347</c:v>
                </c:pt>
                <c:pt idx="185">
                  <c:v>573</c:v>
                </c:pt>
                <c:pt idx="186">
                  <c:v>332</c:v>
                </c:pt>
                <c:pt idx="187">
                  <c:v>47</c:v>
                </c:pt>
                <c:pt idx="188">
                  <c:v>1.279</c:v>
                </c:pt>
                <c:pt idx="189">
                  <c:v>0</c:v>
                </c:pt>
                <c:pt idx="190">
                  <c:v>1.078</c:v>
                </c:pt>
                <c:pt idx="191">
                  <c:v>2.348</c:v>
                </c:pt>
                <c:pt idx="192">
                  <c:v>247</c:v>
                </c:pt>
                <c:pt idx="193">
                  <c:v>2.924</c:v>
                </c:pt>
                <c:pt idx="194">
                  <c:v>510</c:v>
                </c:pt>
                <c:pt idx="195">
                  <c:v>230</c:v>
                </c:pt>
                <c:pt idx="196">
                  <c:v>2.307</c:v>
                </c:pt>
                <c:pt idx="197">
                  <c:v>2.811</c:v>
                </c:pt>
                <c:pt idx="198">
                  <c:v>4.273</c:v>
                </c:pt>
                <c:pt idx="199">
                  <c:v>2.204</c:v>
                </c:pt>
                <c:pt idx="200">
                  <c:v>245</c:v>
                </c:pt>
                <c:pt idx="201">
                  <c:v>724</c:v>
                </c:pt>
                <c:pt idx="202">
                  <c:v>1.950</c:v>
                </c:pt>
                <c:pt idx="203">
                  <c:v>3.209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813</c:v>
                </c:pt>
                <c:pt idx="209">
                  <c:v>2.760</c:v>
                </c:pt>
                <c:pt idx="210">
                  <c:v>553</c:v>
                </c:pt>
                <c:pt idx="211">
                  <c:v>1.180</c:v>
                </c:pt>
                <c:pt idx="212">
                  <c:v>124</c:v>
                </c:pt>
                <c:pt idx="213">
                  <c:v>158</c:v>
                </c:pt>
                <c:pt idx="214">
                  <c:v>360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</c:strCache>
            </c:strRef>
          </c:tx>
          <c:invertIfNegative val="0"/>
          <c:val>
            <c:numRef>
              <c:f>Data!$R$202:$R$220</c:f>
            </c:numRef>
          </c:val>
          <c:extLst>
            <c:ext xmlns:c16="http://schemas.microsoft.com/office/drawing/2014/chart" uri="{C3380CC4-5D6E-409C-BE32-E72D297353CC}">
              <c16:uniqueId val="{00000010-B723-4F71-93E9-73CD9A6CCCC5}"/>
            </c:ext>
          </c:extLst>
        </c:ser>
        <c:ser>
          <c:idx val="17"/>
          <c:order val="17"/>
          <c:tx>
            <c:strRef>
              <c:f>Data!$S$3:$S$220</c:f>
              <c:strCache>
                <c:ptCount val="218"/>
                <c:pt idx="0">
                  <c:v>Bao cấp</c:v>
                </c:pt>
                <c:pt idx="1">
                  <c:v>(19)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4260</c:v>
                </c:pt>
                <c:pt idx="121">
                  <c:v>1331</c:v>
                </c:pt>
                <c:pt idx="122">
                  <c:v>423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2011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384</c:v>
                </c:pt>
                <c:pt idx="189">
                  <c:v>0</c:v>
                </c:pt>
                <c:pt idx="190">
                  <c:v>539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</c:strCache>
            </c:strRef>
          </c:tx>
          <c:invertIfNegative val="0"/>
          <c:val>
            <c:numRef>
              <c:f>Data!$S$202:$S$220</c:f>
            </c:numRef>
          </c:val>
          <c:extLst>
            <c:ext xmlns:c16="http://schemas.microsoft.com/office/drawing/2014/chart" uri="{C3380CC4-5D6E-409C-BE32-E72D297353CC}">
              <c16:uniqueId val="{00000011-B723-4F71-93E9-73CD9A6CCCC5}"/>
            </c:ext>
          </c:extLst>
        </c:ser>
        <c:ser>
          <c:idx val="18"/>
          <c:order val="18"/>
          <c:tx>
            <c:strRef>
              <c:f>Data!$T$3:$T$220</c:f>
              <c:strCache>
                <c:ptCount val="218"/>
                <c:pt idx="0">
                  <c:v>Điện năng tiêu thụ phải trả</c:v>
                </c:pt>
                <c:pt idx="1">
                  <c:v>(20)</c:v>
                </c:pt>
                <c:pt idx="2">
                  <c:v>0</c:v>
                </c:pt>
                <c:pt idx="3">
                  <c:v>26</c:v>
                </c:pt>
                <c:pt idx="4">
                  <c:v>0</c:v>
                </c:pt>
                <c:pt idx="5">
                  <c:v>3309</c:v>
                </c:pt>
                <c:pt idx="6">
                  <c:v>3605</c:v>
                </c:pt>
                <c:pt idx="7">
                  <c:v>1814</c:v>
                </c:pt>
                <c:pt idx="8">
                  <c:v>2944</c:v>
                </c:pt>
                <c:pt idx="9">
                  <c:v>845</c:v>
                </c:pt>
                <c:pt idx="10">
                  <c:v>3831</c:v>
                </c:pt>
                <c:pt idx="11">
                  <c:v>2897</c:v>
                </c:pt>
                <c:pt idx="12">
                  <c:v>5075</c:v>
                </c:pt>
                <c:pt idx="13">
                  <c:v>1611</c:v>
                </c:pt>
                <c:pt idx="14">
                  <c:v>4172</c:v>
                </c:pt>
                <c:pt idx="15">
                  <c:v>2415</c:v>
                </c:pt>
                <c:pt idx="16">
                  <c:v>5332</c:v>
                </c:pt>
                <c:pt idx="17">
                  <c:v>3200</c:v>
                </c:pt>
                <c:pt idx="18">
                  <c:v>950</c:v>
                </c:pt>
                <c:pt idx="19">
                  <c:v>209</c:v>
                </c:pt>
                <c:pt idx="20">
                  <c:v>3306</c:v>
                </c:pt>
                <c:pt idx="21">
                  <c:v>12322</c:v>
                </c:pt>
                <c:pt idx="22">
                  <c:v>5530</c:v>
                </c:pt>
                <c:pt idx="23">
                  <c:v>4438</c:v>
                </c:pt>
                <c:pt idx="24">
                  <c:v>2817</c:v>
                </c:pt>
                <c:pt idx="25">
                  <c:v>6960</c:v>
                </c:pt>
                <c:pt idx="26">
                  <c:v>3775</c:v>
                </c:pt>
                <c:pt idx="27">
                  <c:v>351</c:v>
                </c:pt>
                <c:pt idx="28">
                  <c:v>4933</c:v>
                </c:pt>
                <c:pt idx="29">
                  <c:v>1365</c:v>
                </c:pt>
                <c:pt idx="30">
                  <c:v>1076</c:v>
                </c:pt>
                <c:pt idx="31">
                  <c:v>503</c:v>
                </c:pt>
                <c:pt idx="32">
                  <c:v>2298</c:v>
                </c:pt>
                <c:pt idx="33">
                  <c:v>2506</c:v>
                </c:pt>
                <c:pt idx="34">
                  <c:v>3060</c:v>
                </c:pt>
                <c:pt idx="35">
                  <c:v>0</c:v>
                </c:pt>
                <c:pt idx="36">
                  <c:v>0</c:v>
                </c:pt>
                <c:pt idx="37">
                  <c:v>2890</c:v>
                </c:pt>
                <c:pt idx="38">
                  <c:v>2890</c:v>
                </c:pt>
                <c:pt idx="39">
                  <c:v>557</c:v>
                </c:pt>
                <c:pt idx="40">
                  <c:v>169</c:v>
                </c:pt>
                <c:pt idx="41">
                  <c:v>199</c:v>
                </c:pt>
                <c:pt idx="42">
                  <c:v>190</c:v>
                </c:pt>
                <c:pt idx="43">
                  <c:v>119</c:v>
                </c:pt>
                <c:pt idx="44">
                  <c:v>288</c:v>
                </c:pt>
                <c:pt idx="45">
                  <c:v>77</c:v>
                </c:pt>
                <c:pt idx="46">
                  <c:v>170</c:v>
                </c:pt>
                <c:pt idx="47">
                  <c:v>580</c:v>
                </c:pt>
                <c:pt idx="48">
                  <c:v>3639</c:v>
                </c:pt>
                <c:pt idx="49">
                  <c:v>10800</c:v>
                </c:pt>
                <c:pt idx="50">
                  <c:v>2693</c:v>
                </c:pt>
                <c:pt idx="51">
                  <c:v>956</c:v>
                </c:pt>
                <c:pt idx="52">
                  <c:v>7248</c:v>
                </c:pt>
                <c:pt idx="53">
                  <c:v>259</c:v>
                </c:pt>
                <c:pt idx="55">
                  <c:v>499</c:v>
                </c:pt>
                <c:pt idx="56">
                  <c:v>249</c:v>
                </c:pt>
                <c:pt idx="57">
                  <c:v>4665</c:v>
                </c:pt>
                <c:pt idx="58">
                  <c:v>1322</c:v>
                </c:pt>
                <c:pt idx="59">
                  <c:v>1693</c:v>
                </c:pt>
                <c:pt idx="60">
                  <c:v>775</c:v>
                </c:pt>
                <c:pt idx="61">
                  <c:v>630</c:v>
                </c:pt>
                <c:pt idx="62">
                  <c:v>40125</c:v>
                </c:pt>
                <c:pt idx="63">
                  <c:v>2148</c:v>
                </c:pt>
                <c:pt idx="64">
                  <c:v>0</c:v>
                </c:pt>
                <c:pt idx="65">
                  <c:v>4197</c:v>
                </c:pt>
                <c:pt idx="66">
                  <c:v>2720</c:v>
                </c:pt>
                <c:pt idx="67">
                  <c:v>5696</c:v>
                </c:pt>
                <c:pt idx="69">
                  <c:v>1.460</c:v>
                </c:pt>
                <c:pt idx="70">
                  <c:v>840</c:v>
                </c:pt>
                <c:pt idx="71">
                  <c:v>0</c:v>
                </c:pt>
                <c:pt idx="72">
                  <c:v>0</c:v>
                </c:pt>
                <c:pt idx="73">
                  <c:v>227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</c:v>
                </c:pt>
                <c:pt idx="80">
                  <c:v>104</c:v>
                </c:pt>
                <c:pt idx="81">
                  <c:v>154</c:v>
                </c:pt>
                <c:pt idx="82">
                  <c:v>359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151</c:v>
                </c:pt>
                <c:pt idx="88">
                  <c:v>0</c:v>
                </c:pt>
                <c:pt idx="89">
                  <c:v>125</c:v>
                </c:pt>
                <c:pt idx="90">
                  <c:v>0</c:v>
                </c:pt>
                <c:pt idx="91">
                  <c:v>1.840</c:v>
                </c:pt>
                <c:pt idx="92">
                  <c:v>141</c:v>
                </c:pt>
                <c:pt idx="93">
                  <c:v>420</c:v>
                </c:pt>
                <c:pt idx="94">
                  <c:v>0</c:v>
                </c:pt>
                <c:pt idx="95">
                  <c:v>2.400</c:v>
                </c:pt>
                <c:pt idx="96">
                  <c:v>1.000</c:v>
                </c:pt>
                <c:pt idx="97">
                  <c:v>859</c:v>
                </c:pt>
                <c:pt idx="98">
                  <c:v>0</c:v>
                </c:pt>
                <c:pt idx="99">
                  <c:v>2.220</c:v>
                </c:pt>
                <c:pt idx="100">
                  <c:v>100</c:v>
                </c:pt>
                <c:pt idx="101">
                  <c:v>1.160</c:v>
                </c:pt>
                <c:pt idx="102">
                  <c:v>960</c:v>
                </c:pt>
                <c:pt idx="103">
                  <c:v>2.460</c:v>
                </c:pt>
                <c:pt idx="104">
                  <c:v>380</c:v>
                </c:pt>
                <c:pt idx="105">
                  <c:v>1.545</c:v>
                </c:pt>
                <c:pt idx="106">
                  <c:v>0</c:v>
                </c:pt>
                <c:pt idx="107">
                  <c:v>0</c:v>
                </c:pt>
                <c:pt idx="108">
                  <c:v>11000</c:v>
                </c:pt>
                <c:pt idx="109">
                  <c:v>39</c:v>
                </c:pt>
                <c:pt idx="110">
                  <c:v>149</c:v>
                </c:pt>
                <c:pt idx="111">
                  <c:v>75</c:v>
                </c:pt>
                <c:pt idx="112">
                  <c:v>1390</c:v>
                </c:pt>
                <c:pt idx="113">
                  <c:v>201</c:v>
                </c:pt>
                <c:pt idx="114">
                  <c:v>0</c:v>
                </c:pt>
                <c:pt idx="115">
                  <c:v>0</c:v>
                </c:pt>
                <c:pt idx="116">
                  <c:v>125</c:v>
                </c:pt>
                <c:pt idx="117">
                  <c:v>2459</c:v>
                </c:pt>
                <c:pt idx="118">
                  <c:v>0</c:v>
                </c:pt>
                <c:pt idx="119">
                  <c:v>0</c:v>
                </c:pt>
                <c:pt idx="120">
                  <c:v>4260,00</c:v>
                </c:pt>
                <c:pt idx="121">
                  <c:v>1331,00</c:v>
                </c:pt>
                <c:pt idx="122">
                  <c:v>424,00</c:v>
                </c:pt>
                <c:pt idx="123">
                  <c:v>4063,00</c:v>
                </c:pt>
                <c:pt idx="124">
                  <c:v>442,00</c:v>
                </c:pt>
                <c:pt idx="125">
                  <c:v>5800</c:v>
                </c:pt>
                <c:pt idx="126">
                  <c:v>532</c:v>
                </c:pt>
                <c:pt idx="127">
                  <c:v>8034</c:v>
                </c:pt>
                <c:pt idx="128">
                  <c:v>620</c:v>
                </c:pt>
                <c:pt idx="129">
                  <c:v>196</c:v>
                </c:pt>
                <c:pt idx="130">
                  <c:v>0</c:v>
                </c:pt>
                <c:pt idx="131">
                  <c:v>2343</c:v>
                </c:pt>
                <c:pt idx="132">
                  <c:v>2848</c:v>
                </c:pt>
                <c:pt idx="133">
                  <c:v>0</c:v>
                </c:pt>
                <c:pt idx="134">
                  <c:v>6641</c:v>
                </c:pt>
                <c:pt idx="135">
                  <c:v>1335</c:v>
                </c:pt>
                <c:pt idx="136">
                  <c:v>846</c:v>
                </c:pt>
                <c:pt idx="137">
                  <c:v>1029</c:v>
                </c:pt>
                <c:pt idx="138">
                  <c:v>609</c:v>
                </c:pt>
                <c:pt idx="139">
                  <c:v>297</c:v>
                </c:pt>
                <c:pt idx="140">
                  <c:v>204</c:v>
                </c:pt>
                <c:pt idx="141">
                  <c:v>1498</c:v>
                </c:pt>
                <c:pt idx="142">
                  <c:v>873</c:v>
                </c:pt>
                <c:pt idx="143">
                  <c:v>8845</c:v>
                </c:pt>
                <c:pt idx="144">
                  <c:v>7147</c:v>
                </c:pt>
                <c:pt idx="145">
                  <c:v>4100</c:v>
                </c:pt>
                <c:pt idx="146">
                  <c:v>6231</c:v>
                </c:pt>
                <c:pt idx="147">
                  <c:v>0</c:v>
                </c:pt>
                <c:pt idx="148">
                  <c:v>0</c:v>
                </c:pt>
                <c:pt idx="149">
                  <c:v>1183</c:v>
                </c:pt>
                <c:pt idx="150">
                  <c:v>0</c:v>
                </c:pt>
                <c:pt idx="151">
                  <c:v>3619</c:v>
                </c:pt>
                <c:pt idx="152">
                  <c:v>8385</c:v>
                </c:pt>
                <c:pt idx="153">
                  <c:v>615</c:v>
                </c:pt>
                <c:pt idx="154">
                  <c:v>4986</c:v>
                </c:pt>
                <c:pt idx="155">
                  <c:v>5428</c:v>
                </c:pt>
                <c:pt idx="156">
                  <c:v>6701</c:v>
                </c:pt>
                <c:pt idx="157">
                  <c:v>3091</c:v>
                </c:pt>
                <c:pt idx="158">
                  <c:v>4260</c:v>
                </c:pt>
                <c:pt idx="159">
                  <c:v>1500</c:v>
                </c:pt>
                <c:pt idx="160">
                  <c:v>0</c:v>
                </c:pt>
                <c:pt idx="161">
                  <c:v>1836</c:v>
                </c:pt>
                <c:pt idx="162">
                  <c:v>607</c:v>
                </c:pt>
                <c:pt idx="163">
                  <c:v>307,00</c:v>
                </c:pt>
                <c:pt idx="164">
                  <c:v>2700,00</c:v>
                </c:pt>
                <c:pt idx="165">
                  <c:v>1495,00</c:v>
                </c:pt>
                <c:pt idx="166">
                  <c:v>1242,00</c:v>
                </c:pt>
                <c:pt idx="167">
                  <c:v>1840</c:v>
                </c:pt>
                <c:pt idx="168">
                  <c:v>132</c:v>
                </c:pt>
                <c:pt idx="169">
                  <c:v>1953</c:v>
                </c:pt>
                <c:pt idx="170">
                  <c:v>1326</c:v>
                </c:pt>
                <c:pt idx="171">
                  <c:v>1365</c:v>
                </c:pt>
                <c:pt idx="172">
                  <c:v>342</c:v>
                </c:pt>
                <c:pt idx="173">
                  <c:v>60</c:v>
                </c:pt>
                <c:pt idx="174">
                  <c:v>1816</c:v>
                </c:pt>
                <c:pt idx="175">
                  <c:v>134</c:v>
                </c:pt>
                <c:pt idx="176">
                  <c:v>897</c:v>
                </c:pt>
                <c:pt idx="177">
                  <c:v>671</c:v>
                </c:pt>
                <c:pt idx="178">
                  <c:v>0</c:v>
                </c:pt>
                <c:pt idx="179">
                  <c:v>3108</c:v>
                </c:pt>
                <c:pt idx="180">
                  <c:v>849</c:v>
                </c:pt>
                <c:pt idx="181">
                  <c:v>844</c:v>
                </c:pt>
                <c:pt idx="182">
                  <c:v>2010,00</c:v>
                </c:pt>
                <c:pt idx="183">
                  <c:v>1125</c:v>
                </c:pt>
                <c:pt idx="184">
                  <c:v>347</c:v>
                </c:pt>
                <c:pt idx="185">
                  <c:v>573</c:v>
                </c:pt>
                <c:pt idx="186">
                  <c:v>332</c:v>
                </c:pt>
                <c:pt idx="187">
                  <c:v>47</c:v>
                </c:pt>
                <c:pt idx="188">
                  <c:v>895</c:v>
                </c:pt>
                <c:pt idx="189">
                  <c:v>0</c:v>
                </c:pt>
                <c:pt idx="190">
                  <c:v>539</c:v>
                </c:pt>
                <c:pt idx="191">
                  <c:v>2348</c:v>
                </c:pt>
                <c:pt idx="192">
                  <c:v>247</c:v>
                </c:pt>
                <c:pt idx="193">
                  <c:v>2924</c:v>
                </c:pt>
                <c:pt idx="194">
                  <c:v>510</c:v>
                </c:pt>
                <c:pt idx="195">
                  <c:v>230</c:v>
                </c:pt>
                <c:pt idx="196">
                  <c:v>2307</c:v>
                </c:pt>
                <c:pt idx="197">
                  <c:v>2811</c:v>
                </c:pt>
                <c:pt idx="198">
                  <c:v>4273</c:v>
                </c:pt>
                <c:pt idx="199">
                  <c:v>2204</c:v>
                </c:pt>
                <c:pt idx="200">
                  <c:v>245</c:v>
                </c:pt>
                <c:pt idx="201">
                  <c:v>724</c:v>
                </c:pt>
                <c:pt idx="202">
                  <c:v>1950</c:v>
                </c:pt>
                <c:pt idx="203">
                  <c:v>3209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813</c:v>
                </c:pt>
                <c:pt idx="209">
                  <c:v>2760</c:v>
                </c:pt>
                <c:pt idx="210">
                  <c:v>553</c:v>
                </c:pt>
                <c:pt idx="211">
                  <c:v>1180</c:v>
                </c:pt>
                <c:pt idx="212">
                  <c:v>124</c:v>
                </c:pt>
                <c:pt idx="213">
                  <c:v>158</c:v>
                </c:pt>
                <c:pt idx="214">
                  <c:v>360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</c:strCache>
            </c:strRef>
          </c:tx>
          <c:invertIfNegative val="0"/>
          <c:val>
            <c:numRef>
              <c:f>Data!$T$202:$T$220</c:f>
              <c:numCache>
                <c:formatCode>General</c:formatCode>
                <c:ptCount val="12"/>
                <c:pt idx="0">
                  <c:v>2204</c:v>
                </c:pt>
                <c:pt idx="1">
                  <c:v>245</c:v>
                </c:pt>
                <c:pt idx="2">
                  <c:v>724</c:v>
                </c:pt>
                <c:pt idx="3">
                  <c:v>1950</c:v>
                </c:pt>
                <c:pt idx="4">
                  <c:v>3209</c:v>
                </c:pt>
                <c:pt idx="5">
                  <c:v>813</c:v>
                </c:pt>
                <c:pt idx="6">
                  <c:v>2760</c:v>
                </c:pt>
                <c:pt idx="7">
                  <c:v>553</c:v>
                </c:pt>
                <c:pt idx="8">
                  <c:v>1180</c:v>
                </c:pt>
                <c:pt idx="9">
                  <c:v>124</c:v>
                </c:pt>
                <c:pt idx="10">
                  <c:v>158</c:v>
                </c:pt>
                <c:pt idx="1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723-4F71-93E9-73CD9A6CCCC5}"/>
            </c:ext>
          </c:extLst>
        </c:ser>
        <c:ser>
          <c:idx val="19"/>
          <c:order val="19"/>
          <c:tx>
            <c:strRef>
              <c:f>Data!$U$3:$U$220</c:f>
              <c:strCache>
                <c:ptCount val="218"/>
                <c:pt idx="0">
                  <c:v> Đơn giá trả công ty Điện lực HBT và hao tổn đường dây </c:v>
                </c:pt>
                <c:pt idx="1">
                  <c:v>(21)</c:v>
                </c:pt>
                <c:pt idx="2">
                  <c:v>4169</c:v>
                </c:pt>
                <c:pt idx="3">
                  <c:v>4169</c:v>
                </c:pt>
                <c:pt idx="4">
                  <c:v>3505</c:v>
                </c:pt>
                <c:pt idx="5">
                  <c:v>4169</c:v>
                </c:pt>
                <c:pt idx="6">
                  <c:v>4169</c:v>
                </c:pt>
                <c:pt idx="7">
                  <c:v>4169</c:v>
                </c:pt>
                <c:pt idx="8">
                  <c:v>4169</c:v>
                </c:pt>
                <c:pt idx="9">
                  <c:v>4169</c:v>
                </c:pt>
                <c:pt idx="10">
                  <c:v>4169</c:v>
                </c:pt>
                <c:pt idx="11">
                  <c:v>4169</c:v>
                </c:pt>
                <c:pt idx="12">
                  <c:v>4169</c:v>
                </c:pt>
                <c:pt idx="13">
                  <c:v>4169</c:v>
                </c:pt>
                <c:pt idx="14">
                  <c:v>4169</c:v>
                </c:pt>
                <c:pt idx="15">
                  <c:v>4169</c:v>
                </c:pt>
                <c:pt idx="16">
                  <c:v>4169</c:v>
                </c:pt>
                <c:pt idx="17">
                  <c:v>4169</c:v>
                </c:pt>
                <c:pt idx="18">
                  <c:v>4169</c:v>
                </c:pt>
                <c:pt idx="19">
                  <c:v>4169</c:v>
                </c:pt>
                <c:pt idx="20">
                  <c:v>4169</c:v>
                </c:pt>
                <c:pt idx="21">
                  <c:v>4169</c:v>
                </c:pt>
                <c:pt idx="22">
                  <c:v>4169</c:v>
                </c:pt>
                <c:pt idx="23">
                  <c:v>4169</c:v>
                </c:pt>
                <c:pt idx="24">
                  <c:v>4169</c:v>
                </c:pt>
                <c:pt idx="25">
                  <c:v>3505</c:v>
                </c:pt>
                <c:pt idx="26">
                  <c:v>3505</c:v>
                </c:pt>
                <c:pt idx="27">
                  <c:v>4169</c:v>
                </c:pt>
                <c:pt idx="28">
                  <c:v>4169</c:v>
                </c:pt>
                <c:pt idx="29">
                  <c:v>4169</c:v>
                </c:pt>
                <c:pt idx="30">
                  <c:v>4169</c:v>
                </c:pt>
                <c:pt idx="31">
                  <c:v>4169</c:v>
                </c:pt>
                <c:pt idx="32">
                  <c:v>4169</c:v>
                </c:pt>
                <c:pt idx="33">
                  <c:v>4169</c:v>
                </c:pt>
                <c:pt idx="34">
                  <c:v>4169</c:v>
                </c:pt>
                <c:pt idx="35">
                  <c:v>4169</c:v>
                </c:pt>
                <c:pt idx="36">
                  <c:v>3505</c:v>
                </c:pt>
                <c:pt idx="37">
                  <c:v>4169</c:v>
                </c:pt>
                <c:pt idx="38">
                  <c:v>3505</c:v>
                </c:pt>
                <c:pt idx="39">
                  <c:v>4169</c:v>
                </c:pt>
                <c:pt idx="40">
                  <c:v>4169</c:v>
                </c:pt>
                <c:pt idx="41">
                  <c:v>4169</c:v>
                </c:pt>
                <c:pt idx="42">
                  <c:v>4169</c:v>
                </c:pt>
                <c:pt idx="43">
                  <c:v>4169</c:v>
                </c:pt>
                <c:pt idx="44">
                  <c:v>4169</c:v>
                </c:pt>
                <c:pt idx="45">
                  <c:v>3505</c:v>
                </c:pt>
                <c:pt idx="46">
                  <c:v>3505</c:v>
                </c:pt>
                <c:pt idx="47">
                  <c:v>3505</c:v>
                </c:pt>
                <c:pt idx="48">
                  <c:v>3505</c:v>
                </c:pt>
                <c:pt idx="49">
                  <c:v>3505</c:v>
                </c:pt>
                <c:pt idx="50">
                  <c:v>3505</c:v>
                </c:pt>
                <c:pt idx="51">
                  <c:v>3505</c:v>
                </c:pt>
                <c:pt idx="52">
                  <c:v>3505</c:v>
                </c:pt>
                <c:pt idx="53">
                  <c:v>3505</c:v>
                </c:pt>
                <c:pt idx="55">
                  <c:v>4169</c:v>
                </c:pt>
                <c:pt idx="56">
                  <c:v>4169</c:v>
                </c:pt>
                <c:pt idx="57">
                  <c:v>3505</c:v>
                </c:pt>
                <c:pt idx="58">
                  <c:v>3505</c:v>
                </c:pt>
                <c:pt idx="59">
                  <c:v>4169</c:v>
                </c:pt>
                <c:pt idx="60">
                  <c:v>4169</c:v>
                </c:pt>
                <c:pt idx="61">
                  <c:v>3505</c:v>
                </c:pt>
                <c:pt idx="62">
                  <c:v>2655</c:v>
                </c:pt>
                <c:pt idx="63">
                  <c:v>3505</c:v>
                </c:pt>
                <c:pt idx="64">
                  <c:v>3505</c:v>
                </c:pt>
                <c:pt idx="65">
                  <c:v>3505</c:v>
                </c:pt>
                <c:pt idx="66">
                  <c:v>3505</c:v>
                </c:pt>
                <c:pt idx="67">
                  <c:v>3505</c:v>
                </c:pt>
                <c:pt idx="68">
                  <c:v>2664</c:v>
                </c:pt>
                <c:pt idx="69">
                  <c:v>3505</c:v>
                </c:pt>
                <c:pt idx="70">
                  <c:v>3505</c:v>
                </c:pt>
                <c:pt idx="71">
                  <c:v>3505</c:v>
                </c:pt>
                <c:pt idx="72">
                  <c:v>3505</c:v>
                </c:pt>
                <c:pt idx="73">
                  <c:v>3505</c:v>
                </c:pt>
                <c:pt idx="74">
                  <c:v>3505</c:v>
                </c:pt>
                <c:pt idx="75">
                  <c:v>3505</c:v>
                </c:pt>
                <c:pt idx="76">
                  <c:v>3505</c:v>
                </c:pt>
                <c:pt idx="77">
                  <c:v>3505</c:v>
                </c:pt>
                <c:pt idx="78">
                  <c:v>3505</c:v>
                </c:pt>
                <c:pt idx="79">
                  <c:v>3505</c:v>
                </c:pt>
                <c:pt idx="80">
                  <c:v>3505</c:v>
                </c:pt>
                <c:pt idx="81">
                  <c:v>3505</c:v>
                </c:pt>
                <c:pt idx="82">
                  <c:v>3505</c:v>
                </c:pt>
                <c:pt idx="83">
                  <c:v>3505</c:v>
                </c:pt>
                <c:pt idx="84">
                  <c:v>3505</c:v>
                </c:pt>
                <c:pt idx="85">
                  <c:v>3505</c:v>
                </c:pt>
                <c:pt idx="86">
                  <c:v>3505</c:v>
                </c:pt>
                <c:pt idx="87">
                  <c:v>3505</c:v>
                </c:pt>
                <c:pt idx="88">
                  <c:v>3505</c:v>
                </c:pt>
                <c:pt idx="89">
                  <c:v>3505</c:v>
                </c:pt>
                <c:pt idx="90">
                  <c:v>3505</c:v>
                </c:pt>
                <c:pt idx="91">
                  <c:v>3505</c:v>
                </c:pt>
                <c:pt idx="92">
                  <c:v>3505</c:v>
                </c:pt>
                <c:pt idx="93">
                  <c:v>3505</c:v>
                </c:pt>
                <c:pt idx="94">
                  <c:v>3505</c:v>
                </c:pt>
                <c:pt idx="95">
                  <c:v>3505</c:v>
                </c:pt>
                <c:pt idx="96">
                  <c:v>3505</c:v>
                </c:pt>
                <c:pt idx="97">
                  <c:v>3505</c:v>
                </c:pt>
                <c:pt idx="98">
                  <c:v>3505</c:v>
                </c:pt>
                <c:pt idx="99">
                  <c:v>3505</c:v>
                </c:pt>
                <c:pt idx="100">
                  <c:v>3505</c:v>
                </c:pt>
                <c:pt idx="101">
                  <c:v>3505</c:v>
                </c:pt>
                <c:pt idx="102">
                  <c:v>3505</c:v>
                </c:pt>
                <c:pt idx="103">
                  <c:v>3505</c:v>
                </c:pt>
                <c:pt idx="104">
                  <c:v>3505</c:v>
                </c:pt>
                <c:pt idx="105">
                  <c:v>3505</c:v>
                </c:pt>
                <c:pt idx="106">
                  <c:v>3505</c:v>
                </c:pt>
                <c:pt idx="107">
                  <c:v>3505</c:v>
                </c:pt>
                <c:pt idx="108">
                  <c:v>3505</c:v>
                </c:pt>
                <c:pt idx="109">
                  <c:v>3505</c:v>
                </c:pt>
                <c:pt idx="110">
                  <c:v>3505</c:v>
                </c:pt>
                <c:pt idx="111">
                  <c:v>3505</c:v>
                </c:pt>
                <c:pt idx="112">
                  <c:v>2655</c:v>
                </c:pt>
                <c:pt idx="113">
                  <c:v>3505</c:v>
                </c:pt>
                <c:pt idx="114">
                  <c:v>3505</c:v>
                </c:pt>
                <c:pt idx="115">
                  <c:v>3505</c:v>
                </c:pt>
                <c:pt idx="116">
                  <c:v>3505</c:v>
                </c:pt>
                <c:pt idx="117">
                  <c:v>3505</c:v>
                </c:pt>
                <c:pt idx="118">
                  <c:v>3505</c:v>
                </c:pt>
                <c:pt idx="119">
                  <c:v>3505</c:v>
                </c:pt>
                <c:pt idx="120">
                  <c:v>3505</c:v>
                </c:pt>
                <c:pt idx="121">
                  <c:v>3505</c:v>
                </c:pt>
                <c:pt idx="122">
                  <c:v>3505</c:v>
                </c:pt>
                <c:pt idx="123">
                  <c:v>3505</c:v>
                </c:pt>
                <c:pt idx="124">
                  <c:v>3505</c:v>
                </c:pt>
                <c:pt idx="125">
                  <c:v>3505</c:v>
                </c:pt>
                <c:pt idx="126">
                  <c:v>3505</c:v>
                </c:pt>
                <c:pt idx="127">
                  <c:v>3505</c:v>
                </c:pt>
                <c:pt idx="128">
                  <c:v>3505</c:v>
                </c:pt>
                <c:pt idx="129">
                  <c:v>3505</c:v>
                </c:pt>
                <c:pt idx="130">
                  <c:v>3505</c:v>
                </c:pt>
                <c:pt idx="131">
                  <c:v>3505</c:v>
                </c:pt>
                <c:pt idx="132">
                  <c:v>3505</c:v>
                </c:pt>
                <c:pt idx="133">
                  <c:v>3505</c:v>
                </c:pt>
                <c:pt idx="134">
                  <c:v>3505</c:v>
                </c:pt>
                <c:pt idx="135">
                  <c:v>3505</c:v>
                </c:pt>
                <c:pt idx="136">
                  <c:v>3505</c:v>
                </c:pt>
                <c:pt idx="137">
                  <c:v>3505</c:v>
                </c:pt>
                <c:pt idx="138">
                  <c:v>3505</c:v>
                </c:pt>
                <c:pt idx="139">
                  <c:v>3505</c:v>
                </c:pt>
                <c:pt idx="140">
                  <c:v>3505</c:v>
                </c:pt>
                <c:pt idx="141">
                  <c:v>4169</c:v>
                </c:pt>
                <c:pt idx="142">
                  <c:v>4169</c:v>
                </c:pt>
                <c:pt idx="143">
                  <c:v>4169</c:v>
                </c:pt>
                <c:pt idx="144">
                  <c:v>4169</c:v>
                </c:pt>
                <c:pt idx="145">
                  <c:v>4169</c:v>
                </c:pt>
                <c:pt idx="146">
                  <c:v>4169</c:v>
                </c:pt>
                <c:pt idx="147">
                  <c:v>4169</c:v>
                </c:pt>
                <c:pt idx="148">
                  <c:v>4169</c:v>
                </c:pt>
                <c:pt idx="149">
                  <c:v>4169</c:v>
                </c:pt>
                <c:pt idx="150">
                  <c:v>4169</c:v>
                </c:pt>
                <c:pt idx="151">
                  <c:v>4169</c:v>
                </c:pt>
                <c:pt idx="152">
                  <c:v>4169</c:v>
                </c:pt>
                <c:pt idx="153">
                  <c:v>4169</c:v>
                </c:pt>
                <c:pt idx="154">
                  <c:v>4169</c:v>
                </c:pt>
                <c:pt idx="155">
                  <c:v>4169</c:v>
                </c:pt>
                <c:pt idx="156">
                  <c:v>4169</c:v>
                </c:pt>
                <c:pt idx="157">
                  <c:v>4169</c:v>
                </c:pt>
                <c:pt idx="158">
                  <c:v>4169</c:v>
                </c:pt>
                <c:pt idx="159">
                  <c:v>4169</c:v>
                </c:pt>
                <c:pt idx="160">
                  <c:v>4169</c:v>
                </c:pt>
                <c:pt idx="161">
                  <c:v>4169</c:v>
                </c:pt>
                <c:pt idx="162">
                  <c:v>3505</c:v>
                </c:pt>
                <c:pt idx="163">
                  <c:v>3505</c:v>
                </c:pt>
                <c:pt idx="164">
                  <c:v>3505</c:v>
                </c:pt>
                <c:pt idx="165">
                  <c:v>3505</c:v>
                </c:pt>
                <c:pt idx="166">
                  <c:v>3505</c:v>
                </c:pt>
                <c:pt idx="167">
                  <c:v>4169</c:v>
                </c:pt>
                <c:pt idx="168">
                  <c:v>4169</c:v>
                </c:pt>
                <c:pt idx="169">
                  <c:v>4169</c:v>
                </c:pt>
                <c:pt idx="170">
                  <c:v>4169</c:v>
                </c:pt>
                <c:pt idx="171">
                  <c:v>4169</c:v>
                </c:pt>
                <c:pt idx="172">
                  <c:v>4169</c:v>
                </c:pt>
                <c:pt idx="173">
                  <c:v>4169</c:v>
                </c:pt>
                <c:pt idx="174">
                  <c:v>4169</c:v>
                </c:pt>
                <c:pt idx="175">
                  <c:v>4169</c:v>
                </c:pt>
                <c:pt idx="176">
                  <c:v>4169</c:v>
                </c:pt>
                <c:pt idx="177">
                  <c:v>4169</c:v>
                </c:pt>
                <c:pt idx="178">
                  <c:v>4169</c:v>
                </c:pt>
                <c:pt idx="179">
                  <c:v>3505</c:v>
                </c:pt>
                <c:pt idx="180">
                  <c:v>3505</c:v>
                </c:pt>
                <c:pt idx="181">
                  <c:v>4169</c:v>
                </c:pt>
                <c:pt idx="182">
                  <c:v>4169</c:v>
                </c:pt>
                <c:pt idx="183">
                  <c:v>4169</c:v>
                </c:pt>
                <c:pt idx="184">
                  <c:v>4169</c:v>
                </c:pt>
                <c:pt idx="185">
                  <c:v>4169</c:v>
                </c:pt>
                <c:pt idx="186">
                  <c:v>4169</c:v>
                </c:pt>
                <c:pt idx="187">
                  <c:v>4169</c:v>
                </c:pt>
                <c:pt idx="188">
                  <c:v>4169</c:v>
                </c:pt>
                <c:pt idx="189">
                  <c:v>4169</c:v>
                </c:pt>
                <c:pt idx="190">
                  <c:v>4169</c:v>
                </c:pt>
                <c:pt idx="191">
                  <c:v>4169</c:v>
                </c:pt>
                <c:pt idx="192">
                  <c:v>4169</c:v>
                </c:pt>
                <c:pt idx="193">
                  <c:v>4169</c:v>
                </c:pt>
                <c:pt idx="194">
                  <c:v>4169</c:v>
                </c:pt>
                <c:pt idx="195">
                  <c:v>4169</c:v>
                </c:pt>
                <c:pt idx="196">
                  <c:v>4169</c:v>
                </c:pt>
                <c:pt idx="197">
                  <c:v>4169</c:v>
                </c:pt>
                <c:pt idx="198">
                  <c:v>4169</c:v>
                </c:pt>
                <c:pt idx="199">
                  <c:v>4169</c:v>
                </c:pt>
                <c:pt idx="200">
                  <c:v>4169</c:v>
                </c:pt>
                <c:pt idx="201">
                  <c:v>4169</c:v>
                </c:pt>
                <c:pt idx="202">
                  <c:v>4169</c:v>
                </c:pt>
                <c:pt idx="203">
                  <c:v>4169</c:v>
                </c:pt>
                <c:pt idx="204">
                  <c:v>4169</c:v>
                </c:pt>
                <c:pt idx="205">
                  <c:v>4169</c:v>
                </c:pt>
                <c:pt idx="206">
                  <c:v>4169</c:v>
                </c:pt>
                <c:pt idx="207">
                  <c:v>4169</c:v>
                </c:pt>
                <c:pt idx="208">
                  <c:v>4169</c:v>
                </c:pt>
                <c:pt idx="209">
                  <c:v>4169</c:v>
                </c:pt>
                <c:pt idx="210">
                  <c:v>4169</c:v>
                </c:pt>
                <c:pt idx="211">
                  <c:v>4169</c:v>
                </c:pt>
                <c:pt idx="212">
                  <c:v>4169</c:v>
                </c:pt>
                <c:pt idx="213">
                  <c:v>4169</c:v>
                </c:pt>
                <c:pt idx="214">
                  <c:v>4169</c:v>
                </c:pt>
                <c:pt idx="215">
                  <c:v>4169</c:v>
                </c:pt>
                <c:pt idx="216">
                  <c:v>4169</c:v>
                </c:pt>
                <c:pt idx="217">
                  <c:v>4169</c:v>
                </c:pt>
              </c:strCache>
            </c:strRef>
          </c:tx>
          <c:invertIfNegative val="0"/>
          <c:val>
            <c:numRef>
              <c:f>Data!$U$202:$U$220</c:f>
              <c:numCache>
                <c:formatCode>General</c:formatCode>
                <c:ptCount val="12"/>
                <c:pt idx="0">
                  <c:v>4169</c:v>
                </c:pt>
                <c:pt idx="1">
                  <c:v>4169</c:v>
                </c:pt>
                <c:pt idx="2">
                  <c:v>4169</c:v>
                </c:pt>
                <c:pt idx="3">
                  <c:v>4169</c:v>
                </c:pt>
                <c:pt idx="4">
                  <c:v>4169</c:v>
                </c:pt>
                <c:pt idx="5">
                  <c:v>4169</c:v>
                </c:pt>
                <c:pt idx="6">
                  <c:v>4169</c:v>
                </c:pt>
                <c:pt idx="7">
                  <c:v>4169</c:v>
                </c:pt>
                <c:pt idx="8">
                  <c:v>4169</c:v>
                </c:pt>
                <c:pt idx="9">
                  <c:v>4169</c:v>
                </c:pt>
                <c:pt idx="10">
                  <c:v>4169</c:v>
                </c:pt>
                <c:pt idx="11">
                  <c:v>4169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723-4F71-93E9-73CD9A6CCCC5}"/>
            </c:ext>
          </c:extLst>
        </c:ser>
        <c:ser>
          <c:idx val="20"/>
          <c:order val="20"/>
          <c:tx>
            <c:strRef>
              <c:f>Data!$V$3:$V$220</c:f>
              <c:strCache>
                <c:ptCount val="218"/>
                <c:pt idx="0">
                  <c:v>Thành tiền</c:v>
                </c:pt>
                <c:pt idx="1">
                  <c:v>(22)</c:v>
                </c:pt>
                <c:pt idx="2">
                  <c:v> -   </c:v>
                </c:pt>
                <c:pt idx="3">
                  <c:v> 108.394 </c:v>
                </c:pt>
                <c:pt idx="4">
                  <c:v> -   </c:v>
                </c:pt>
                <c:pt idx="5">
                  <c:v> 13.795.221 </c:v>
                </c:pt>
                <c:pt idx="6">
                  <c:v> 15.029.245 </c:v>
                </c:pt>
                <c:pt idx="7">
                  <c:v> 7.562.566 </c:v>
                </c:pt>
                <c:pt idx="8">
                  <c:v> 12.273.536 </c:v>
                </c:pt>
                <c:pt idx="9">
                  <c:v> 3.522.805 </c:v>
                </c:pt>
                <c:pt idx="10">
                  <c:v> 15.971.439 </c:v>
                </c:pt>
                <c:pt idx="11">
                  <c:v> 12.077.593 </c:v>
                </c:pt>
                <c:pt idx="12">
                  <c:v> 21.157.675 </c:v>
                </c:pt>
                <c:pt idx="13">
                  <c:v> 6.716.259 </c:v>
                </c:pt>
                <c:pt idx="14">
                  <c:v> 17.393.068 </c:v>
                </c:pt>
                <c:pt idx="15">
                  <c:v> 10.068.135 </c:v>
                </c:pt>
                <c:pt idx="16">
                  <c:v> 22.229.108 </c:v>
                </c:pt>
                <c:pt idx="17">
                  <c:v> 13.340.800 </c:v>
                </c:pt>
                <c:pt idx="18">
                  <c:v> 3.960.550 </c:v>
                </c:pt>
                <c:pt idx="19">
                  <c:v> 871.321 </c:v>
                </c:pt>
                <c:pt idx="20">
                  <c:v> 13.782.714 </c:v>
                </c:pt>
                <c:pt idx="21">
                  <c:v> 51.370.418 </c:v>
                </c:pt>
                <c:pt idx="22">
                  <c:v> 23.054.570 </c:v>
                </c:pt>
                <c:pt idx="23">
                  <c:v> 18.502.022 </c:v>
                </c:pt>
                <c:pt idx="24">
                  <c:v> 11.744.073 </c:v>
                </c:pt>
                <c:pt idx="25">
                  <c:v> 24.394.800 </c:v>
                </c:pt>
                <c:pt idx="26">
                  <c:v> 13.231.375 </c:v>
                </c:pt>
                <c:pt idx="27">
                  <c:v> 1.463.319 </c:v>
                </c:pt>
                <c:pt idx="28">
                  <c:v> 20.565.677 </c:v>
                </c:pt>
                <c:pt idx="29">
                  <c:v> 5.690.685 </c:v>
                </c:pt>
                <c:pt idx="30">
                  <c:v> 4.485.844 </c:v>
                </c:pt>
                <c:pt idx="31">
                  <c:v> 2.097.007 </c:v>
                </c:pt>
                <c:pt idx="32">
                  <c:v> 9.580.362 </c:v>
                </c:pt>
                <c:pt idx="33">
                  <c:v> 10.447.514 </c:v>
                </c:pt>
                <c:pt idx="34">
                  <c:v> 12.757.140 </c:v>
                </c:pt>
                <c:pt idx="35">
                  <c:v> -   </c:v>
                </c:pt>
                <c:pt idx="36">
                  <c:v> -   </c:v>
                </c:pt>
                <c:pt idx="37">
                  <c:v> 12.048.410 </c:v>
                </c:pt>
                <c:pt idx="38">
                  <c:v> 10.129.450 </c:v>
                </c:pt>
                <c:pt idx="39">
                  <c:v> 2.322.133 </c:v>
                </c:pt>
                <c:pt idx="40">
                  <c:v> 704.561 </c:v>
                </c:pt>
                <c:pt idx="41">
                  <c:v> 829.631 </c:v>
                </c:pt>
                <c:pt idx="42">
                  <c:v> 792.110 </c:v>
                </c:pt>
                <c:pt idx="43">
                  <c:v> 496.111 </c:v>
                </c:pt>
                <c:pt idx="44">
                  <c:v> 1.200.672 </c:v>
                </c:pt>
                <c:pt idx="45">
                  <c:v> 269.885 </c:v>
                </c:pt>
                <c:pt idx="46">
                  <c:v> 595.850 </c:v>
                </c:pt>
                <c:pt idx="47">
                  <c:v> 2.032.900 </c:v>
                </c:pt>
                <c:pt idx="48">
                  <c:v> 12.754.695 </c:v>
                </c:pt>
                <c:pt idx="49">
                  <c:v> 37.854.000 </c:v>
                </c:pt>
                <c:pt idx="50">
                  <c:v> 9.438.965 </c:v>
                </c:pt>
                <c:pt idx="51">
                  <c:v> 3.350.780 </c:v>
                </c:pt>
                <c:pt idx="52">
                  <c:v> 25.404.240 </c:v>
                </c:pt>
                <c:pt idx="53">
                  <c:v> 907.795 </c:v>
                </c:pt>
                <c:pt idx="54">
                  <c:v> -   </c:v>
                </c:pt>
                <c:pt idx="55">
                  <c:v> 2.080.331 </c:v>
                </c:pt>
                <c:pt idx="56">
                  <c:v> 1.038.081 </c:v>
                </c:pt>
                <c:pt idx="57">
                  <c:v> 16.350.825 </c:v>
                </c:pt>
                <c:pt idx="58">
                  <c:v> 4.633.610 </c:v>
                </c:pt>
                <c:pt idx="59">
                  <c:v> 7.058.117 </c:v>
                </c:pt>
                <c:pt idx="60">
                  <c:v> 3.230.975 </c:v>
                </c:pt>
                <c:pt idx="61">
                  <c:v> 2.208.150 </c:v>
                </c:pt>
                <c:pt idx="62">
                  <c:v> 106.531.875 </c:v>
                </c:pt>
                <c:pt idx="63">
                  <c:v> 7.528.740 </c:v>
                </c:pt>
                <c:pt idx="64">
                  <c:v> -   </c:v>
                </c:pt>
                <c:pt idx="65">
                  <c:v> 14.710.485 </c:v>
                </c:pt>
                <c:pt idx="66">
                  <c:v> 9.533.600 </c:v>
                </c:pt>
                <c:pt idx="67">
                  <c:v> 19.964.480 </c:v>
                </c:pt>
                <c:pt idx="69">
                  <c:v> 5.117.300 </c:v>
                </c:pt>
                <c:pt idx="70">
                  <c:v> 2.944.200 </c:v>
                </c:pt>
                <c:pt idx="71">
                  <c:v> -   </c:v>
                </c:pt>
                <c:pt idx="72">
                  <c:v> -   </c:v>
                </c:pt>
                <c:pt idx="73">
                  <c:v> 795.635 </c:v>
                </c:pt>
                <c:pt idx="74">
                  <c:v> -   </c:v>
                </c:pt>
                <c:pt idx="75">
                  <c:v> -   </c:v>
                </c:pt>
                <c:pt idx="76">
                  <c:v> -   </c:v>
                </c:pt>
                <c:pt idx="77">
                  <c:v> -   </c:v>
                </c:pt>
                <c:pt idx="78">
                  <c:v> -   </c:v>
                </c:pt>
                <c:pt idx="79">
                  <c:v> 332.975 </c:v>
                </c:pt>
                <c:pt idx="80">
                  <c:v> 364.520 </c:v>
                </c:pt>
                <c:pt idx="81">
                  <c:v> 539.770 </c:v>
                </c:pt>
                <c:pt idx="82">
                  <c:v> 1.258.295 </c:v>
                </c:pt>
                <c:pt idx="83">
                  <c:v> -   </c:v>
                </c:pt>
                <c:pt idx="84">
                  <c:v> -   </c:v>
                </c:pt>
                <c:pt idx="85">
                  <c:v> -   </c:v>
                </c:pt>
                <c:pt idx="86">
                  <c:v> -   </c:v>
                </c:pt>
                <c:pt idx="87">
                  <c:v> 529.255 </c:v>
                </c:pt>
                <c:pt idx="88">
                  <c:v> -   </c:v>
                </c:pt>
                <c:pt idx="89">
                  <c:v> 438.125 </c:v>
                </c:pt>
                <c:pt idx="90">
                  <c:v> -   </c:v>
                </c:pt>
                <c:pt idx="91">
                  <c:v> 6.449.200 </c:v>
                </c:pt>
                <c:pt idx="92">
                  <c:v> 494.205 </c:v>
                </c:pt>
                <c:pt idx="93">
                  <c:v> 1.472.100 </c:v>
                </c:pt>
                <c:pt idx="94">
                  <c:v> -   </c:v>
                </c:pt>
                <c:pt idx="95">
                  <c:v> 8.412.000 </c:v>
                </c:pt>
                <c:pt idx="96">
                  <c:v> 3.505.000 </c:v>
                </c:pt>
                <c:pt idx="97">
                  <c:v> 3.010.795 </c:v>
                </c:pt>
                <c:pt idx="98">
                  <c:v> -   </c:v>
                </c:pt>
                <c:pt idx="99">
                  <c:v> 7.781.100 </c:v>
                </c:pt>
                <c:pt idx="100">
                  <c:v> 350.500 </c:v>
                </c:pt>
                <c:pt idx="101">
                  <c:v> 4.065.800 </c:v>
                </c:pt>
                <c:pt idx="102">
                  <c:v> 3.364.800 </c:v>
                </c:pt>
                <c:pt idx="103">
                  <c:v> 8.622.300 </c:v>
                </c:pt>
                <c:pt idx="104">
                  <c:v> 1.331.900 </c:v>
                </c:pt>
                <c:pt idx="105">
                  <c:v> 5.415.225 </c:v>
                </c:pt>
                <c:pt idx="106">
                  <c:v> -   </c:v>
                </c:pt>
                <c:pt idx="107">
                  <c:v> -   </c:v>
                </c:pt>
                <c:pt idx="108">
                  <c:v> 38.555.000 </c:v>
                </c:pt>
                <c:pt idx="109">
                  <c:v> 136.695 </c:v>
                </c:pt>
                <c:pt idx="110">
                  <c:v> 522.245 </c:v>
                </c:pt>
                <c:pt idx="111">
                  <c:v> 262.875 </c:v>
                </c:pt>
                <c:pt idx="112">
                  <c:v> 3.690.450 </c:v>
                </c:pt>
                <c:pt idx="113">
                  <c:v> 704.505 </c:v>
                </c:pt>
                <c:pt idx="114">
                  <c:v> -   </c:v>
                </c:pt>
                <c:pt idx="115">
                  <c:v> -   </c:v>
                </c:pt>
                <c:pt idx="116">
                  <c:v> 438.125 </c:v>
                </c:pt>
                <c:pt idx="117">
                  <c:v> 8.618.795 </c:v>
                </c:pt>
                <c:pt idx="118">
                  <c:v> -   </c:v>
                </c:pt>
                <c:pt idx="119">
                  <c:v> -   </c:v>
                </c:pt>
                <c:pt idx="120">
                  <c:v> 14.931.300 </c:v>
                </c:pt>
                <c:pt idx="121">
                  <c:v> 4.665.155 </c:v>
                </c:pt>
                <c:pt idx="122">
                  <c:v> 1.486.120 </c:v>
                </c:pt>
                <c:pt idx="123">
                  <c:v> 14.240.815 </c:v>
                </c:pt>
                <c:pt idx="124">
                  <c:v> 1.549.210 </c:v>
                </c:pt>
                <c:pt idx="125">
                  <c:v> 20.329.000 </c:v>
                </c:pt>
                <c:pt idx="126">
                  <c:v> 1.864.660 </c:v>
                </c:pt>
                <c:pt idx="127">
                  <c:v> 28.159.170 </c:v>
                </c:pt>
                <c:pt idx="128">
                  <c:v> 2.173.100 </c:v>
                </c:pt>
                <c:pt idx="129">
                  <c:v> 686.980 </c:v>
                </c:pt>
                <c:pt idx="130">
                  <c:v> -   </c:v>
                </c:pt>
                <c:pt idx="131">
                  <c:v> 8.212.215 </c:v>
                </c:pt>
                <c:pt idx="132">
                  <c:v> 9.982.240 </c:v>
                </c:pt>
                <c:pt idx="133">
                  <c:v> -   </c:v>
                </c:pt>
                <c:pt idx="134">
                  <c:v> 23.276.705 </c:v>
                </c:pt>
                <c:pt idx="135">
                  <c:v> 4.679.175 </c:v>
                </c:pt>
                <c:pt idx="136">
                  <c:v> 2.965.230 </c:v>
                </c:pt>
                <c:pt idx="137">
                  <c:v> 3.606.645 </c:v>
                </c:pt>
                <c:pt idx="138">
                  <c:v> 2.134.545 </c:v>
                </c:pt>
                <c:pt idx="139">
                  <c:v> 1.040.985 </c:v>
                </c:pt>
                <c:pt idx="140">
                  <c:v> 715.020 </c:v>
                </c:pt>
                <c:pt idx="141">
                  <c:v> 6.245.162 </c:v>
                </c:pt>
                <c:pt idx="142">
                  <c:v> 3.639.537 </c:v>
                </c:pt>
                <c:pt idx="143">
                  <c:v> 36.874.805 </c:v>
                </c:pt>
                <c:pt idx="144">
                  <c:v> 29.795.843 </c:v>
                </c:pt>
                <c:pt idx="145">
                  <c:v> 17.092.900 </c:v>
                </c:pt>
                <c:pt idx="146">
                  <c:v> 25.977.039 </c:v>
                </c:pt>
                <c:pt idx="147">
                  <c:v> -   </c:v>
                </c:pt>
                <c:pt idx="148">
                  <c:v> -   </c:v>
                </c:pt>
                <c:pt idx="149">
                  <c:v> 4.931.927 </c:v>
                </c:pt>
                <c:pt idx="150">
                  <c:v> -   </c:v>
                </c:pt>
                <c:pt idx="151">
                  <c:v> 15.087.611 </c:v>
                </c:pt>
                <c:pt idx="152">
                  <c:v> 34.957.065 </c:v>
                </c:pt>
                <c:pt idx="153">
                  <c:v> 2.563.935 </c:v>
                </c:pt>
                <c:pt idx="154">
                  <c:v> 20.786.634 </c:v>
                </c:pt>
                <c:pt idx="155">
                  <c:v> 22.629.332 </c:v>
                </c:pt>
                <c:pt idx="156">
                  <c:v> 27.936.469 </c:v>
                </c:pt>
                <c:pt idx="157">
                  <c:v> 12.886.379 </c:v>
                </c:pt>
                <c:pt idx="158">
                  <c:v> 17.759.940 </c:v>
                </c:pt>
                <c:pt idx="159">
                  <c:v> 6.253.500 </c:v>
                </c:pt>
                <c:pt idx="160">
                  <c:v> -   </c:v>
                </c:pt>
                <c:pt idx="161">
                  <c:v> 7.654.284 </c:v>
                </c:pt>
                <c:pt idx="162">
                  <c:v> 2.127.535 </c:v>
                </c:pt>
                <c:pt idx="163">
                  <c:v> 1.076.035 </c:v>
                </c:pt>
                <c:pt idx="164">
                  <c:v> 9.463.500 </c:v>
                </c:pt>
                <c:pt idx="165">
                  <c:v> 5.239.975 </c:v>
                </c:pt>
                <c:pt idx="166">
                  <c:v> 4.353.210 </c:v>
                </c:pt>
                <c:pt idx="167">
                  <c:v> 7.670.960 </c:v>
                </c:pt>
                <c:pt idx="168">
                  <c:v> 550.308 </c:v>
                </c:pt>
                <c:pt idx="169">
                  <c:v> 8.142.057 </c:v>
                </c:pt>
                <c:pt idx="170">
                  <c:v> 5.528.094 </c:v>
                </c:pt>
                <c:pt idx="171">
                  <c:v> 5.690.685 </c:v>
                </c:pt>
                <c:pt idx="172">
                  <c:v> 1.425.798 </c:v>
                </c:pt>
                <c:pt idx="173">
                  <c:v> 250.140 </c:v>
                </c:pt>
                <c:pt idx="174">
                  <c:v> 7.570.904 </c:v>
                </c:pt>
                <c:pt idx="175">
                  <c:v> 558.646 </c:v>
                </c:pt>
                <c:pt idx="176">
                  <c:v> 3.739.593 </c:v>
                </c:pt>
                <c:pt idx="177">
                  <c:v> 2.797.399 </c:v>
                </c:pt>
                <c:pt idx="178">
                  <c:v> -   </c:v>
                </c:pt>
                <c:pt idx="179">
                  <c:v> 10.893.540 </c:v>
                </c:pt>
                <c:pt idx="180">
                  <c:v> 2.975.745 </c:v>
                </c:pt>
                <c:pt idx="181">
                  <c:v> 3.518.636 </c:v>
                </c:pt>
                <c:pt idx="182">
                  <c:v> 8.379.690 </c:v>
                </c:pt>
                <c:pt idx="183">
                  <c:v> 4.690.125 </c:v>
                </c:pt>
                <c:pt idx="184">
                  <c:v> 1.446.643 </c:v>
                </c:pt>
                <c:pt idx="185">
                  <c:v> 2.388.837 </c:v>
                </c:pt>
                <c:pt idx="186">
                  <c:v> 1.384.108 </c:v>
                </c:pt>
                <c:pt idx="187">
                  <c:v> 195.943 </c:v>
                </c:pt>
                <c:pt idx="188">
                  <c:v> 3.731.255 </c:v>
                </c:pt>
                <c:pt idx="189">
                  <c:v> -   </c:v>
                </c:pt>
                <c:pt idx="190">
                  <c:v> 2.247.091 </c:v>
                </c:pt>
                <c:pt idx="191">
                  <c:v> 9.788.812 </c:v>
                </c:pt>
                <c:pt idx="192">
                  <c:v> 1.029.743 </c:v>
                </c:pt>
                <c:pt idx="193">
                  <c:v> 12.190.156 </c:v>
                </c:pt>
                <c:pt idx="194">
                  <c:v> 2.126.190 </c:v>
                </c:pt>
                <c:pt idx="195">
                  <c:v> 958.870 </c:v>
                </c:pt>
                <c:pt idx="196">
                  <c:v> 9.617.883 </c:v>
                </c:pt>
                <c:pt idx="197">
                  <c:v> 11.719.059 </c:v>
                </c:pt>
                <c:pt idx="198">
                  <c:v> 17.814.137 </c:v>
                </c:pt>
                <c:pt idx="199">
                  <c:v> 9.188.476 </c:v>
                </c:pt>
                <c:pt idx="200">
                  <c:v> 1.021.405 </c:v>
                </c:pt>
                <c:pt idx="201">
                  <c:v> 3.018.356 </c:v>
                </c:pt>
                <c:pt idx="202">
                  <c:v> 8.129.550 </c:v>
                </c:pt>
                <c:pt idx="203">
                  <c:v> 13.378.321 </c:v>
                </c:pt>
                <c:pt idx="204">
                  <c:v> -   </c:v>
                </c:pt>
                <c:pt idx="205">
                  <c:v> -   </c:v>
                </c:pt>
                <c:pt idx="206">
                  <c:v> -   </c:v>
                </c:pt>
                <c:pt idx="207">
                  <c:v> -   </c:v>
                </c:pt>
                <c:pt idx="208">
                  <c:v> 3.389.397 </c:v>
                </c:pt>
                <c:pt idx="209">
                  <c:v> 11.506.440 </c:v>
                </c:pt>
                <c:pt idx="210">
                  <c:v> 2.305.457 </c:v>
                </c:pt>
                <c:pt idx="211">
                  <c:v> 4.919.420 </c:v>
                </c:pt>
                <c:pt idx="212">
                  <c:v> 516.956 </c:v>
                </c:pt>
                <c:pt idx="213">
                  <c:v> 658.702 </c:v>
                </c:pt>
                <c:pt idx="214">
                  <c:v> 1.500.840 </c:v>
                </c:pt>
                <c:pt idx="215">
                  <c:v> -   </c:v>
                </c:pt>
                <c:pt idx="216">
                  <c:v> -   </c:v>
                </c:pt>
                <c:pt idx="217">
                  <c:v> -   </c:v>
                </c:pt>
              </c:strCache>
            </c:strRef>
          </c:tx>
          <c:invertIfNegative val="0"/>
          <c:val>
            <c:numRef>
              <c:f>Data!$V$202:$V$220</c:f>
              <c:numCache>
                <c:formatCode>_(* #,##0_);_(* \(#,##0\);_(* "-"??_);_(@_)</c:formatCode>
                <c:ptCount val="12"/>
                <c:pt idx="0">
                  <c:v>9188476</c:v>
                </c:pt>
                <c:pt idx="1">
                  <c:v>1021405</c:v>
                </c:pt>
                <c:pt idx="2">
                  <c:v>3018356</c:v>
                </c:pt>
                <c:pt idx="3">
                  <c:v>8129550</c:v>
                </c:pt>
                <c:pt idx="4">
                  <c:v>13378321</c:v>
                </c:pt>
                <c:pt idx="5">
                  <c:v>3389397</c:v>
                </c:pt>
                <c:pt idx="6">
                  <c:v>11506440</c:v>
                </c:pt>
                <c:pt idx="7">
                  <c:v>2305457</c:v>
                </c:pt>
                <c:pt idx="8">
                  <c:v>4919420</c:v>
                </c:pt>
                <c:pt idx="9">
                  <c:v>516956</c:v>
                </c:pt>
                <c:pt idx="10">
                  <c:v>658702</c:v>
                </c:pt>
                <c:pt idx="11">
                  <c:v>1500840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23-4F71-93E9-73CD9A6CCCC5}"/>
            </c:ext>
          </c:extLst>
        </c:ser>
        <c:ser>
          <c:idx val="21"/>
          <c:order val="21"/>
          <c:tx>
            <c:strRef>
              <c:f>Data!$W$3:$W$220</c:f>
              <c:strCache>
                <c:ptCount val="218"/>
                <c:pt idx="0">
                  <c:v>Người thực hiện</c:v>
                </c:pt>
                <c:pt idx="1">
                  <c:v>(23)</c:v>
                </c:pt>
                <c:pt idx="2">
                  <c:v>Sơn</c:v>
                </c:pt>
                <c:pt idx="3">
                  <c:v>Sơn</c:v>
                </c:pt>
                <c:pt idx="4">
                  <c:v>Đông</c:v>
                </c:pt>
                <c:pt idx="5">
                  <c:v>Sơn</c:v>
                </c:pt>
                <c:pt idx="6">
                  <c:v>Sơn</c:v>
                </c:pt>
                <c:pt idx="7">
                  <c:v>Sơn</c:v>
                </c:pt>
                <c:pt idx="8">
                  <c:v>Đông</c:v>
                </c:pt>
                <c:pt idx="9">
                  <c:v>Đông</c:v>
                </c:pt>
                <c:pt idx="10">
                  <c:v>Đông</c:v>
                </c:pt>
                <c:pt idx="11">
                  <c:v>Đông</c:v>
                </c:pt>
                <c:pt idx="12">
                  <c:v>Đông</c:v>
                </c:pt>
                <c:pt idx="13">
                  <c:v>Đông</c:v>
                </c:pt>
                <c:pt idx="14">
                  <c:v>Đông</c:v>
                </c:pt>
                <c:pt idx="15">
                  <c:v>Đông</c:v>
                </c:pt>
                <c:pt idx="16">
                  <c:v>Đông</c:v>
                </c:pt>
                <c:pt idx="17">
                  <c:v>Đông</c:v>
                </c:pt>
                <c:pt idx="18">
                  <c:v>Đông</c:v>
                </c:pt>
                <c:pt idx="19">
                  <c:v>Đông</c:v>
                </c:pt>
                <c:pt idx="20">
                  <c:v>Đông</c:v>
                </c:pt>
                <c:pt idx="21">
                  <c:v>Đông</c:v>
                </c:pt>
                <c:pt idx="22">
                  <c:v>Sơn</c:v>
                </c:pt>
                <c:pt idx="23">
                  <c:v>Biên</c:v>
                </c:pt>
                <c:pt idx="24">
                  <c:v>Sơn</c:v>
                </c:pt>
                <c:pt idx="25">
                  <c:v>Sơn</c:v>
                </c:pt>
                <c:pt idx="26">
                  <c:v>Sơn</c:v>
                </c:pt>
                <c:pt idx="27">
                  <c:v>Sơn</c:v>
                </c:pt>
                <c:pt idx="28">
                  <c:v>Biên</c:v>
                </c:pt>
                <c:pt idx="29">
                  <c:v>Biên</c:v>
                </c:pt>
                <c:pt idx="30">
                  <c:v>Biên</c:v>
                </c:pt>
                <c:pt idx="31">
                  <c:v>Biên</c:v>
                </c:pt>
                <c:pt idx="32">
                  <c:v>Biên</c:v>
                </c:pt>
                <c:pt idx="33">
                  <c:v>Biên</c:v>
                </c:pt>
                <c:pt idx="34">
                  <c:v>Biên</c:v>
                </c:pt>
                <c:pt idx="35">
                  <c:v>Đông</c:v>
                </c:pt>
                <c:pt idx="36">
                  <c:v>Sơn</c:v>
                </c:pt>
                <c:pt idx="37">
                  <c:v>Đông</c:v>
                </c:pt>
                <c:pt idx="38">
                  <c:v>Đông</c:v>
                </c:pt>
                <c:pt idx="39">
                  <c:v>Đông</c:v>
                </c:pt>
                <c:pt idx="40">
                  <c:v>Hoàng</c:v>
                </c:pt>
                <c:pt idx="41">
                  <c:v>Hoàng</c:v>
                </c:pt>
                <c:pt idx="42">
                  <c:v>Hoàng</c:v>
                </c:pt>
                <c:pt idx="43">
                  <c:v>Hoàng</c:v>
                </c:pt>
                <c:pt idx="44">
                  <c:v>Hoàng</c:v>
                </c:pt>
                <c:pt idx="45">
                  <c:v>Hoàng</c:v>
                </c:pt>
                <c:pt idx="46">
                  <c:v>Hoàng</c:v>
                </c:pt>
                <c:pt idx="47">
                  <c:v>Hoàng</c:v>
                </c:pt>
                <c:pt idx="48">
                  <c:v>Hoàng</c:v>
                </c:pt>
                <c:pt idx="49">
                  <c:v>Hoàng</c:v>
                </c:pt>
                <c:pt idx="50">
                  <c:v>Hoàng</c:v>
                </c:pt>
                <c:pt idx="51">
                  <c:v>Sơn</c:v>
                </c:pt>
                <c:pt idx="52">
                  <c:v>Hoàng</c:v>
                </c:pt>
                <c:pt idx="53">
                  <c:v>Hoàng</c:v>
                </c:pt>
                <c:pt idx="54">
                  <c:v>Đông</c:v>
                </c:pt>
                <c:pt idx="55">
                  <c:v>Sơn</c:v>
                </c:pt>
                <c:pt idx="56">
                  <c:v>Biên</c:v>
                </c:pt>
                <c:pt idx="57">
                  <c:v>Sơn</c:v>
                </c:pt>
                <c:pt idx="58">
                  <c:v>Sơn</c:v>
                </c:pt>
                <c:pt idx="59">
                  <c:v>Đông</c:v>
                </c:pt>
                <c:pt idx="61">
                  <c:v>Hoàng</c:v>
                </c:pt>
                <c:pt idx="62">
                  <c:v>Đông</c:v>
                </c:pt>
                <c:pt idx="63">
                  <c:v>Đông</c:v>
                </c:pt>
                <c:pt idx="64">
                  <c:v>Đông</c:v>
                </c:pt>
                <c:pt idx="65">
                  <c:v>Hoàng</c:v>
                </c:pt>
                <c:pt idx="66">
                  <c:v>Hoàng</c:v>
                </c:pt>
                <c:pt idx="67">
                  <c:v>Đông</c:v>
                </c:pt>
                <c:pt idx="68">
                  <c:v>Đông</c:v>
                </c:pt>
                <c:pt idx="69">
                  <c:v>Biên</c:v>
                </c:pt>
                <c:pt idx="70">
                  <c:v>Biên</c:v>
                </c:pt>
                <c:pt idx="71">
                  <c:v>Đông</c:v>
                </c:pt>
                <c:pt idx="72">
                  <c:v>Đông</c:v>
                </c:pt>
                <c:pt idx="73">
                  <c:v>Đông</c:v>
                </c:pt>
                <c:pt idx="74">
                  <c:v>Đông</c:v>
                </c:pt>
                <c:pt idx="75">
                  <c:v>Đông</c:v>
                </c:pt>
                <c:pt idx="76">
                  <c:v>Đông</c:v>
                </c:pt>
                <c:pt idx="77">
                  <c:v>Đông</c:v>
                </c:pt>
                <c:pt idx="78">
                  <c:v>Đông</c:v>
                </c:pt>
                <c:pt idx="79">
                  <c:v>Đông</c:v>
                </c:pt>
                <c:pt idx="80">
                  <c:v>Đông</c:v>
                </c:pt>
                <c:pt idx="81">
                  <c:v>Đông</c:v>
                </c:pt>
                <c:pt idx="82">
                  <c:v>Đông</c:v>
                </c:pt>
                <c:pt idx="83">
                  <c:v>Đông</c:v>
                </c:pt>
                <c:pt idx="84">
                  <c:v>Đông</c:v>
                </c:pt>
                <c:pt idx="85">
                  <c:v>Đông</c:v>
                </c:pt>
                <c:pt idx="86">
                  <c:v>Đông</c:v>
                </c:pt>
                <c:pt idx="87">
                  <c:v>Đông</c:v>
                </c:pt>
                <c:pt idx="88">
                  <c:v>Đông</c:v>
                </c:pt>
                <c:pt idx="89">
                  <c:v>Đông</c:v>
                </c:pt>
                <c:pt idx="90">
                  <c:v>Đông</c:v>
                </c:pt>
                <c:pt idx="91">
                  <c:v>Sơn</c:v>
                </c:pt>
                <c:pt idx="92">
                  <c:v>Đông</c:v>
                </c:pt>
                <c:pt idx="93">
                  <c:v>Đông</c:v>
                </c:pt>
                <c:pt idx="94">
                  <c:v>Đông</c:v>
                </c:pt>
                <c:pt idx="95">
                  <c:v>Đông</c:v>
                </c:pt>
                <c:pt idx="96">
                  <c:v>Đông</c:v>
                </c:pt>
                <c:pt idx="97">
                  <c:v>Đông</c:v>
                </c:pt>
                <c:pt idx="98">
                  <c:v>Đông</c:v>
                </c:pt>
                <c:pt idx="99">
                  <c:v>Sơn</c:v>
                </c:pt>
                <c:pt idx="100">
                  <c:v>Sơn</c:v>
                </c:pt>
                <c:pt idx="101">
                  <c:v>Sơn</c:v>
                </c:pt>
                <c:pt idx="102">
                  <c:v>Sơn</c:v>
                </c:pt>
                <c:pt idx="103">
                  <c:v>Sơn</c:v>
                </c:pt>
                <c:pt idx="104">
                  <c:v>Sơn</c:v>
                </c:pt>
                <c:pt idx="105">
                  <c:v>Đông</c:v>
                </c:pt>
                <c:pt idx="106">
                  <c:v>Đông</c:v>
                </c:pt>
                <c:pt idx="107">
                  <c:v>Đông</c:v>
                </c:pt>
                <c:pt idx="108">
                  <c:v>Đông</c:v>
                </c:pt>
                <c:pt idx="109">
                  <c:v>Sơn</c:v>
                </c:pt>
                <c:pt idx="110">
                  <c:v>Biên</c:v>
                </c:pt>
                <c:pt idx="111">
                  <c:v>Biên</c:v>
                </c:pt>
                <c:pt idx="112">
                  <c:v>Biên</c:v>
                </c:pt>
                <c:pt idx="113">
                  <c:v>Đông</c:v>
                </c:pt>
                <c:pt idx="114">
                  <c:v>Đông</c:v>
                </c:pt>
                <c:pt idx="115">
                  <c:v>Đông</c:v>
                </c:pt>
                <c:pt idx="116">
                  <c:v>Đông</c:v>
                </c:pt>
                <c:pt idx="117">
                  <c:v>Đông</c:v>
                </c:pt>
                <c:pt idx="118">
                  <c:v>Đông</c:v>
                </c:pt>
                <c:pt idx="119">
                  <c:v>Đông</c:v>
                </c:pt>
                <c:pt idx="120">
                  <c:v>Biên</c:v>
                </c:pt>
                <c:pt idx="121">
                  <c:v>Hoàng</c:v>
                </c:pt>
                <c:pt idx="122">
                  <c:v>Hoàng</c:v>
                </c:pt>
                <c:pt idx="123">
                  <c:v>Đông</c:v>
                </c:pt>
                <c:pt idx="124">
                  <c:v>Sơn</c:v>
                </c:pt>
                <c:pt idx="125">
                  <c:v>Biên</c:v>
                </c:pt>
                <c:pt idx="126">
                  <c:v>Hoàng</c:v>
                </c:pt>
                <c:pt idx="127">
                  <c:v>Sơn</c:v>
                </c:pt>
                <c:pt idx="128">
                  <c:v>Sơn</c:v>
                </c:pt>
                <c:pt idx="129">
                  <c:v>Sơn</c:v>
                </c:pt>
                <c:pt idx="130">
                  <c:v>Biên</c:v>
                </c:pt>
                <c:pt idx="131">
                  <c:v>Biên</c:v>
                </c:pt>
                <c:pt idx="132">
                  <c:v>Biên</c:v>
                </c:pt>
                <c:pt idx="133">
                  <c:v>Đông</c:v>
                </c:pt>
                <c:pt idx="134">
                  <c:v>A.T</c:v>
                </c:pt>
                <c:pt idx="135">
                  <c:v>Hoàng</c:v>
                </c:pt>
                <c:pt idx="136">
                  <c:v>Đông</c:v>
                </c:pt>
                <c:pt idx="137">
                  <c:v>Đông</c:v>
                </c:pt>
                <c:pt idx="138">
                  <c:v>Đông</c:v>
                </c:pt>
                <c:pt idx="139">
                  <c:v>Đông</c:v>
                </c:pt>
                <c:pt idx="140">
                  <c:v>Đông</c:v>
                </c:pt>
                <c:pt idx="141">
                  <c:v>Đông</c:v>
                </c:pt>
                <c:pt idx="142">
                  <c:v>Đông</c:v>
                </c:pt>
                <c:pt idx="143">
                  <c:v>Đông</c:v>
                </c:pt>
                <c:pt idx="144">
                  <c:v>Biên</c:v>
                </c:pt>
                <c:pt idx="145">
                  <c:v>Biên</c:v>
                </c:pt>
                <c:pt idx="146">
                  <c:v>Biên</c:v>
                </c:pt>
                <c:pt idx="147">
                  <c:v>Biên</c:v>
                </c:pt>
                <c:pt idx="148">
                  <c:v>Sơn</c:v>
                </c:pt>
                <c:pt idx="149">
                  <c:v>Sơn</c:v>
                </c:pt>
                <c:pt idx="150">
                  <c:v>Biên</c:v>
                </c:pt>
                <c:pt idx="151">
                  <c:v>Sơn</c:v>
                </c:pt>
                <c:pt idx="152">
                  <c:v>Sơn</c:v>
                </c:pt>
                <c:pt idx="153">
                  <c:v>Sơn</c:v>
                </c:pt>
                <c:pt idx="154">
                  <c:v>Sơn</c:v>
                </c:pt>
                <c:pt idx="155">
                  <c:v>Biên</c:v>
                </c:pt>
                <c:pt idx="156">
                  <c:v>Biên</c:v>
                </c:pt>
                <c:pt idx="157">
                  <c:v>Biên</c:v>
                </c:pt>
                <c:pt idx="158">
                  <c:v>Biên</c:v>
                </c:pt>
                <c:pt idx="159">
                  <c:v>Đông</c:v>
                </c:pt>
                <c:pt idx="160">
                  <c:v>Đông</c:v>
                </c:pt>
                <c:pt idx="161">
                  <c:v>Đông</c:v>
                </c:pt>
                <c:pt idx="162">
                  <c:v>Đông</c:v>
                </c:pt>
                <c:pt idx="163">
                  <c:v>Đông</c:v>
                </c:pt>
                <c:pt idx="164">
                  <c:v>Đông</c:v>
                </c:pt>
                <c:pt idx="165">
                  <c:v>Đông</c:v>
                </c:pt>
                <c:pt idx="166">
                  <c:v>Đông</c:v>
                </c:pt>
                <c:pt idx="167">
                  <c:v>Biên</c:v>
                </c:pt>
                <c:pt idx="168">
                  <c:v>Biên</c:v>
                </c:pt>
                <c:pt idx="169">
                  <c:v>Biên</c:v>
                </c:pt>
                <c:pt idx="170">
                  <c:v>Biên</c:v>
                </c:pt>
                <c:pt idx="171">
                  <c:v>Đông</c:v>
                </c:pt>
                <c:pt idx="172">
                  <c:v>Đông</c:v>
                </c:pt>
                <c:pt idx="173">
                  <c:v>Sơn</c:v>
                </c:pt>
                <c:pt idx="174">
                  <c:v>Sơn</c:v>
                </c:pt>
                <c:pt idx="175">
                  <c:v>Sơn</c:v>
                </c:pt>
                <c:pt idx="176">
                  <c:v>Sơn</c:v>
                </c:pt>
                <c:pt idx="177">
                  <c:v>Sơn</c:v>
                </c:pt>
                <c:pt idx="178">
                  <c:v>Sơn</c:v>
                </c:pt>
                <c:pt idx="179">
                  <c:v>Sơn</c:v>
                </c:pt>
                <c:pt idx="180">
                  <c:v>Biên</c:v>
                </c:pt>
                <c:pt idx="181">
                  <c:v>Đông</c:v>
                </c:pt>
                <c:pt idx="182">
                  <c:v>Đông</c:v>
                </c:pt>
                <c:pt idx="183">
                  <c:v>Đông</c:v>
                </c:pt>
                <c:pt idx="184">
                  <c:v>Đông</c:v>
                </c:pt>
                <c:pt idx="185">
                  <c:v>Đông</c:v>
                </c:pt>
                <c:pt idx="186">
                  <c:v>Đông</c:v>
                </c:pt>
                <c:pt idx="187">
                  <c:v>Đông</c:v>
                </c:pt>
                <c:pt idx="188">
                  <c:v>Đông</c:v>
                </c:pt>
                <c:pt idx="189">
                  <c:v>Đông</c:v>
                </c:pt>
                <c:pt idx="190">
                  <c:v>Đông</c:v>
                </c:pt>
                <c:pt idx="191">
                  <c:v>Biên</c:v>
                </c:pt>
                <c:pt idx="192">
                  <c:v>Hoàng</c:v>
                </c:pt>
                <c:pt idx="193">
                  <c:v>Biên</c:v>
                </c:pt>
                <c:pt idx="194">
                  <c:v>Hoàng</c:v>
                </c:pt>
                <c:pt idx="195">
                  <c:v>Hoàng</c:v>
                </c:pt>
                <c:pt idx="196">
                  <c:v>Đông</c:v>
                </c:pt>
                <c:pt idx="197">
                  <c:v>Sơn</c:v>
                </c:pt>
                <c:pt idx="198">
                  <c:v>Hoàng</c:v>
                </c:pt>
                <c:pt idx="199">
                  <c:v>Sơn</c:v>
                </c:pt>
                <c:pt idx="200">
                  <c:v>Biên</c:v>
                </c:pt>
                <c:pt idx="201">
                  <c:v>Biên</c:v>
                </c:pt>
                <c:pt idx="202">
                  <c:v>Biên</c:v>
                </c:pt>
                <c:pt idx="203">
                  <c:v>Sơn</c:v>
                </c:pt>
                <c:pt idx="204">
                  <c:v>A.T</c:v>
                </c:pt>
                <c:pt idx="205">
                  <c:v>A.T</c:v>
                </c:pt>
                <c:pt idx="206">
                  <c:v>A.T</c:v>
                </c:pt>
                <c:pt idx="207">
                  <c:v>A.T</c:v>
                </c:pt>
                <c:pt idx="208">
                  <c:v>Hoàng</c:v>
                </c:pt>
                <c:pt idx="209">
                  <c:v>Sơn</c:v>
                </c:pt>
                <c:pt idx="210">
                  <c:v>A.T</c:v>
                </c:pt>
                <c:pt idx="211">
                  <c:v>A.T</c:v>
                </c:pt>
                <c:pt idx="212">
                  <c:v>Biên</c:v>
                </c:pt>
                <c:pt idx="213">
                  <c:v>Hoàng</c:v>
                </c:pt>
                <c:pt idx="214">
                  <c:v>Hoàng</c:v>
                </c:pt>
                <c:pt idx="215">
                  <c:v>A.L</c:v>
                </c:pt>
                <c:pt idx="216">
                  <c:v>A.L</c:v>
                </c:pt>
                <c:pt idx="217">
                  <c:v>A.L</c:v>
                </c:pt>
              </c:strCache>
            </c:strRef>
          </c:tx>
          <c:invertIfNegative val="0"/>
          <c:val>
            <c:numRef>
              <c:f>Data!$W$202:$W$220</c:f>
            </c:numRef>
          </c:val>
          <c:extLst>
            <c:ext xmlns:c16="http://schemas.microsoft.com/office/drawing/2014/chart" uri="{C3380CC4-5D6E-409C-BE32-E72D297353CC}">
              <c16:uniqueId val="{00000015-B723-4F71-93E9-73CD9A6CCCC5}"/>
            </c:ext>
          </c:extLst>
        </c:ser>
        <c:ser>
          <c:idx val="22"/>
          <c:order val="22"/>
          <c:tx>
            <c:v>Data!#REF!</c:v>
          </c:tx>
          <c:invertIfNegative val="0"/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723-4F71-93E9-73CD9A6CC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6008352"/>
        <c:axId val="1"/>
      </c:barChart>
      <c:catAx>
        <c:axId val="12660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60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65149837039600822"/>
          <c:y val="5.0570856184706803E-2"/>
          <c:w val="0.99223097112860903"/>
          <c:h val="0.94453490733992096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54AA2E-7B64-4643-ADA8-1499A4445E59}">
  <sheetPr/>
  <sheetViews>
    <sheetView zoomScale="83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694F7B-E172-46CE-AAC1-19315B3ECAB8}">
  <sheetPr codeName="Chart3"/>
  <sheetViews>
    <sheetView zoomScale="87" workbookViewId="0"/>
  </sheetViews>
  <pageMargins left="0.7" right="0.7" top="0.75" bottom="0.75" header="0.3" footer="0.3"/>
  <pageSetup orientation="landscape" r:id="rId1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605911</xdr:colOff>
      <xdr:row>3</xdr:row>
      <xdr:rowOff>113893</xdr:rowOff>
    </xdr:from>
    <xdr:to>
      <xdr:col>6</xdr:col>
      <xdr:colOff>154471</xdr:colOff>
      <xdr:row>8</xdr:row>
      <xdr:rowOff>86553</xdr:rowOff>
    </xdr:to>
    <xdr:sp macro="[0]!in_bg" textlink="">
      <xdr:nvSpPr>
        <xdr:cNvPr id="4097" name="AutoShape 1">
          <a:extLst>
            <a:ext uri="{FF2B5EF4-FFF2-40B4-BE49-F238E27FC236}">
              <a16:creationId xmlns:a16="http://schemas.microsoft.com/office/drawing/2014/main" id="{FEAC22CC-0F3A-715C-D109-ECF4FDD923B5}"/>
            </a:ext>
          </a:extLst>
        </xdr:cNvPr>
        <xdr:cNvSpPr>
          <a:spLocks noChangeArrowheads="1"/>
        </xdr:cNvSpPr>
      </xdr:nvSpPr>
      <xdr:spPr bwMode="auto">
        <a:xfrm>
          <a:off x="605911" y="735089"/>
          <a:ext cx="3308864" cy="1007986"/>
        </a:xfrm>
        <a:prstGeom prst="roundRect">
          <a:avLst>
            <a:gd name="adj" fmla="val 16667"/>
          </a:avLst>
        </a:prstGeom>
        <a:solidFill>
          <a:srgbClr val="00800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ctr" anchorCtr="0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IN PHIEU THONG BAO</a:t>
          </a:r>
          <a:endParaRPr lang="vi-VN" sz="10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605911</xdr:colOff>
      <xdr:row>3</xdr:row>
      <xdr:rowOff>113893</xdr:rowOff>
    </xdr:from>
    <xdr:to>
      <xdr:col>6</xdr:col>
      <xdr:colOff>154471</xdr:colOff>
      <xdr:row>8</xdr:row>
      <xdr:rowOff>86553</xdr:rowOff>
    </xdr:to>
    <xdr:sp macro="[0]!in_bg" textlink="">
      <xdr:nvSpPr>
        <xdr:cNvPr id="2" name="AutoShape 1">
          <a:extLst>
            <a:ext uri="{FF2B5EF4-FFF2-40B4-BE49-F238E27FC236}">
              <a16:creationId xmlns:a16="http://schemas.microsoft.com/office/drawing/2014/main" id="{1B7A3B4A-BDDA-4C69-6C5E-8DB836550FA1}"/>
            </a:ext>
          </a:extLst>
        </xdr:cNvPr>
        <xdr:cNvSpPr>
          <a:spLocks noChangeArrowheads="1"/>
        </xdr:cNvSpPr>
      </xdr:nvSpPr>
      <xdr:spPr bwMode="auto">
        <a:xfrm>
          <a:off x="605911" y="735089"/>
          <a:ext cx="3308864" cy="1007986"/>
        </a:xfrm>
        <a:prstGeom prst="roundRect">
          <a:avLst>
            <a:gd name="adj" fmla="val 16667"/>
          </a:avLst>
        </a:prstGeom>
        <a:solidFill>
          <a:srgbClr val="00800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ctr" anchorCtr="0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IN PHIEU THONG BAO</a:t>
          </a:r>
          <a:endParaRPr lang="vi-VN" sz="10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EA6B2-0C65-1286-7613-6F13729087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21225-1908-FBE4-46F6-3275E0A497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008000"/>
        </a:solidFill>
        <a:ln w="9525">
          <a:solidFill>
            <a:srgbClr val="000000"/>
          </a:solidFill>
          <a:round/>
          <a:headEnd/>
          <a:tailEnd/>
        </a:ln>
      </a:spPr>
      <a:bodyPr vertOverflow="clip" wrap="square" lIns="27432" tIns="22860" rIns="27432" bIns="0" anchor="t" upright="1"/>
      <a:lstStyle>
        <a:defPPr algn="ctr" rtl="0">
          <a:defRPr sz="1000" b="1" i="0" u="none" strike="noStrike" baseline="0">
            <a:solidFill>
              <a:srgbClr val="FFFFFF"/>
            </a:solidFill>
            <a:latin typeface="Arial"/>
            <a:cs typeface="Arial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5F31-8F4A-4637-B4A7-39C9004ED2EF}">
  <sheetPr codeName="Sheet1"/>
  <dimension ref="A1:R91"/>
  <sheetViews>
    <sheetView showGridLines="0" zoomScale="115" workbookViewId="0">
      <selection activeCell="C3" sqref="C3"/>
    </sheetView>
  </sheetViews>
  <sheetFormatPr defaultRowHeight="16.5" customHeight="1" x14ac:dyDescent="0.2"/>
  <cols>
    <col min="1" max="2" width="11.5703125" style="1" customWidth="1"/>
    <col min="3" max="7" width="8.28515625" style="1" customWidth="1"/>
    <col min="8" max="16384" width="9.140625" style="1"/>
  </cols>
  <sheetData>
    <row r="1" spans="1:18" s="2" customFormat="1" ht="12.75" x14ac:dyDescent="0.2">
      <c r="A1" s="337" t="s">
        <v>295</v>
      </c>
      <c r="B1" s="338"/>
      <c r="C1" s="7">
        <v>12</v>
      </c>
      <c r="D1" s="7" t="s">
        <v>296</v>
      </c>
      <c r="E1" s="7">
        <v>2020</v>
      </c>
      <c r="F1" s="3"/>
      <c r="G1" s="3"/>
    </row>
    <row r="2" spans="1:18" s="8" customFormat="1" ht="16.5" customHeight="1" x14ac:dyDescent="0.2">
      <c r="A2" s="335" t="s">
        <v>293</v>
      </c>
      <c r="B2" s="336"/>
      <c r="C2" s="15">
        <v>206</v>
      </c>
      <c r="D2" s="5"/>
      <c r="E2" s="6"/>
      <c r="F2" s="4"/>
      <c r="G2" s="4"/>
    </row>
    <row r="3" spans="1:18" s="8" customFormat="1" ht="19.5" customHeight="1" x14ac:dyDescent="0.2">
      <c r="A3" s="335" t="s">
        <v>294</v>
      </c>
      <c r="B3" s="335"/>
      <c r="C3" s="15">
        <v>206</v>
      </c>
      <c r="D3" s="5"/>
      <c r="E3" s="6">
        <v>1</v>
      </c>
      <c r="F3" s="4"/>
      <c r="G3" s="4"/>
    </row>
    <row r="4" spans="1:18" s="8" customFormat="1" ht="16.5" customHeight="1" x14ac:dyDescent="0.2"/>
    <row r="5" spans="1:18" s="8" customFormat="1" ht="16.5" customHeight="1" x14ac:dyDescent="0.2">
      <c r="B5" s="16"/>
      <c r="C5" s="16"/>
    </row>
    <row r="6" spans="1:18" s="8" customFormat="1" ht="16.5" customHeight="1" x14ac:dyDescent="0.2">
      <c r="B6" s="16"/>
      <c r="C6" s="16">
        <v>206</v>
      </c>
      <c r="R6" s="8">
        <v>0</v>
      </c>
    </row>
    <row r="7" spans="1:18" s="8" customFormat="1" ht="16.5" customHeight="1" x14ac:dyDescent="0.2">
      <c r="A7" s="9"/>
    </row>
    <row r="8" spans="1:18" s="8" customFormat="1" ht="16.5" customHeight="1" x14ac:dyDescent="0.2">
      <c r="A8" s="9"/>
    </row>
    <row r="9" spans="1:18" s="8" customFormat="1" ht="16.5" customHeight="1" x14ac:dyDescent="0.2">
      <c r="A9" s="9"/>
    </row>
    <row r="10" spans="1:18" s="8" customFormat="1" ht="16.5" customHeight="1" x14ac:dyDescent="0.2">
      <c r="A10" s="9"/>
      <c r="B10" s="12" t="s">
        <v>301</v>
      </c>
    </row>
    <row r="11" spans="1:18" s="8" customFormat="1" ht="16.5" customHeight="1" x14ac:dyDescent="0.2">
      <c r="A11" s="9"/>
      <c r="B11" s="13" t="s">
        <v>311</v>
      </c>
    </row>
    <row r="12" spans="1:18" s="8" customFormat="1" ht="16.5" customHeight="1" x14ac:dyDescent="0.2">
      <c r="A12" s="9"/>
      <c r="B12" s="13" t="s">
        <v>312</v>
      </c>
    </row>
    <row r="13" spans="1:18" s="8" customFormat="1" ht="16.5" customHeight="1" x14ac:dyDescent="0.2">
      <c r="B13" s="13" t="s">
        <v>302</v>
      </c>
    </row>
    <row r="14" spans="1:18" s="8" customFormat="1" ht="16.5" customHeight="1" x14ac:dyDescent="0.2">
      <c r="B14" s="13" t="s">
        <v>303</v>
      </c>
    </row>
    <row r="15" spans="1:18" s="8" customFormat="1" ht="16.5" customHeight="1" x14ac:dyDescent="0.2">
      <c r="A15" s="10"/>
      <c r="B15" s="13" t="s">
        <v>304</v>
      </c>
      <c r="C15" s="10"/>
      <c r="D15" s="10"/>
      <c r="E15" s="10"/>
      <c r="F15" s="10"/>
      <c r="G15" s="10"/>
    </row>
    <row r="16" spans="1:18" s="8" customFormat="1" ht="16.5" customHeight="1" x14ac:dyDescent="0.2">
      <c r="A16" s="4"/>
      <c r="B16" s="13" t="s">
        <v>305</v>
      </c>
    </row>
    <row r="17" spans="1:2" s="8" customFormat="1" ht="16.5" customHeight="1" x14ac:dyDescent="0.2">
      <c r="A17" s="11"/>
      <c r="B17" s="13" t="s">
        <v>306</v>
      </c>
    </row>
    <row r="18" spans="1:2" s="8" customFormat="1" ht="16.5" customHeight="1" x14ac:dyDescent="0.2">
      <c r="A18" s="11"/>
      <c r="B18" s="13" t="s">
        <v>308</v>
      </c>
    </row>
    <row r="19" spans="1:2" s="8" customFormat="1" ht="16.5" customHeight="1" x14ac:dyDescent="0.2">
      <c r="A19" s="4"/>
      <c r="B19" s="13" t="s">
        <v>309</v>
      </c>
    </row>
    <row r="20" spans="1:2" s="8" customFormat="1" ht="16.5" customHeight="1" x14ac:dyDescent="0.2">
      <c r="B20" s="14" t="s">
        <v>307</v>
      </c>
    </row>
    <row r="21" spans="1:2" s="8" customFormat="1" ht="16.5" customHeight="1" x14ac:dyDescent="0.2">
      <c r="B21" s="13" t="s">
        <v>310</v>
      </c>
    </row>
    <row r="22" spans="1:2" s="8" customFormat="1" ht="16.5" customHeight="1" x14ac:dyDescent="0.2">
      <c r="B22" s="13"/>
    </row>
    <row r="23" spans="1:2" s="8" customFormat="1" ht="16.5" customHeight="1" x14ac:dyDescent="0.2">
      <c r="B23" s="13"/>
    </row>
    <row r="24" spans="1:2" s="8" customFormat="1" ht="16.5" customHeight="1" x14ac:dyDescent="0.2">
      <c r="B24" s="13"/>
    </row>
    <row r="25" spans="1:2" s="8" customFormat="1" ht="16.5" customHeight="1" x14ac:dyDescent="0.2"/>
    <row r="26" spans="1:2" s="8" customFormat="1" ht="16.5" customHeight="1" x14ac:dyDescent="0.2">
      <c r="B26" s="13"/>
    </row>
    <row r="27" spans="1:2" s="8" customFormat="1" ht="16.5" customHeight="1" x14ac:dyDescent="0.2">
      <c r="B27" s="13"/>
    </row>
    <row r="28" spans="1:2" s="8" customFormat="1" ht="16.5" customHeight="1" x14ac:dyDescent="0.2">
      <c r="B28" s="13"/>
    </row>
    <row r="29" spans="1:2" s="8" customFormat="1" ht="16.5" customHeight="1" x14ac:dyDescent="0.2">
      <c r="B29" s="13"/>
    </row>
    <row r="30" spans="1:2" s="8" customFormat="1" ht="16.5" customHeight="1" x14ac:dyDescent="0.2">
      <c r="B30" s="13"/>
    </row>
    <row r="31" spans="1:2" s="8" customFormat="1" ht="16.5" customHeight="1" x14ac:dyDescent="0.2">
      <c r="B31" s="13"/>
    </row>
    <row r="32" spans="1:2" s="8" customFormat="1" ht="16.5" customHeight="1" x14ac:dyDescent="0.2">
      <c r="B32" s="13"/>
    </row>
    <row r="33" spans="2:2" s="8" customFormat="1" ht="16.5" customHeight="1" x14ac:dyDescent="0.2">
      <c r="B33" s="13"/>
    </row>
    <row r="34" spans="2:2" s="8" customFormat="1" ht="16.5" customHeight="1" x14ac:dyDescent="0.2">
      <c r="B34" s="13"/>
    </row>
    <row r="35" spans="2:2" s="8" customFormat="1" ht="16.5" customHeight="1" x14ac:dyDescent="0.2">
      <c r="B35" s="13"/>
    </row>
    <row r="36" spans="2:2" s="8" customFormat="1" ht="16.5" customHeight="1" x14ac:dyDescent="0.2">
      <c r="B36" s="13"/>
    </row>
    <row r="37" spans="2:2" s="8" customFormat="1" ht="16.5" customHeight="1" x14ac:dyDescent="0.2">
      <c r="B37" s="13"/>
    </row>
    <row r="38" spans="2:2" s="8" customFormat="1" ht="16.5" customHeight="1" x14ac:dyDescent="0.2">
      <c r="B38" s="13"/>
    </row>
    <row r="39" spans="2:2" s="8" customFormat="1" ht="16.5" customHeight="1" x14ac:dyDescent="0.2">
      <c r="B39" s="13"/>
    </row>
    <row r="40" spans="2:2" s="8" customFormat="1" ht="16.5" customHeight="1" x14ac:dyDescent="0.2">
      <c r="B40" s="13"/>
    </row>
    <row r="41" spans="2:2" s="8" customFormat="1" ht="16.5" customHeight="1" x14ac:dyDescent="0.2">
      <c r="B41" s="13"/>
    </row>
    <row r="42" spans="2:2" s="8" customFormat="1" ht="16.5" customHeight="1" x14ac:dyDescent="0.2"/>
    <row r="43" spans="2:2" s="8" customFormat="1" ht="16.5" customHeight="1" x14ac:dyDescent="0.2"/>
    <row r="44" spans="2:2" s="8" customFormat="1" ht="16.5" customHeight="1" x14ac:dyDescent="0.2"/>
    <row r="45" spans="2:2" s="8" customFormat="1" ht="16.5" customHeight="1" x14ac:dyDescent="0.2"/>
    <row r="46" spans="2:2" s="8" customFormat="1" ht="16.5" customHeight="1" x14ac:dyDescent="0.2"/>
    <row r="47" spans="2:2" s="8" customFormat="1" ht="16.5" customHeight="1" x14ac:dyDescent="0.2"/>
    <row r="48" spans="2:2" s="8" customFormat="1" ht="16.5" customHeight="1" x14ac:dyDescent="0.2"/>
    <row r="49" s="8" customFormat="1" ht="16.5" customHeight="1" x14ac:dyDescent="0.2"/>
    <row r="50" s="8" customFormat="1" ht="16.5" customHeight="1" x14ac:dyDescent="0.2"/>
    <row r="51" s="8" customFormat="1" ht="16.5" customHeight="1" x14ac:dyDescent="0.2"/>
    <row r="52" s="8" customFormat="1" ht="16.5" customHeight="1" x14ac:dyDescent="0.2"/>
    <row r="53" s="8" customFormat="1" ht="16.5" customHeight="1" x14ac:dyDescent="0.2"/>
    <row r="54" s="8" customFormat="1" ht="16.5" customHeight="1" x14ac:dyDescent="0.2"/>
    <row r="55" s="8" customFormat="1" ht="16.5" customHeight="1" x14ac:dyDescent="0.2"/>
    <row r="56" s="8" customFormat="1" ht="16.5" customHeight="1" x14ac:dyDescent="0.2"/>
    <row r="57" s="8" customFormat="1" ht="16.5" customHeight="1" x14ac:dyDescent="0.2"/>
    <row r="58" s="8" customFormat="1" ht="16.5" customHeight="1" x14ac:dyDescent="0.2"/>
    <row r="59" s="8" customFormat="1" ht="16.5" customHeight="1" x14ac:dyDescent="0.2"/>
    <row r="60" s="8" customFormat="1" ht="16.5" customHeight="1" x14ac:dyDescent="0.2"/>
    <row r="61" s="8" customFormat="1" ht="16.5" customHeight="1" x14ac:dyDescent="0.2"/>
    <row r="62" s="8" customFormat="1" ht="16.5" customHeight="1" x14ac:dyDescent="0.2"/>
    <row r="63" s="8" customFormat="1" ht="16.5" customHeight="1" x14ac:dyDescent="0.2"/>
    <row r="64" s="8" customFormat="1" ht="16.5" customHeight="1" x14ac:dyDescent="0.2"/>
    <row r="65" s="8" customFormat="1" ht="16.5" customHeight="1" x14ac:dyDescent="0.2"/>
    <row r="66" s="8" customFormat="1" ht="16.5" customHeight="1" x14ac:dyDescent="0.2"/>
    <row r="67" s="8" customFormat="1" ht="16.5" customHeight="1" x14ac:dyDescent="0.2"/>
    <row r="68" s="8" customFormat="1" ht="16.5" customHeight="1" x14ac:dyDescent="0.2"/>
    <row r="69" s="8" customFormat="1" ht="16.5" customHeight="1" x14ac:dyDescent="0.2"/>
    <row r="70" s="8" customFormat="1" ht="16.5" customHeight="1" x14ac:dyDescent="0.2"/>
    <row r="71" s="8" customFormat="1" ht="16.5" customHeight="1" x14ac:dyDescent="0.2"/>
    <row r="72" s="8" customFormat="1" ht="16.5" customHeight="1" x14ac:dyDescent="0.2"/>
    <row r="73" s="8" customFormat="1" ht="16.5" customHeight="1" x14ac:dyDescent="0.2"/>
    <row r="74" s="8" customFormat="1" ht="16.5" customHeight="1" x14ac:dyDescent="0.2"/>
    <row r="75" s="8" customFormat="1" ht="16.5" customHeight="1" x14ac:dyDescent="0.2"/>
    <row r="76" s="8" customFormat="1" ht="16.5" customHeight="1" x14ac:dyDescent="0.2"/>
    <row r="77" s="8" customFormat="1" ht="16.5" customHeight="1" x14ac:dyDescent="0.2"/>
    <row r="78" s="8" customFormat="1" ht="16.5" customHeight="1" x14ac:dyDescent="0.2"/>
    <row r="79" s="8" customFormat="1" ht="16.5" customHeight="1" x14ac:dyDescent="0.2"/>
    <row r="80" s="8" customFormat="1" ht="16.5" customHeight="1" x14ac:dyDescent="0.2"/>
    <row r="81" s="8" customFormat="1" ht="16.5" customHeight="1" x14ac:dyDescent="0.2"/>
    <row r="82" s="8" customFormat="1" ht="16.5" customHeight="1" x14ac:dyDescent="0.2"/>
    <row r="83" s="8" customFormat="1" ht="16.5" customHeight="1" x14ac:dyDescent="0.2"/>
    <row r="84" s="8" customFormat="1" ht="16.5" customHeight="1" x14ac:dyDescent="0.2"/>
    <row r="85" s="8" customFormat="1" ht="16.5" customHeight="1" x14ac:dyDescent="0.2"/>
    <row r="86" s="8" customFormat="1" ht="16.5" customHeight="1" x14ac:dyDescent="0.2"/>
    <row r="87" s="8" customFormat="1" ht="16.5" customHeight="1" x14ac:dyDescent="0.2"/>
    <row r="88" s="8" customFormat="1" ht="16.5" customHeight="1" x14ac:dyDescent="0.2"/>
    <row r="89" s="8" customFormat="1" ht="16.5" customHeight="1" x14ac:dyDescent="0.2"/>
    <row r="90" s="8" customFormat="1" ht="16.5" customHeight="1" x14ac:dyDescent="0.2"/>
    <row r="91" s="8" customFormat="1" ht="16.5" customHeight="1" x14ac:dyDescent="0.2"/>
  </sheetData>
  <sheetProtection formatCells="0" formatColumns="0" formatRows="0" insertColumns="0" insertRows="0" insertHyperlinks="0" deleteColumns="0" deleteRows="0" sort="0" autoFilter="0" pivotTables="0"/>
  <protectedRanges>
    <protectedRange sqref="A1:A29 C1:I29 B26:B29 B1:B24" name="Range2"/>
  </protectedRanges>
  <mergeCells count="3">
    <mergeCell ref="A2:B2"/>
    <mergeCell ref="A3:B3"/>
    <mergeCell ref="A1:B1"/>
  </mergeCells>
  <phoneticPr fontId="0" type="noConversion"/>
  <dataValidations count="1">
    <dataValidation type="list" allowBlank="1" showInputMessage="1" showErrorMessage="1" sqref="C1" xr:uid="{D66701B2-AE0B-476B-995E-861A46CA2D6F}">
      <formula1>"1,2,3,4,5,6,7,8,9,10,11,12"</formula1>
    </dataValidation>
  </dataValidation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0E50-6F71-446F-9422-2ED64DA0016B}">
  <dimension ref="A1:Y152"/>
  <sheetViews>
    <sheetView topLeftCell="A117" zoomScale="98" zoomScaleNormal="98" workbookViewId="0">
      <selection activeCell="C121" sqref="C121:F121"/>
    </sheetView>
  </sheetViews>
  <sheetFormatPr defaultRowHeight="15.75" x14ac:dyDescent="0.2"/>
  <cols>
    <col min="1" max="1" width="5.7109375" style="164" customWidth="1"/>
    <col min="2" max="2" width="25.28515625" style="165" customWidth="1"/>
    <col min="3" max="3" width="17.140625" style="166" customWidth="1"/>
    <col min="4" max="4" width="14.5703125" style="166" customWidth="1"/>
    <col min="5" max="5" width="13" style="167" customWidth="1"/>
    <col min="6" max="6" width="16.140625" style="168" customWidth="1"/>
    <col min="7" max="7" width="13.140625" style="169" customWidth="1"/>
    <col min="8" max="8" width="8.5703125" style="170" customWidth="1"/>
    <col min="9" max="9" width="3.140625" style="170" customWidth="1"/>
    <col min="10" max="10" width="12.42578125" style="171" customWidth="1"/>
    <col min="11" max="11" width="7" style="172" customWidth="1"/>
    <col min="12" max="12" width="9" style="173" customWidth="1"/>
    <col min="13" max="13" width="7.42578125" style="174" customWidth="1"/>
    <col min="14" max="14" width="6.140625" style="170" customWidth="1"/>
    <col min="15" max="15" width="8.140625" style="175" customWidth="1"/>
    <col min="16" max="16" width="8.85546875" style="176" customWidth="1"/>
    <col min="17" max="17" width="5.7109375" style="170" customWidth="1"/>
    <col min="18" max="18" width="10.85546875" style="176" customWidth="1"/>
    <col min="19" max="19" width="7.42578125" style="167" customWidth="1"/>
    <col min="20" max="20" width="9.7109375" style="176" customWidth="1"/>
    <col min="21" max="21" width="6.7109375" style="177" customWidth="1"/>
    <col min="22" max="22" width="18" style="167" customWidth="1"/>
    <col min="23" max="23" width="21.85546875" style="178" customWidth="1"/>
    <col min="24" max="24" width="15.28515625" style="167" customWidth="1"/>
    <col min="25" max="25" width="9.140625" style="167"/>
    <col min="26" max="16384" width="9.140625" style="23"/>
  </cols>
  <sheetData>
    <row r="1" spans="1:25" ht="23.25" customHeight="1" x14ac:dyDescent="0.2">
      <c r="A1" s="230" t="s">
        <v>1546</v>
      </c>
      <c r="B1" s="231"/>
      <c r="C1" s="231"/>
      <c r="D1" s="231"/>
      <c r="E1" s="231"/>
      <c r="F1" s="231"/>
      <c r="G1" s="283"/>
      <c r="H1" s="231"/>
      <c r="I1" s="231"/>
      <c r="J1" s="231"/>
      <c r="K1" s="231"/>
      <c r="L1" s="232"/>
      <c r="M1" s="231"/>
      <c r="N1" s="233"/>
      <c r="O1" s="234"/>
      <c r="P1" s="234"/>
      <c r="Q1" s="231"/>
      <c r="R1" s="234"/>
      <c r="S1" s="231"/>
      <c r="T1" s="234"/>
      <c r="U1" s="231"/>
      <c r="V1" s="231"/>
      <c r="W1" s="231"/>
    </row>
    <row r="2" spans="1:25" ht="23.25" customHeight="1" x14ac:dyDescent="0.2">
      <c r="A2" s="235"/>
      <c r="B2" s="236"/>
      <c r="C2" s="236"/>
      <c r="D2" s="236"/>
      <c r="E2" s="236"/>
      <c r="F2" s="236"/>
      <c r="G2" s="284"/>
      <c r="H2" s="236"/>
      <c r="I2" s="236"/>
      <c r="J2" s="236"/>
      <c r="K2" s="236"/>
      <c r="L2" s="237"/>
      <c r="M2" s="236"/>
      <c r="N2" s="238"/>
      <c r="O2" s="239"/>
      <c r="P2" s="239"/>
      <c r="Q2" s="236"/>
      <c r="R2" s="239"/>
      <c r="S2" s="236"/>
      <c r="T2" s="239"/>
      <c r="U2" s="236"/>
      <c r="V2" s="236"/>
      <c r="W2" s="236"/>
    </row>
    <row r="3" spans="1:25" s="37" customFormat="1" ht="114.75" customHeight="1" x14ac:dyDescent="0.2">
      <c r="A3" s="179" t="s">
        <v>272</v>
      </c>
      <c r="B3" s="180" t="s">
        <v>280</v>
      </c>
      <c r="C3" s="181" t="s">
        <v>469</v>
      </c>
      <c r="D3" s="181" t="s">
        <v>281</v>
      </c>
      <c r="E3" s="181" t="s">
        <v>282</v>
      </c>
      <c r="F3" s="181" t="s">
        <v>468</v>
      </c>
      <c r="G3" s="182" t="s">
        <v>283</v>
      </c>
      <c r="H3" s="181" t="s">
        <v>1206</v>
      </c>
      <c r="I3" s="181" t="s">
        <v>1210</v>
      </c>
      <c r="J3" s="183" t="s">
        <v>271</v>
      </c>
      <c r="K3" s="182" t="s">
        <v>270</v>
      </c>
      <c r="L3" s="181" t="s">
        <v>269</v>
      </c>
      <c r="M3" s="181" t="s">
        <v>284</v>
      </c>
      <c r="N3" s="181" t="s">
        <v>528</v>
      </c>
      <c r="O3" s="184" t="s">
        <v>268</v>
      </c>
      <c r="P3" s="185" t="s">
        <v>267</v>
      </c>
      <c r="Q3" s="181" t="s">
        <v>266</v>
      </c>
      <c r="R3" s="185" t="s">
        <v>265</v>
      </c>
      <c r="S3" s="181" t="s">
        <v>264</v>
      </c>
      <c r="T3" s="185" t="s">
        <v>263</v>
      </c>
      <c r="U3" s="186" t="s">
        <v>28</v>
      </c>
      <c r="V3" s="187" t="s">
        <v>262</v>
      </c>
      <c r="W3" s="181" t="s">
        <v>1119</v>
      </c>
      <c r="X3" s="240"/>
      <c r="Y3" s="240"/>
    </row>
    <row r="4" spans="1:25" s="38" customFormat="1" x14ac:dyDescent="0.2">
      <c r="A4" s="188">
        <v>-1</v>
      </c>
      <c r="B4" s="188">
        <v>-2</v>
      </c>
      <c r="C4" s="188">
        <v>-3</v>
      </c>
      <c r="D4" s="188">
        <v>-4</v>
      </c>
      <c r="E4" s="188">
        <v>-5</v>
      </c>
      <c r="F4" s="188">
        <v>-6</v>
      </c>
      <c r="G4" s="285">
        <v>-7</v>
      </c>
      <c r="H4" s="188">
        <v>-8</v>
      </c>
      <c r="I4" s="188">
        <v>-9</v>
      </c>
      <c r="J4" s="188">
        <v>-10</v>
      </c>
      <c r="K4" s="188">
        <v>-11</v>
      </c>
      <c r="L4" s="188">
        <v>-12</v>
      </c>
      <c r="M4" s="188">
        <v>-13</v>
      </c>
      <c r="N4" s="188">
        <v>-14</v>
      </c>
      <c r="O4" s="258">
        <v>-15</v>
      </c>
      <c r="P4" s="189">
        <v>-15</v>
      </c>
      <c r="Q4" s="188">
        <v>-17</v>
      </c>
      <c r="R4" s="189">
        <v>-18</v>
      </c>
      <c r="S4" s="188">
        <v>-19</v>
      </c>
      <c r="T4" s="188">
        <v>-20</v>
      </c>
      <c r="U4" s="188">
        <v>-21</v>
      </c>
      <c r="V4" s="188">
        <v>-22</v>
      </c>
      <c r="W4" s="190">
        <v>-23</v>
      </c>
      <c r="X4" s="241"/>
      <c r="Y4" s="241"/>
    </row>
    <row r="5" spans="1:25" s="55" customFormat="1" ht="31.5" x14ac:dyDescent="0.25">
      <c r="A5" s="127">
        <v>2</v>
      </c>
      <c r="B5" s="40" t="s">
        <v>1038</v>
      </c>
      <c r="C5" s="40" t="s">
        <v>1247</v>
      </c>
      <c r="D5" s="40" t="s">
        <v>1437</v>
      </c>
      <c r="E5" s="42" t="s">
        <v>1524</v>
      </c>
      <c r="F5" s="40" t="s">
        <v>853</v>
      </c>
      <c r="G5" s="54" t="s">
        <v>855</v>
      </c>
      <c r="H5" s="39" t="s">
        <v>56</v>
      </c>
      <c r="I5" s="39"/>
      <c r="J5" s="45">
        <v>3206</v>
      </c>
      <c r="K5" s="46" t="s">
        <v>334</v>
      </c>
      <c r="L5" s="39" t="s">
        <v>1036</v>
      </c>
      <c r="M5" s="53" t="s">
        <v>680</v>
      </c>
      <c r="N5" s="39">
        <v>1</v>
      </c>
      <c r="O5" s="128">
        <v>5788</v>
      </c>
      <c r="P5" s="128">
        <v>5725</v>
      </c>
      <c r="Q5" s="39">
        <v>1</v>
      </c>
      <c r="R5" s="95">
        <f t="shared" ref="R5:R54" si="0">(O5-P5)*Q5</f>
        <v>63</v>
      </c>
      <c r="S5" s="43">
        <v>0</v>
      </c>
      <c r="T5" s="43">
        <f t="shared" ref="T5:T47" si="1">IF((R5-S5)&gt;0,(R5-S5),0)</f>
        <v>63</v>
      </c>
      <c r="U5" s="43">
        <v>4169</v>
      </c>
      <c r="V5" s="125">
        <f t="shared" ref="V5:V54" si="2">T5*U5</f>
        <v>262647</v>
      </c>
      <c r="W5" s="39" t="s">
        <v>1122</v>
      </c>
    </row>
    <row r="6" spans="1:25" s="55" customFormat="1" ht="29.25" customHeight="1" x14ac:dyDescent="0.25">
      <c r="A6" s="127">
        <v>4</v>
      </c>
      <c r="B6" s="40" t="s">
        <v>1003</v>
      </c>
      <c r="C6" s="40" t="s">
        <v>1247</v>
      </c>
      <c r="D6" s="40" t="s">
        <v>1436</v>
      </c>
      <c r="E6" s="132"/>
      <c r="F6" s="133" t="s">
        <v>823</v>
      </c>
      <c r="G6" s="286" t="s">
        <v>824</v>
      </c>
      <c r="H6" s="39" t="s">
        <v>56</v>
      </c>
      <c r="I6" s="39"/>
      <c r="J6" s="45">
        <v>5440</v>
      </c>
      <c r="K6" s="46" t="s">
        <v>314</v>
      </c>
      <c r="L6" s="39" t="s">
        <v>1036</v>
      </c>
      <c r="M6" s="47" t="s">
        <v>680</v>
      </c>
      <c r="N6" s="39">
        <v>2</v>
      </c>
      <c r="O6" s="128">
        <v>135902</v>
      </c>
      <c r="P6" s="128">
        <v>134676</v>
      </c>
      <c r="Q6" s="39">
        <v>1</v>
      </c>
      <c r="R6" s="95">
        <f t="shared" si="0"/>
        <v>1226</v>
      </c>
      <c r="S6" s="43">
        <v>0</v>
      </c>
      <c r="T6" s="43">
        <f t="shared" si="1"/>
        <v>1226</v>
      </c>
      <c r="U6" s="43">
        <v>4169</v>
      </c>
      <c r="V6" s="125">
        <f t="shared" si="2"/>
        <v>5111194</v>
      </c>
      <c r="W6" s="39" t="s">
        <v>1122</v>
      </c>
    </row>
    <row r="7" spans="1:25" s="55" customFormat="1" ht="31.5" x14ac:dyDescent="0.25">
      <c r="A7" s="123">
        <v>5</v>
      </c>
      <c r="B7" s="40" t="s">
        <v>1038</v>
      </c>
      <c r="C7" s="40" t="s">
        <v>1247</v>
      </c>
      <c r="D7" s="40" t="s">
        <v>1438</v>
      </c>
      <c r="E7" s="42" t="s">
        <v>1524</v>
      </c>
      <c r="F7" s="40" t="s">
        <v>853</v>
      </c>
      <c r="G7" s="54" t="s">
        <v>855</v>
      </c>
      <c r="H7" s="39" t="s">
        <v>56</v>
      </c>
      <c r="I7" s="39"/>
      <c r="J7" s="45">
        <v>4220</v>
      </c>
      <c r="K7" s="46" t="s">
        <v>314</v>
      </c>
      <c r="L7" s="39" t="s">
        <v>1036</v>
      </c>
      <c r="M7" s="53" t="s">
        <v>680</v>
      </c>
      <c r="N7" s="39">
        <v>3</v>
      </c>
      <c r="O7" s="128">
        <v>177823</v>
      </c>
      <c r="P7" s="128">
        <v>175018</v>
      </c>
      <c r="Q7" s="39">
        <v>1</v>
      </c>
      <c r="R7" s="95">
        <f t="shared" si="0"/>
        <v>2805</v>
      </c>
      <c r="S7" s="43">
        <v>0</v>
      </c>
      <c r="T7" s="43">
        <f t="shared" si="1"/>
        <v>2805</v>
      </c>
      <c r="U7" s="43">
        <v>4169</v>
      </c>
      <c r="V7" s="125">
        <f t="shared" si="2"/>
        <v>11694045</v>
      </c>
      <c r="W7" s="39" t="s">
        <v>1122</v>
      </c>
    </row>
    <row r="8" spans="1:25" s="135" customFormat="1" ht="27.75" customHeight="1" x14ac:dyDescent="0.25">
      <c r="A8" s="127">
        <v>6</v>
      </c>
      <c r="B8" s="40" t="s">
        <v>1492</v>
      </c>
      <c r="C8" s="40" t="s">
        <v>1247</v>
      </c>
      <c r="D8" s="40" t="s">
        <v>1491</v>
      </c>
      <c r="E8" s="43" t="s">
        <v>1524</v>
      </c>
      <c r="F8" s="41" t="s">
        <v>853</v>
      </c>
      <c r="G8" s="54" t="s">
        <v>855</v>
      </c>
      <c r="H8" s="39" t="s">
        <v>56</v>
      </c>
      <c r="I8" s="39"/>
      <c r="J8" s="49">
        <v>9482</v>
      </c>
      <c r="K8" s="46" t="s">
        <v>314</v>
      </c>
      <c r="L8" s="39" t="s">
        <v>1036</v>
      </c>
      <c r="M8" s="47" t="s">
        <v>680</v>
      </c>
      <c r="N8" s="39">
        <v>3</v>
      </c>
      <c r="O8" s="128">
        <v>25168</v>
      </c>
      <c r="P8" s="128">
        <v>24016</v>
      </c>
      <c r="Q8" s="39">
        <v>1</v>
      </c>
      <c r="R8" s="95">
        <f>(O8-P8)*Q8</f>
        <v>1152</v>
      </c>
      <c r="S8" s="43">
        <v>0</v>
      </c>
      <c r="T8" s="43">
        <f>IF((R8-S8)&gt;0,(R8-S8),0)</f>
        <v>1152</v>
      </c>
      <c r="U8" s="43">
        <v>4169</v>
      </c>
      <c r="V8" s="125">
        <f t="shared" si="2"/>
        <v>4802688</v>
      </c>
      <c r="W8" s="39" t="s">
        <v>1122</v>
      </c>
    </row>
    <row r="9" spans="1:25" s="135" customFormat="1" ht="30.75" customHeight="1" x14ac:dyDescent="0.25">
      <c r="A9" s="123">
        <v>7</v>
      </c>
      <c r="B9" s="40" t="s">
        <v>1235</v>
      </c>
      <c r="C9" s="40" t="s">
        <v>1247</v>
      </c>
      <c r="D9" s="40" t="s">
        <v>1047</v>
      </c>
      <c r="E9" s="43"/>
      <c r="F9" s="41" t="s">
        <v>857</v>
      </c>
      <c r="G9" s="54" t="s">
        <v>858</v>
      </c>
      <c r="H9" s="39" t="s">
        <v>1274</v>
      </c>
      <c r="I9" s="39"/>
      <c r="J9" s="49" t="s">
        <v>436</v>
      </c>
      <c r="K9" s="46" t="s">
        <v>314</v>
      </c>
      <c r="L9" s="39" t="s">
        <v>342</v>
      </c>
      <c r="M9" s="47" t="s">
        <v>332</v>
      </c>
      <c r="N9" s="39">
        <v>4</v>
      </c>
      <c r="O9" s="128">
        <v>430404</v>
      </c>
      <c r="P9" s="128">
        <v>428007</v>
      </c>
      <c r="Q9" s="39">
        <v>1</v>
      </c>
      <c r="R9" s="95">
        <f t="shared" si="0"/>
        <v>2397</v>
      </c>
      <c r="S9" s="43">
        <v>0</v>
      </c>
      <c r="T9" s="43">
        <f t="shared" si="1"/>
        <v>2397</v>
      </c>
      <c r="U9" s="43">
        <v>4169</v>
      </c>
      <c r="V9" s="125">
        <f t="shared" si="2"/>
        <v>9993093</v>
      </c>
      <c r="W9" s="39" t="s">
        <v>1123</v>
      </c>
    </row>
    <row r="10" spans="1:25" s="135" customFormat="1" ht="31.5" customHeight="1" x14ac:dyDescent="0.25">
      <c r="A10" s="127">
        <v>8</v>
      </c>
      <c r="B10" s="40" t="s">
        <v>1154</v>
      </c>
      <c r="C10" s="40" t="s">
        <v>1247</v>
      </c>
      <c r="D10" s="40" t="s">
        <v>1047</v>
      </c>
      <c r="E10" s="43">
        <v>38240993</v>
      </c>
      <c r="F10" s="41" t="s">
        <v>888</v>
      </c>
      <c r="G10" s="44" t="s">
        <v>889</v>
      </c>
      <c r="H10" s="39" t="s">
        <v>1274</v>
      </c>
      <c r="I10" s="39"/>
      <c r="J10" s="49">
        <v>2174</v>
      </c>
      <c r="K10" s="46" t="s">
        <v>334</v>
      </c>
      <c r="L10" s="39" t="s">
        <v>352</v>
      </c>
      <c r="M10" s="47" t="s">
        <v>332</v>
      </c>
      <c r="N10" s="39">
        <v>5</v>
      </c>
      <c r="O10" s="128">
        <v>81088</v>
      </c>
      <c r="P10" s="128">
        <v>80845</v>
      </c>
      <c r="Q10" s="39">
        <v>1</v>
      </c>
      <c r="R10" s="95">
        <f t="shared" si="0"/>
        <v>243</v>
      </c>
      <c r="S10" s="43">
        <v>0</v>
      </c>
      <c r="T10" s="43">
        <f t="shared" si="1"/>
        <v>243</v>
      </c>
      <c r="U10" s="43">
        <v>4169</v>
      </c>
      <c r="V10" s="125">
        <f t="shared" si="2"/>
        <v>1013067</v>
      </c>
      <c r="W10" s="39" t="s">
        <v>1123</v>
      </c>
    </row>
    <row r="11" spans="1:25" s="135" customFormat="1" ht="31.5" x14ac:dyDescent="0.25">
      <c r="A11" s="123">
        <v>9</v>
      </c>
      <c r="B11" s="40" t="s">
        <v>1381</v>
      </c>
      <c r="C11" s="40" t="s">
        <v>1247</v>
      </c>
      <c r="D11" s="40" t="s">
        <v>1084</v>
      </c>
      <c r="E11" s="42"/>
      <c r="F11" s="41" t="s">
        <v>1493</v>
      </c>
      <c r="G11" s="54" t="s">
        <v>1382</v>
      </c>
      <c r="H11" s="39" t="s">
        <v>1274</v>
      </c>
      <c r="I11" s="39"/>
      <c r="J11" s="49">
        <v>1738</v>
      </c>
      <c r="K11" s="46" t="s">
        <v>334</v>
      </c>
      <c r="L11" s="39" t="s">
        <v>1040</v>
      </c>
      <c r="M11" s="47" t="s">
        <v>332</v>
      </c>
      <c r="N11" s="39">
        <v>6</v>
      </c>
      <c r="O11" s="128">
        <v>97163</v>
      </c>
      <c r="P11" s="128">
        <v>95380</v>
      </c>
      <c r="Q11" s="39">
        <v>1</v>
      </c>
      <c r="R11" s="95">
        <f>(O11-P11)*Q11</f>
        <v>1783</v>
      </c>
      <c r="S11" s="43">
        <v>0</v>
      </c>
      <c r="T11" s="43">
        <f>IF((R11-S11)&gt;0,(R11-S11),0)</f>
        <v>1783</v>
      </c>
      <c r="U11" s="43">
        <v>4169</v>
      </c>
      <c r="V11" s="125">
        <f t="shared" si="2"/>
        <v>7433327</v>
      </c>
      <c r="W11" s="39" t="s">
        <v>1123</v>
      </c>
    </row>
    <row r="12" spans="1:25" s="135" customFormat="1" ht="31.5" x14ac:dyDescent="0.25">
      <c r="A12" s="127">
        <v>10</v>
      </c>
      <c r="B12" s="40" t="s">
        <v>1488</v>
      </c>
      <c r="C12" s="40" t="s">
        <v>1247</v>
      </c>
      <c r="D12" s="40" t="s">
        <v>1084</v>
      </c>
      <c r="E12" s="42"/>
      <c r="F12" s="41" t="s">
        <v>1489</v>
      </c>
      <c r="G12" s="54" t="s">
        <v>1490</v>
      </c>
      <c r="H12" s="39" t="s">
        <v>1274</v>
      </c>
      <c r="I12" s="39"/>
      <c r="J12" s="49">
        <v>2709</v>
      </c>
      <c r="K12" s="46" t="s">
        <v>314</v>
      </c>
      <c r="L12" s="39" t="s">
        <v>1040</v>
      </c>
      <c r="M12" s="47" t="s">
        <v>332</v>
      </c>
      <c r="N12" s="39">
        <v>6</v>
      </c>
      <c r="O12" s="128">
        <v>15512</v>
      </c>
      <c r="P12" s="128">
        <v>14382</v>
      </c>
      <c r="Q12" s="39">
        <v>1</v>
      </c>
      <c r="R12" s="95">
        <f t="shared" si="0"/>
        <v>1130</v>
      </c>
      <c r="S12" s="43">
        <v>0</v>
      </c>
      <c r="T12" s="43">
        <f t="shared" si="1"/>
        <v>1130</v>
      </c>
      <c r="U12" s="43">
        <v>4169</v>
      </c>
      <c r="V12" s="48">
        <f t="shared" si="2"/>
        <v>4710970</v>
      </c>
      <c r="W12" s="39" t="s">
        <v>1123</v>
      </c>
    </row>
    <row r="13" spans="1:25" s="135" customFormat="1" ht="31.5" x14ac:dyDescent="0.25">
      <c r="A13" s="123">
        <v>11</v>
      </c>
      <c r="B13" s="40" t="s">
        <v>1480</v>
      </c>
      <c r="C13" s="40" t="s">
        <v>1247</v>
      </c>
      <c r="D13" s="40" t="s">
        <v>1047</v>
      </c>
      <c r="E13" s="43"/>
      <c r="F13" s="41" t="s">
        <v>1383</v>
      </c>
      <c r="G13" s="54" t="s">
        <v>1384</v>
      </c>
      <c r="H13" s="39" t="s">
        <v>1274</v>
      </c>
      <c r="I13" s="39"/>
      <c r="J13" s="49">
        <v>3448</v>
      </c>
      <c r="K13" s="46" t="s">
        <v>314</v>
      </c>
      <c r="L13" s="39" t="s">
        <v>352</v>
      </c>
      <c r="M13" s="47" t="s">
        <v>332</v>
      </c>
      <c r="N13" s="39">
        <v>6</v>
      </c>
      <c r="O13" s="128">
        <v>473309</v>
      </c>
      <c r="P13" s="128">
        <v>470248</v>
      </c>
      <c r="Q13" s="39">
        <v>1</v>
      </c>
      <c r="R13" s="95">
        <f t="shared" si="0"/>
        <v>3061</v>
      </c>
      <c r="S13" s="43">
        <v>0</v>
      </c>
      <c r="T13" s="43">
        <f t="shared" si="1"/>
        <v>3061</v>
      </c>
      <c r="U13" s="43">
        <v>4169</v>
      </c>
      <c r="V13" s="48">
        <f t="shared" si="2"/>
        <v>12761309</v>
      </c>
      <c r="W13" s="39" t="s">
        <v>1123</v>
      </c>
    </row>
    <row r="14" spans="1:25" s="135" customFormat="1" ht="30" customHeight="1" x14ac:dyDescent="0.25">
      <c r="A14" s="127">
        <v>12</v>
      </c>
      <c r="B14" s="40" t="s">
        <v>1487</v>
      </c>
      <c r="C14" s="40" t="s">
        <v>1247</v>
      </c>
      <c r="D14" s="40" t="s">
        <v>1083</v>
      </c>
      <c r="E14" s="132"/>
      <c r="F14" s="41" t="s">
        <v>717</v>
      </c>
      <c r="G14" s="136" t="s">
        <v>718</v>
      </c>
      <c r="H14" s="39" t="s">
        <v>1274</v>
      </c>
      <c r="I14" s="39"/>
      <c r="J14" s="49">
        <v>2028</v>
      </c>
      <c r="K14" s="46" t="s">
        <v>334</v>
      </c>
      <c r="L14" s="39" t="s">
        <v>1533</v>
      </c>
      <c r="M14" s="47" t="s">
        <v>332</v>
      </c>
      <c r="N14" s="39">
        <v>7</v>
      </c>
      <c r="O14" s="128">
        <v>12320</v>
      </c>
      <c r="P14" s="128">
        <v>11764</v>
      </c>
      <c r="Q14" s="39">
        <v>1</v>
      </c>
      <c r="R14" s="95">
        <f t="shared" si="0"/>
        <v>556</v>
      </c>
      <c r="S14" s="43">
        <v>0</v>
      </c>
      <c r="T14" s="43">
        <f t="shared" si="1"/>
        <v>556</v>
      </c>
      <c r="U14" s="43">
        <v>4169</v>
      </c>
      <c r="V14" s="48">
        <f t="shared" si="2"/>
        <v>2317964</v>
      </c>
      <c r="W14" s="39" t="s">
        <v>1123</v>
      </c>
    </row>
    <row r="15" spans="1:25" s="135" customFormat="1" ht="31.5" x14ac:dyDescent="0.25">
      <c r="A15" s="123">
        <v>13</v>
      </c>
      <c r="B15" s="40" t="s">
        <v>784</v>
      </c>
      <c r="C15" s="40" t="s">
        <v>1247</v>
      </c>
      <c r="D15" s="40" t="s">
        <v>1046</v>
      </c>
      <c r="E15" s="132" t="s">
        <v>718</v>
      </c>
      <c r="F15" s="41" t="s">
        <v>717</v>
      </c>
      <c r="G15" s="136" t="s">
        <v>718</v>
      </c>
      <c r="H15" s="39" t="s">
        <v>1274</v>
      </c>
      <c r="I15" s="39"/>
      <c r="J15" s="49">
        <v>9307</v>
      </c>
      <c r="K15" s="46" t="s">
        <v>314</v>
      </c>
      <c r="L15" s="39" t="s">
        <v>352</v>
      </c>
      <c r="M15" s="47" t="s">
        <v>332</v>
      </c>
      <c r="N15" s="39">
        <v>8</v>
      </c>
      <c r="O15" s="128">
        <v>100668</v>
      </c>
      <c r="P15" s="128">
        <v>99309</v>
      </c>
      <c r="Q15" s="39">
        <v>1</v>
      </c>
      <c r="R15" s="95">
        <f t="shared" si="0"/>
        <v>1359</v>
      </c>
      <c r="S15" s="43">
        <v>0</v>
      </c>
      <c r="T15" s="43">
        <f t="shared" si="1"/>
        <v>1359</v>
      </c>
      <c r="U15" s="43">
        <v>4169</v>
      </c>
      <c r="V15" s="48">
        <f t="shared" si="2"/>
        <v>5665671</v>
      </c>
      <c r="W15" s="39" t="s">
        <v>1123</v>
      </c>
    </row>
    <row r="16" spans="1:25" s="135" customFormat="1" ht="24.75" customHeight="1" x14ac:dyDescent="0.25">
      <c r="A16" s="127">
        <v>14</v>
      </c>
      <c r="B16" s="40" t="s">
        <v>1481</v>
      </c>
      <c r="C16" s="40" t="s">
        <v>1247</v>
      </c>
      <c r="D16" s="40" t="s">
        <v>1083</v>
      </c>
      <c r="E16" s="43"/>
      <c r="F16" s="41" t="s">
        <v>1171</v>
      </c>
      <c r="G16" s="54" t="s">
        <v>1172</v>
      </c>
      <c r="H16" s="39" t="s">
        <v>1274</v>
      </c>
      <c r="I16" s="39"/>
      <c r="J16" s="49">
        <v>8259</v>
      </c>
      <c r="K16" s="46" t="s">
        <v>334</v>
      </c>
      <c r="L16" s="39" t="s">
        <v>1532</v>
      </c>
      <c r="M16" s="47" t="s">
        <v>332</v>
      </c>
      <c r="N16" s="39">
        <v>8</v>
      </c>
      <c r="O16" s="128">
        <v>7904</v>
      </c>
      <c r="P16" s="128">
        <v>7303</v>
      </c>
      <c r="Q16" s="39">
        <v>1</v>
      </c>
      <c r="R16" s="95">
        <f t="shared" si="0"/>
        <v>601</v>
      </c>
      <c r="S16" s="43">
        <v>0</v>
      </c>
      <c r="T16" s="43">
        <f t="shared" si="1"/>
        <v>601</v>
      </c>
      <c r="U16" s="43">
        <v>4169</v>
      </c>
      <c r="V16" s="48">
        <f t="shared" si="2"/>
        <v>2505569</v>
      </c>
      <c r="W16" s="39" t="s">
        <v>1123</v>
      </c>
    </row>
    <row r="17" spans="1:23" s="135" customFormat="1" ht="31.5" x14ac:dyDescent="0.25">
      <c r="A17" s="123">
        <v>15</v>
      </c>
      <c r="B17" s="40" t="s">
        <v>1385</v>
      </c>
      <c r="C17" s="40" t="s">
        <v>1247</v>
      </c>
      <c r="D17" s="40" t="s">
        <v>1083</v>
      </c>
      <c r="E17" s="43"/>
      <c r="F17" s="41" t="s">
        <v>1141</v>
      </c>
      <c r="G17" s="54" t="s">
        <v>411</v>
      </c>
      <c r="H17" s="39" t="s">
        <v>1274</v>
      </c>
      <c r="I17" s="39"/>
      <c r="J17" s="49">
        <v>7671</v>
      </c>
      <c r="K17" s="46" t="s">
        <v>314</v>
      </c>
      <c r="L17" s="39" t="s">
        <v>686</v>
      </c>
      <c r="M17" s="47" t="s">
        <v>332</v>
      </c>
      <c r="N17" s="39">
        <v>9</v>
      </c>
      <c r="O17" s="128">
        <v>336037</v>
      </c>
      <c r="P17" s="128">
        <v>334264</v>
      </c>
      <c r="Q17" s="39">
        <v>1</v>
      </c>
      <c r="R17" s="95">
        <f t="shared" si="0"/>
        <v>1773</v>
      </c>
      <c r="S17" s="43">
        <v>0</v>
      </c>
      <c r="T17" s="43">
        <f t="shared" si="1"/>
        <v>1773</v>
      </c>
      <c r="U17" s="43">
        <v>4169</v>
      </c>
      <c r="V17" s="48">
        <f t="shared" si="2"/>
        <v>7391637</v>
      </c>
      <c r="W17" s="39" t="s">
        <v>1123</v>
      </c>
    </row>
    <row r="18" spans="1:23" s="135" customFormat="1" ht="25.5" customHeight="1" x14ac:dyDescent="0.25">
      <c r="A18" s="127">
        <v>16</v>
      </c>
      <c r="B18" s="40" t="s">
        <v>1320</v>
      </c>
      <c r="C18" s="40" t="s">
        <v>1247</v>
      </c>
      <c r="D18" s="40" t="s">
        <v>1048</v>
      </c>
      <c r="E18" s="136" t="s">
        <v>621</v>
      </c>
      <c r="F18" s="41" t="s">
        <v>620</v>
      </c>
      <c r="G18" s="44" t="s">
        <v>621</v>
      </c>
      <c r="H18" s="39" t="s">
        <v>1274</v>
      </c>
      <c r="I18" s="39"/>
      <c r="J18" s="49" t="s">
        <v>394</v>
      </c>
      <c r="K18" s="46" t="s">
        <v>314</v>
      </c>
      <c r="L18" s="39" t="s">
        <v>393</v>
      </c>
      <c r="M18" s="47" t="s">
        <v>332</v>
      </c>
      <c r="N18" s="39">
        <v>9</v>
      </c>
      <c r="O18" s="94">
        <v>189466</v>
      </c>
      <c r="P18" s="94">
        <v>186518</v>
      </c>
      <c r="Q18" s="39">
        <v>1</v>
      </c>
      <c r="R18" s="95">
        <f t="shared" si="0"/>
        <v>2948</v>
      </c>
      <c r="S18" s="43">
        <v>0</v>
      </c>
      <c r="T18" s="43">
        <f t="shared" si="1"/>
        <v>2948</v>
      </c>
      <c r="U18" s="43">
        <v>4169</v>
      </c>
      <c r="V18" s="48">
        <f t="shared" si="2"/>
        <v>12290212</v>
      </c>
      <c r="W18" s="39" t="s">
        <v>1123</v>
      </c>
    </row>
    <row r="19" spans="1:23" s="135" customFormat="1" ht="31.5" x14ac:dyDescent="0.25">
      <c r="A19" s="123">
        <v>17</v>
      </c>
      <c r="B19" s="129" t="s">
        <v>1039</v>
      </c>
      <c r="C19" s="40" t="s">
        <v>1247</v>
      </c>
      <c r="D19" s="137" t="s">
        <v>1028</v>
      </c>
      <c r="E19" s="138" t="s">
        <v>1025</v>
      </c>
      <c r="F19" s="129" t="s">
        <v>1026</v>
      </c>
      <c r="G19" s="54" t="s">
        <v>1027</v>
      </c>
      <c r="H19" s="139"/>
      <c r="I19" s="139"/>
      <c r="J19" s="140">
        <v>1778</v>
      </c>
      <c r="K19" s="46" t="s">
        <v>334</v>
      </c>
      <c r="L19" s="129" t="s">
        <v>1028</v>
      </c>
      <c r="M19" s="141" t="s">
        <v>668</v>
      </c>
      <c r="N19" s="139">
        <v>10</v>
      </c>
      <c r="O19" s="128">
        <v>86812</v>
      </c>
      <c r="P19" s="128">
        <v>86110</v>
      </c>
      <c r="Q19" s="39">
        <v>1</v>
      </c>
      <c r="R19" s="95">
        <f t="shared" si="0"/>
        <v>702</v>
      </c>
      <c r="S19" s="43">
        <v>0</v>
      </c>
      <c r="T19" s="43">
        <f t="shared" si="1"/>
        <v>702</v>
      </c>
      <c r="U19" s="43">
        <v>4169</v>
      </c>
      <c r="V19" s="48">
        <f t="shared" si="2"/>
        <v>2926638</v>
      </c>
      <c r="W19" s="39" t="s">
        <v>1123</v>
      </c>
    </row>
    <row r="20" spans="1:23" s="135" customFormat="1" ht="47.25" x14ac:dyDescent="0.25">
      <c r="A20" s="123">
        <v>21</v>
      </c>
      <c r="B20" s="40" t="s">
        <v>724</v>
      </c>
      <c r="C20" s="40" t="s">
        <v>724</v>
      </c>
      <c r="D20" s="40" t="s">
        <v>727</v>
      </c>
      <c r="E20" s="46" t="s">
        <v>726</v>
      </c>
      <c r="F20" s="41" t="s">
        <v>1091</v>
      </c>
      <c r="G20" s="54" t="s">
        <v>1092</v>
      </c>
      <c r="H20" s="52" t="s">
        <v>332</v>
      </c>
      <c r="I20" s="52"/>
      <c r="J20" s="152">
        <v>1478</v>
      </c>
      <c r="K20" s="46" t="s">
        <v>314</v>
      </c>
      <c r="L20" s="52" t="s">
        <v>1160</v>
      </c>
      <c r="M20" s="53" t="s">
        <v>332</v>
      </c>
      <c r="N20" s="52">
        <v>11</v>
      </c>
      <c r="O20" s="128">
        <v>299403</v>
      </c>
      <c r="P20" s="128">
        <v>298845</v>
      </c>
      <c r="Q20" s="39">
        <v>1</v>
      </c>
      <c r="R20" s="95">
        <f t="shared" si="0"/>
        <v>558</v>
      </c>
      <c r="S20" s="43">
        <v>0</v>
      </c>
      <c r="T20" s="43">
        <f t="shared" si="1"/>
        <v>558</v>
      </c>
      <c r="U20" s="43">
        <v>4169</v>
      </c>
      <c r="V20" s="48">
        <f t="shared" si="2"/>
        <v>2326302</v>
      </c>
      <c r="W20" s="39" t="s">
        <v>1122</v>
      </c>
    </row>
    <row r="21" spans="1:23" s="135" customFormat="1" ht="47.25" x14ac:dyDescent="0.25">
      <c r="A21" s="127">
        <v>22</v>
      </c>
      <c r="B21" s="40" t="s">
        <v>1305</v>
      </c>
      <c r="C21" s="40" t="s">
        <v>1306</v>
      </c>
      <c r="D21" s="40" t="s">
        <v>1035</v>
      </c>
      <c r="E21" s="42" t="s">
        <v>798</v>
      </c>
      <c r="F21" s="41" t="s">
        <v>1439</v>
      </c>
      <c r="G21" s="54" t="s">
        <v>1440</v>
      </c>
      <c r="H21" s="39" t="s">
        <v>332</v>
      </c>
      <c r="I21" s="39"/>
      <c r="J21" s="49">
        <v>90445</v>
      </c>
      <c r="K21" s="46" t="s">
        <v>314</v>
      </c>
      <c r="L21" s="39" t="s">
        <v>1040</v>
      </c>
      <c r="M21" s="47" t="s">
        <v>332</v>
      </c>
      <c r="N21" s="39">
        <v>12</v>
      </c>
      <c r="O21" s="128">
        <v>466332</v>
      </c>
      <c r="P21" s="128">
        <v>461613</v>
      </c>
      <c r="Q21" s="39">
        <v>1</v>
      </c>
      <c r="R21" s="95">
        <f t="shared" si="0"/>
        <v>4719</v>
      </c>
      <c r="S21" s="43">
        <v>0</v>
      </c>
      <c r="T21" s="43">
        <f t="shared" si="1"/>
        <v>4719</v>
      </c>
      <c r="U21" s="43">
        <v>4169</v>
      </c>
      <c r="V21" s="48">
        <f t="shared" si="2"/>
        <v>19673511</v>
      </c>
      <c r="W21" s="39" t="s">
        <v>1122</v>
      </c>
    </row>
    <row r="22" spans="1:23" s="135" customFormat="1" ht="31.5" x14ac:dyDescent="0.25">
      <c r="A22" s="123">
        <v>23</v>
      </c>
      <c r="B22" s="40" t="s">
        <v>1396</v>
      </c>
      <c r="C22" s="40"/>
      <c r="D22" s="40" t="s">
        <v>1444</v>
      </c>
      <c r="E22" s="42"/>
      <c r="F22" s="41" t="s">
        <v>1397</v>
      </c>
      <c r="G22" s="54" t="s">
        <v>1398</v>
      </c>
      <c r="H22" s="39"/>
      <c r="I22" s="39"/>
      <c r="J22" s="49">
        <v>3307</v>
      </c>
      <c r="K22" s="46" t="s">
        <v>314</v>
      </c>
      <c r="L22" s="39" t="s">
        <v>1040</v>
      </c>
      <c r="M22" s="47" t="s">
        <v>332</v>
      </c>
      <c r="N22" s="39">
        <v>12</v>
      </c>
      <c r="O22" s="128">
        <v>66481</v>
      </c>
      <c r="P22" s="128">
        <v>64127</v>
      </c>
      <c r="Q22" s="39">
        <v>1</v>
      </c>
      <c r="R22" s="95">
        <f>(O22-P22)*Q22</f>
        <v>2354</v>
      </c>
      <c r="S22" s="43">
        <v>0</v>
      </c>
      <c r="T22" s="43">
        <f>IF((R22-S22)&gt;0,(R22-S22),0)</f>
        <v>2354</v>
      </c>
      <c r="U22" s="43">
        <v>4169</v>
      </c>
      <c r="V22" s="48">
        <f>T22*U22</f>
        <v>9813826</v>
      </c>
      <c r="W22" s="39" t="s">
        <v>1122</v>
      </c>
    </row>
    <row r="23" spans="1:23" s="135" customFormat="1" ht="31.5" x14ac:dyDescent="0.25">
      <c r="A23" s="127">
        <v>24</v>
      </c>
      <c r="B23" s="40" t="s">
        <v>1290</v>
      </c>
      <c r="C23" s="40" t="s">
        <v>1285</v>
      </c>
      <c r="D23" s="40" t="s">
        <v>1291</v>
      </c>
      <c r="E23" s="42" t="s">
        <v>1292</v>
      </c>
      <c r="F23" s="41" t="s">
        <v>1287</v>
      </c>
      <c r="G23" s="54" t="s">
        <v>1288</v>
      </c>
      <c r="H23" s="39" t="s">
        <v>1286</v>
      </c>
      <c r="I23" s="39"/>
      <c r="J23" s="49" t="s">
        <v>1289</v>
      </c>
      <c r="K23" s="46" t="s">
        <v>314</v>
      </c>
      <c r="L23" s="39" t="s">
        <v>1040</v>
      </c>
      <c r="M23" s="47" t="s">
        <v>313</v>
      </c>
      <c r="N23" s="39">
        <v>13</v>
      </c>
      <c r="O23" s="128">
        <v>1405</v>
      </c>
      <c r="P23" s="128">
        <v>0</v>
      </c>
      <c r="Q23" s="39">
        <v>1</v>
      </c>
      <c r="R23" s="95">
        <f>(O23-P23)*Q23</f>
        <v>1405</v>
      </c>
      <c r="S23" s="43">
        <v>0</v>
      </c>
      <c r="T23" s="43">
        <f>IF((R23-S23)&gt;0,(R23-S23),0)</f>
        <v>1405</v>
      </c>
      <c r="U23" s="43">
        <v>4169</v>
      </c>
      <c r="V23" s="48">
        <f>T23*U23</f>
        <v>5857445</v>
      </c>
      <c r="W23" s="39" t="s">
        <v>1123</v>
      </c>
    </row>
    <row r="24" spans="1:23" s="135" customFormat="1" ht="31.5" x14ac:dyDescent="0.25">
      <c r="A24" s="123">
        <v>25</v>
      </c>
      <c r="B24" s="40" t="s">
        <v>966</v>
      </c>
      <c r="C24" s="40" t="s">
        <v>967</v>
      </c>
      <c r="D24" s="137" t="s">
        <v>627</v>
      </c>
      <c r="E24" s="142"/>
      <c r="F24" s="97"/>
      <c r="G24" s="158"/>
      <c r="H24" s="52" t="s">
        <v>1230</v>
      </c>
      <c r="I24" s="52"/>
      <c r="J24" s="131">
        <v>9045</v>
      </c>
      <c r="K24" s="46" t="s">
        <v>314</v>
      </c>
      <c r="L24" s="52" t="s">
        <v>1052</v>
      </c>
      <c r="M24" s="47" t="s">
        <v>681</v>
      </c>
      <c r="N24" s="52">
        <v>14</v>
      </c>
      <c r="O24" s="128">
        <v>195372</v>
      </c>
      <c r="P24" s="128">
        <v>193672</v>
      </c>
      <c r="Q24" s="39">
        <v>1</v>
      </c>
      <c r="R24" s="95">
        <f t="shared" si="0"/>
        <v>1700</v>
      </c>
      <c r="S24" s="43">
        <v>0</v>
      </c>
      <c r="T24" s="43">
        <f t="shared" si="1"/>
        <v>1700</v>
      </c>
      <c r="U24" s="43">
        <v>4169</v>
      </c>
      <c r="V24" s="48">
        <f t="shared" si="2"/>
        <v>7087300</v>
      </c>
      <c r="W24" s="39" t="s">
        <v>1124</v>
      </c>
    </row>
    <row r="25" spans="1:23" s="135" customFormat="1" ht="31.5" x14ac:dyDescent="0.25">
      <c r="A25" s="127">
        <v>28</v>
      </c>
      <c r="B25" s="40" t="s">
        <v>1525</v>
      </c>
      <c r="C25" s="40" t="s">
        <v>1247</v>
      </c>
      <c r="D25" s="40" t="s">
        <v>96</v>
      </c>
      <c r="E25" s="43"/>
      <c r="F25" s="41" t="s">
        <v>553</v>
      </c>
      <c r="G25" s="44" t="s">
        <v>928</v>
      </c>
      <c r="H25" s="39" t="s">
        <v>910</v>
      </c>
      <c r="I25" s="39"/>
      <c r="J25" s="49" t="s">
        <v>423</v>
      </c>
      <c r="K25" s="46" t="s">
        <v>334</v>
      </c>
      <c r="L25" s="39" t="s">
        <v>1100</v>
      </c>
      <c r="M25" s="47" t="s">
        <v>681</v>
      </c>
      <c r="N25" s="39">
        <v>15</v>
      </c>
      <c r="O25" s="94">
        <v>44919</v>
      </c>
      <c r="P25" s="94">
        <v>44583</v>
      </c>
      <c r="Q25" s="39">
        <v>1</v>
      </c>
      <c r="R25" s="95">
        <f t="shared" si="0"/>
        <v>336</v>
      </c>
      <c r="S25" s="43">
        <v>0</v>
      </c>
      <c r="T25" s="43">
        <f t="shared" si="1"/>
        <v>336</v>
      </c>
      <c r="U25" s="43">
        <v>4169</v>
      </c>
      <c r="V25" s="48">
        <f t="shared" si="2"/>
        <v>1400784</v>
      </c>
      <c r="W25" s="39" t="s">
        <v>1124</v>
      </c>
    </row>
    <row r="26" spans="1:23" s="135" customFormat="1" ht="31.5" x14ac:dyDescent="0.25">
      <c r="A26" s="123">
        <v>29</v>
      </c>
      <c r="B26" s="40" t="s">
        <v>788</v>
      </c>
      <c r="C26" s="40" t="s">
        <v>537</v>
      </c>
      <c r="D26" s="40" t="s">
        <v>1451</v>
      </c>
      <c r="E26" s="43">
        <v>38684569</v>
      </c>
      <c r="F26" s="41" t="s">
        <v>386</v>
      </c>
      <c r="G26" s="44" t="s">
        <v>385</v>
      </c>
      <c r="H26" s="39" t="s">
        <v>1228</v>
      </c>
      <c r="I26" s="39"/>
      <c r="J26" s="49" t="s">
        <v>97</v>
      </c>
      <c r="K26" s="46" t="s">
        <v>314</v>
      </c>
      <c r="L26" s="39" t="s">
        <v>343</v>
      </c>
      <c r="M26" s="47" t="s">
        <v>332</v>
      </c>
      <c r="N26" s="39">
        <v>18</v>
      </c>
      <c r="O26" s="94">
        <v>317660</v>
      </c>
      <c r="P26" s="94">
        <v>316439</v>
      </c>
      <c r="Q26" s="39">
        <v>1</v>
      </c>
      <c r="R26" s="95">
        <f t="shared" si="0"/>
        <v>1221</v>
      </c>
      <c r="S26" s="43">
        <v>0</v>
      </c>
      <c r="T26" s="43">
        <f t="shared" si="1"/>
        <v>1221</v>
      </c>
      <c r="U26" s="43">
        <v>4169</v>
      </c>
      <c r="V26" s="48">
        <f t="shared" si="2"/>
        <v>5090349</v>
      </c>
      <c r="W26" s="39" t="s">
        <v>1123</v>
      </c>
    </row>
    <row r="27" spans="1:23" s="135" customFormat="1" ht="31.5" x14ac:dyDescent="0.25">
      <c r="A27" s="127">
        <v>30</v>
      </c>
      <c r="B27" s="40" t="s">
        <v>788</v>
      </c>
      <c r="C27" s="40" t="s">
        <v>537</v>
      </c>
      <c r="D27" s="40" t="s">
        <v>1449</v>
      </c>
      <c r="E27" s="43">
        <v>36230568</v>
      </c>
      <c r="F27" s="41" t="s">
        <v>386</v>
      </c>
      <c r="G27" s="44" t="s">
        <v>385</v>
      </c>
      <c r="H27" s="39" t="s">
        <v>1228</v>
      </c>
      <c r="I27" s="39"/>
      <c r="J27" s="49" t="s">
        <v>99</v>
      </c>
      <c r="K27" s="46" t="s">
        <v>334</v>
      </c>
      <c r="L27" s="39" t="s">
        <v>343</v>
      </c>
      <c r="M27" s="47" t="s">
        <v>332</v>
      </c>
      <c r="N27" s="39">
        <v>18</v>
      </c>
      <c r="O27" s="94">
        <v>33796</v>
      </c>
      <c r="P27" s="94">
        <v>33002</v>
      </c>
      <c r="Q27" s="39">
        <v>1</v>
      </c>
      <c r="R27" s="95">
        <f t="shared" si="0"/>
        <v>794</v>
      </c>
      <c r="S27" s="43">
        <v>0</v>
      </c>
      <c r="T27" s="43">
        <f t="shared" si="1"/>
        <v>794</v>
      </c>
      <c r="U27" s="43">
        <v>4169</v>
      </c>
      <c r="V27" s="48">
        <f t="shared" si="2"/>
        <v>3310186</v>
      </c>
      <c r="W27" s="39" t="s">
        <v>1123</v>
      </c>
    </row>
    <row r="28" spans="1:23" s="135" customFormat="1" x14ac:dyDescent="0.25">
      <c r="A28" s="123">
        <v>31</v>
      </c>
      <c r="B28" s="40" t="s">
        <v>537</v>
      </c>
      <c r="C28" s="40" t="s">
        <v>537</v>
      </c>
      <c r="D28" s="40" t="s">
        <v>182</v>
      </c>
      <c r="E28" s="43">
        <v>38684569</v>
      </c>
      <c r="F28" s="41" t="s">
        <v>1457</v>
      </c>
      <c r="G28" s="44"/>
      <c r="H28" s="39" t="s">
        <v>1228</v>
      </c>
      <c r="I28" s="39"/>
      <c r="J28" s="49" t="s">
        <v>179</v>
      </c>
      <c r="K28" s="46" t="s">
        <v>314</v>
      </c>
      <c r="L28" s="39" t="s">
        <v>178</v>
      </c>
      <c r="M28" s="47" t="s">
        <v>326</v>
      </c>
      <c r="N28" s="39">
        <v>19</v>
      </c>
      <c r="O28" s="94">
        <v>143497</v>
      </c>
      <c r="P28" s="94">
        <v>143174</v>
      </c>
      <c r="Q28" s="39">
        <v>1</v>
      </c>
      <c r="R28" s="95">
        <f t="shared" si="0"/>
        <v>323</v>
      </c>
      <c r="S28" s="43">
        <v>0</v>
      </c>
      <c r="T28" s="43">
        <f t="shared" si="1"/>
        <v>323</v>
      </c>
      <c r="U28" s="43">
        <v>4169</v>
      </c>
      <c r="V28" s="48">
        <f t="shared" si="2"/>
        <v>1346587</v>
      </c>
      <c r="W28" s="39" t="s">
        <v>1123</v>
      </c>
    </row>
    <row r="29" spans="1:23" s="135" customFormat="1" ht="31.5" x14ac:dyDescent="0.25">
      <c r="A29" s="127">
        <v>32</v>
      </c>
      <c r="B29" s="40" t="s">
        <v>962</v>
      </c>
      <c r="C29" s="40" t="s">
        <v>962</v>
      </c>
      <c r="D29" s="40" t="s">
        <v>1447</v>
      </c>
      <c r="E29" s="44" t="s">
        <v>926</v>
      </c>
      <c r="F29" s="41" t="s">
        <v>963</v>
      </c>
      <c r="G29" s="44" t="s">
        <v>926</v>
      </c>
      <c r="H29" s="39" t="s">
        <v>1228</v>
      </c>
      <c r="I29" s="39"/>
      <c r="J29" s="49">
        <v>8820</v>
      </c>
      <c r="K29" s="46" t="s">
        <v>334</v>
      </c>
      <c r="L29" s="39" t="s">
        <v>370</v>
      </c>
      <c r="M29" s="47" t="s">
        <v>332</v>
      </c>
      <c r="N29" s="39">
        <v>20</v>
      </c>
      <c r="O29" s="94">
        <v>89688</v>
      </c>
      <c r="P29" s="94">
        <v>89562</v>
      </c>
      <c r="Q29" s="39">
        <v>1</v>
      </c>
      <c r="R29" s="95">
        <f t="shared" si="0"/>
        <v>126</v>
      </c>
      <c r="S29" s="43">
        <v>0</v>
      </c>
      <c r="T29" s="43">
        <f t="shared" si="1"/>
        <v>126</v>
      </c>
      <c r="U29" s="43">
        <v>4169</v>
      </c>
      <c r="V29" s="48">
        <f t="shared" si="2"/>
        <v>525294</v>
      </c>
      <c r="W29" s="39" t="s">
        <v>1123</v>
      </c>
    </row>
    <row r="30" spans="1:23" s="135" customFormat="1" ht="31.5" x14ac:dyDescent="0.25">
      <c r="A30" s="123">
        <v>33</v>
      </c>
      <c r="B30" s="291" t="s">
        <v>1386</v>
      </c>
      <c r="C30" s="251" t="s">
        <v>1247</v>
      </c>
      <c r="D30" s="251" t="s">
        <v>1390</v>
      </c>
      <c r="E30" s="290"/>
      <c r="F30" s="252" t="s">
        <v>1446</v>
      </c>
      <c r="G30" s="277" t="s">
        <v>1387</v>
      </c>
      <c r="H30" s="253" t="s">
        <v>1228</v>
      </c>
      <c r="I30" s="253"/>
      <c r="J30" s="271">
        <v>9838</v>
      </c>
      <c r="K30" s="254" t="s">
        <v>314</v>
      </c>
      <c r="L30" s="253" t="s">
        <v>370</v>
      </c>
      <c r="M30" s="272" t="s">
        <v>332</v>
      </c>
      <c r="N30" s="253">
        <v>20</v>
      </c>
      <c r="O30" s="226">
        <v>125079</v>
      </c>
      <c r="P30" s="226">
        <v>122675</v>
      </c>
      <c r="Q30" s="253">
        <v>1</v>
      </c>
      <c r="R30" s="255">
        <f t="shared" si="0"/>
        <v>2404</v>
      </c>
      <c r="S30" s="227">
        <v>0</v>
      </c>
      <c r="T30" s="227">
        <f t="shared" si="1"/>
        <v>2404</v>
      </c>
      <c r="U30" s="227">
        <v>4169</v>
      </c>
      <c r="V30" s="270">
        <f t="shared" si="2"/>
        <v>10022276</v>
      </c>
      <c r="W30" s="253" t="s">
        <v>1123</v>
      </c>
    </row>
    <row r="31" spans="1:23" s="135" customFormat="1" ht="31.5" x14ac:dyDescent="0.25">
      <c r="A31" s="127">
        <v>34</v>
      </c>
      <c r="B31" s="40" t="s">
        <v>1388</v>
      </c>
      <c r="C31" s="40" t="s">
        <v>1247</v>
      </c>
      <c r="D31" s="40" t="s">
        <v>1389</v>
      </c>
      <c r="E31" s="44"/>
      <c r="F31" s="41" t="s">
        <v>1391</v>
      </c>
      <c r="G31" s="44" t="s">
        <v>1392</v>
      </c>
      <c r="H31" s="39" t="s">
        <v>1228</v>
      </c>
      <c r="I31" s="39"/>
      <c r="J31" s="49" t="s">
        <v>3</v>
      </c>
      <c r="K31" s="46" t="s">
        <v>314</v>
      </c>
      <c r="L31" s="39" t="s">
        <v>370</v>
      </c>
      <c r="M31" s="47" t="s">
        <v>332</v>
      </c>
      <c r="N31" s="39">
        <v>21</v>
      </c>
      <c r="O31" s="128">
        <v>159004</v>
      </c>
      <c r="P31" s="128">
        <v>157022</v>
      </c>
      <c r="Q31" s="39">
        <v>1</v>
      </c>
      <c r="R31" s="95">
        <f t="shared" si="0"/>
        <v>1982</v>
      </c>
      <c r="S31" s="43">
        <v>0</v>
      </c>
      <c r="T31" s="43">
        <f t="shared" si="1"/>
        <v>1982</v>
      </c>
      <c r="U31" s="43">
        <v>4169</v>
      </c>
      <c r="V31" s="48">
        <f t="shared" si="2"/>
        <v>8262958</v>
      </c>
      <c r="W31" s="39" t="s">
        <v>1123</v>
      </c>
    </row>
    <row r="32" spans="1:23" s="135" customFormat="1" ht="31.5" x14ac:dyDescent="0.25">
      <c r="A32" s="123">
        <v>35</v>
      </c>
      <c r="B32" s="40" t="s">
        <v>1044</v>
      </c>
      <c r="C32" s="41" t="s">
        <v>1247</v>
      </c>
      <c r="D32" s="40" t="s">
        <v>1448</v>
      </c>
      <c r="E32" s="132">
        <v>912212968</v>
      </c>
      <c r="F32" s="41" t="s">
        <v>808</v>
      </c>
      <c r="G32" s="136">
        <v>912212968</v>
      </c>
      <c r="H32" s="39" t="s">
        <v>1228</v>
      </c>
      <c r="I32" s="39"/>
      <c r="J32" s="49">
        <v>1324</v>
      </c>
      <c r="K32" s="46" t="s">
        <v>314</v>
      </c>
      <c r="L32" s="39" t="s">
        <v>370</v>
      </c>
      <c r="M32" s="47" t="s">
        <v>313</v>
      </c>
      <c r="N32" s="39">
        <v>19</v>
      </c>
      <c r="O32" s="134">
        <v>113371</v>
      </c>
      <c r="P32" s="134">
        <v>111552</v>
      </c>
      <c r="Q32" s="39">
        <v>1</v>
      </c>
      <c r="R32" s="95">
        <f t="shared" si="0"/>
        <v>1819</v>
      </c>
      <c r="S32" s="43">
        <v>0</v>
      </c>
      <c r="T32" s="43">
        <f t="shared" si="1"/>
        <v>1819</v>
      </c>
      <c r="U32" s="43">
        <v>4169</v>
      </c>
      <c r="V32" s="48">
        <f t="shared" si="2"/>
        <v>7583411</v>
      </c>
      <c r="W32" s="39" t="s">
        <v>1123</v>
      </c>
    </row>
    <row r="33" spans="1:23" s="135" customFormat="1" ht="31.5" x14ac:dyDescent="0.25">
      <c r="A33" s="127">
        <v>36</v>
      </c>
      <c r="B33" s="40" t="s">
        <v>1496</v>
      </c>
      <c r="C33" s="40" t="s">
        <v>1247</v>
      </c>
      <c r="D33" s="40" t="s">
        <v>1045</v>
      </c>
      <c r="E33" s="43"/>
      <c r="F33" s="41" t="s">
        <v>105</v>
      </c>
      <c r="G33" s="44" t="s">
        <v>107</v>
      </c>
      <c r="H33" s="39" t="s">
        <v>1229</v>
      </c>
      <c r="I33" s="39"/>
      <c r="J33" s="49" t="s">
        <v>108</v>
      </c>
      <c r="K33" s="46" t="s">
        <v>334</v>
      </c>
      <c r="L33" s="39" t="s">
        <v>1323</v>
      </c>
      <c r="M33" s="47" t="s">
        <v>326</v>
      </c>
      <c r="N33" s="39">
        <v>22</v>
      </c>
      <c r="O33" s="128">
        <v>32728</v>
      </c>
      <c r="P33" s="128">
        <v>32347</v>
      </c>
      <c r="Q33" s="39">
        <v>1</v>
      </c>
      <c r="R33" s="95">
        <f t="shared" si="0"/>
        <v>381</v>
      </c>
      <c r="S33" s="43">
        <v>0</v>
      </c>
      <c r="T33" s="43">
        <f t="shared" si="1"/>
        <v>381</v>
      </c>
      <c r="U33" s="43">
        <v>4169</v>
      </c>
      <c r="V33" s="48">
        <f t="shared" si="2"/>
        <v>1588389</v>
      </c>
      <c r="W33" s="39" t="s">
        <v>1122</v>
      </c>
    </row>
    <row r="34" spans="1:23" s="135" customFormat="1" ht="31.5" x14ac:dyDescent="0.25">
      <c r="A34" s="127">
        <v>40</v>
      </c>
      <c r="B34" s="40" t="s">
        <v>1393</v>
      </c>
      <c r="C34" s="40" t="s">
        <v>1247</v>
      </c>
      <c r="D34" s="40" t="s">
        <v>1202</v>
      </c>
      <c r="E34" s="43"/>
      <c r="F34" s="41" t="s">
        <v>1395</v>
      </c>
      <c r="G34" s="54" t="s">
        <v>1394</v>
      </c>
      <c r="H34" s="39" t="s">
        <v>1276</v>
      </c>
      <c r="I34" s="39"/>
      <c r="J34" s="49">
        <v>3218</v>
      </c>
      <c r="K34" s="46" t="s">
        <v>334</v>
      </c>
      <c r="L34" s="39" t="s">
        <v>1203</v>
      </c>
      <c r="M34" s="47" t="s">
        <v>332</v>
      </c>
      <c r="N34" s="39">
        <v>23</v>
      </c>
      <c r="O34" s="93">
        <v>16492</v>
      </c>
      <c r="P34" s="93">
        <v>16026</v>
      </c>
      <c r="Q34" s="39">
        <v>1</v>
      </c>
      <c r="R34" s="95">
        <f t="shared" si="0"/>
        <v>466</v>
      </c>
      <c r="S34" s="50">
        <v>0</v>
      </c>
      <c r="T34" s="43">
        <f t="shared" si="1"/>
        <v>466</v>
      </c>
      <c r="U34" s="43">
        <v>4169</v>
      </c>
      <c r="V34" s="48">
        <f t="shared" si="2"/>
        <v>1942754</v>
      </c>
      <c r="W34" s="39" t="s">
        <v>1122</v>
      </c>
    </row>
    <row r="35" spans="1:23" s="135" customFormat="1" ht="31.5" x14ac:dyDescent="0.25">
      <c r="A35" s="123">
        <v>41</v>
      </c>
      <c r="B35" s="40" t="s">
        <v>1108</v>
      </c>
      <c r="C35" s="40" t="s">
        <v>1247</v>
      </c>
      <c r="D35" s="40" t="s">
        <v>446</v>
      </c>
      <c r="E35" s="288" t="s">
        <v>1524</v>
      </c>
      <c r="F35" s="247" t="s">
        <v>1109</v>
      </c>
      <c r="G35" s="288" t="s">
        <v>855</v>
      </c>
      <c r="H35" s="39" t="s">
        <v>826</v>
      </c>
      <c r="I35" s="39"/>
      <c r="J35" s="49">
        <v>9876</v>
      </c>
      <c r="K35" s="46" t="s">
        <v>334</v>
      </c>
      <c r="L35" s="39" t="s">
        <v>1324</v>
      </c>
      <c r="M35" s="47" t="s">
        <v>344</v>
      </c>
      <c r="N35" s="39">
        <v>27</v>
      </c>
      <c r="O35" s="94">
        <v>60251</v>
      </c>
      <c r="P35" s="94">
        <v>59995</v>
      </c>
      <c r="Q35" s="39">
        <v>1</v>
      </c>
      <c r="R35" s="95">
        <f t="shared" si="0"/>
        <v>256</v>
      </c>
      <c r="S35" s="43">
        <v>0</v>
      </c>
      <c r="T35" s="43">
        <f t="shared" si="1"/>
        <v>256</v>
      </c>
      <c r="U35" s="43">
        <v>4169</v>
      </c>
      <c r="V35" s="48">
        <f t="shared" si="2"/>
        <v>1067264</v>
      </c>
      <c r="W35" s="39" t="s">
        <v>1125</v>
      </c>
    </row>
    <row r="36" spans="1:23" s="135" customFormat="1" ht="31.5" x14ac:dyDescent="0.25">
      <c r="A36" s="127">
        <v>42</v>
      </c>
      <c r="B36" s="40" t="s">
        <v>951</v>
      </c>
      <c r="C36" s="40" t="s">
        <v>1247</v>
      </c>
      <c r="D36" s="40" t="s">
        <v>446</v>
      </c>
      <c r="E36" s="43">
        <v>38694529</v>
      </c>
      <c r="F36" s="41" t="s">
        <v>731</v>
      </c>
      <c r="G36" s="44" t="s">
        <v>952</v>
      </c>
      <c r="H36" s="39" t="s">
        <v>826</v>
      </c>
      <c r="I36" s="39"/>
      <c r="J36" s="49" t="s">
        <v>432</v>
      </c>
      <c r="K36" s="46" t="s">
        <v>334</v>
      </c>
      <c r="L36" s="39" t="s">
        <v>1111</v>
      </c>
      <c r="M36" s="47" t="s">
        <v>344</v>
      </c>
      <c r="N36" s="39">
        <v>27</v>
      </c>
      <c r="O36" s="94">
        <v>20001</v>
      </c>
      <c r="P36" s="94">
        <v>19811</v>
      </c>
      <c r="Q36" s="39">
        <v>1</v>
      </c>
      <c r="R36" s="95">
        <f t="shared" si="0"/>
        <v>190</v>
      </c>
      <c r="S36" s="43">
        <v>0</v>
      </c>
      <c r="T36" s="43">
        <f t="shared" si="1"/>
        <v>190</v>
      </c>
      <c r="U36" s="43">
        <v>4169</v>
      </c>
      <c r="V36" s="48">
        <f t="shared" si="2"/>
        <v>792110</v>
      </c>
      <c r="W36" s="39" t="s">
        <v>1125</v>
      </c>
    </row>
    <row r="37" spans="1:23" s="135" customFormat="1" x14ac:dyDescent="0.25">
      <c r="A37" s="123">
        <v>43</v>
      </c>
      <c r="B37" s="40" t="s">
        <v>953</v>
      </c>
      <c r="C37" s="40" t="s">
        <v>1247</v>
      </c>
      <c r="D37" s="40" t="s">
        <v>445</v>
      </c>
      <c r="E37" s="43">
        <v>38692116</v>
      </c>
      <c r="F37" s="41" t="s">
        <v>78</v>
      </c>
      <c r="G37" s="44" t="s">
        <v>415</v>
      </c>
      <c r="H37" s="39" t="s">
        <v>909</v>
      </c>
      <c r="I37" s="39"/>
      <c r="J37" s="49" t="s">
        <v>431</v>
      </c>
      <c r="K37" s="46" t="s">
        <v>334</v>
      </c>
      <c r="L37" s="39" t="s">
        <v>1110</v>
      </c>
      <c r="M37" s="47" t="s">
        <v>344</v>
      </c>
      <c r="N37" s="39">
        <v>23</v>
      </c>
      <c r="O37" s="94">
        <v>16985</v>
      </c>
      <c r="P37" s="94">
        <v>16902</v>
      </c>
      <c r="Q37" s="39">
        <v>1</v>
      </c>
      <c r="R37" s="95">
        <f t="shared" si="0"/>
        <v>83</v>
      </c>
      <c r="S37" s="43">
        <v>0</v>
      </c>
      <c r="T37" s="43">
        <f t="shared" si="1"/>
        <v>83</v>
      </c>
      <c r="U37" s="43">
        <v>4169</v>
      </c>
      <c r="V37" s="48">
        <f t="shared" si="2"/>
        <v>346027</v>
      </c>
      <c r="W37" s="39" t="s">
        <v>1125</v>
      </c>
    </row>
    <row r="38" spans="1:23" s="135" customFormat="1" ht="31.5" x14ac:dyDescent="0.25">
      <c r="A38" s="127">
        <v>44</v>
      </c>
      <c r="B38" s="40" t="s">
        <v>672</v>
      </c>
      <c r="C38" s="40" t="s">
        <v>1247</v>
      </c>
      <c r="D38" s="40" t="s">
        <v>444</v>
      </c>
      <c r="E38" s="43"/>
      <c r="F38" s="41" t="s">
        <v>508</v>
      </c>
      <c r="G38" s="44" t="s">
        <v>509</v>
      </c>
      <c r="H38" s="39" t="s">
        <v>1211</v>
      </c>
      <c r="I38" s="39"/>
      <c r="J38" s="49">
        <v>9682</v>
      </c>
      <c r="K38" s="46" t="s">
        <v>334</v>
      </c>
      <c r="L38" s="39" t="s">
        <v>1099</v>
      </c>
      <c r="M38" s="47" t="s">
        <v>344</v>
      </c>
      <c r="N38" s="39">
        <v>29</v>
      </c>
      <c r="O38" s="94">
        <v>298</v>
      </c>
      <c r="P38" s="94">
        <v>172</v>
      </c>
      <c r="Q38" s="39">
        <v>1</v>
      </c>
      <c r="R38" s="95">
        <f t="shared" si="0"/>
        <v>126</v>
      </c>
      <c r="S38" s="43">
        <v>0</v>
      </c>
      <c r="T38" s="43">
        <f t="shared" si="1"/>
        <v>126</v>
      </c>
      <c r="U38" s="43">
        <v>4169</v>
      </c>
      <c r="V38" s="48">
        <f t="shared" si="2"/>
        <v>525294</v>
      </c>
      <c r="W38" s="39" t="s">
        <v>1125</v>
      </c>
    </row>
    <row r="39" spans="1:23" s="135" customFormat="1" ht="30.75" customHeight="1" x14ac:dyDescent="0.25">
      <c r="A39" s="123">
        <v>45</v>
      </c>
      <c r="B39" s="40" t="s">
        <v>1118</v>
      </c>
      <c r="C39" s="40" t="s">
        <v>1247</v>
      </c>
      <c r="D39" s="40" t="s">
        <v>444</v>
      </c>
      <c r="E39" s="43"/>
      <c r="F39" s="40" t="s">
        <v>956</v>
      </c>
      <c r="G39" s="44" t="s">
        <v>957</v>
      </c>
      <c r="H39" s="39" t="s">
        <v>1211</v>
      </c>
      <c r="I39" s="39"/>
      <c r="J39" s="49" t="s">
        <v>434</v>
      </c>
      <c r="K39" s="46" t="s">
        <v>334</v>
      </c>
      <c r="L39" s="39" t="s">
        <v>388</v>
      </c>
      <c r="M39" s="47" t="s">
        <v>344</v>
      </c>
      <c r="N39" s="39">
        <v>29</v>
      </c>
      <c r="O39" s="94">
        <v>67345</v>
      </c>
      <c r="P39" s="94">
        <v>67058</v>
      </c>
      <c r="Q39" s="39">
        <v>1</v>
      </c>
      <c r="R39" s="95">
        <f t="shared" si="0"/>
        <v>287</v>
      </c>
      <c r="S39" s="43">
        <v>0</v>
      </c>
      <c r="T39" s="43">
        <f t="shared" si="1"/>
        <v>287</v>
      </c>
      <c r="U39" s="43">
        <v>4169</v>
      </c>
      <c r="V39" s="48">
        <f t="shared" si="2"/>
        <v>1196503</v>
      </c>
      <c r="W39" s="39" t="s">
        <v>1125</v>
      </c>
    </row>
    <row r="40" spans="1:23" s="135" customFormat="1" ht="33.75" customHeight="1" x14ac:dyDescent="0.25">
      <c r="A40" s="127">
        <v>46</v>
      </c>
      <c r="B40" s="40" t="s">
        <v>1284</v>
      </c>
      <c r="C40" s="40"/>
      <c r="D40" s="40" t="s">
        <v>1328</v>
      </c>
      <c r="E40" s="43"/>
      <c r="F40" s="41" t="s">
        <v>1534</v>
      </c>
      <c r="G40" s="54" t="s">
        <v>1535</v>
      </c>
      <c r="H40" s="39" t="s">
        <v>681</v>
      </c>
      <c r="I40" s="39"/>
      <c r="J40" s="49">
        <v>2172</v>
      </c>
      <c r="K40" s="46" t="s">
        <v>314</v>
      </c>
      <c r="L40" s="39" t="s">
        <v>1401</v>
      </c>
      <c r="M40" s="47" t="s">
        <v>681</v>
      </c>
      <c r="N40" s="39">
        <v>30</v>
      </c>
      <c r="O40" s="128">
        <v>53319</v>
      </c>
      <c r="P40" s="128">
        <v>53260</v>
      </c>
      <c r="Q40" s="39">
        <v>1</v>
      </c>
      <c r="R40" s="95">
        <f t="shared" si="0"/>
        <v>59</v>
      </c>
      <c r="S40" s="43">
        <v>0</v>
      </c>
      <c r="T40" s="43">
        <f t="shared" si="1"/>
        <v>59</v>
      </c>
      <c r="U40" s="227">
        <v>3505</v>
      </c>
      <c r="V40" s="48">
        <f t="shared" si="2"/>
        <v>206795</v>
      </c>
      <c r="W40" s="39" t="s">
        <v>1125</v>
      </c>
    </row>
    <row r="41" spans="1:23" s="135" customFormat="1" ht="33.75" customHeight="1" x14ac:dyDescent="0.25">
      <c r="A41" s="127">
        <v>48</v>
      </c>
      <c r="B41" s="40" t="s">
        <v>1463</v>
      </c>
      <c r="C41" s="40"/>
      <c r="D41" s="40" t="s">
        <v>1329</v>
      </c>
      <c r="E41" s="43"/>
      <c r="F41" s="41" t="s">
        <v>1331</v>
      </c>
      <c r="G41" s="54" t="s">
        <v>1332</v>
      </c>
      <c r="H41" s="39" t="s">
        <v>681</v>
      </c>
      <c r="I41" s="39"/>
      <c r="J41" s="153" t="s">
        <v>1330</v>
      </c>
      <c r="K41" s="46" t="s">
        <v>334</v>
      </c>
      <c r="L41" s="39" t="s">
        <v>1402</v>
      </c>
      <c r="M41" s="47" t="s">
        <v>681</v>
      </c>
      <c r="N41" s="39">
        <v>31</v>
      </c>
      <c r="O41" s="128">
        <v>8212</v>
      </c>
      <c r="P41" s="128">
        <v>7991</v>
      </c>
      <c r="Q41" s="39">
        <v>1</v>
      </c>
      <c r="R41" s="95">
        <f t="shared" si="0"/>
        <v>221</v>
      </c>
      <c r="S41" s="43">
        <v>0</v>
      </c>
      <c r="T41" s="43">
        <f t="shared" si="1"/>
        <v>221</v>
      </c>
      <c r="U41" s="227">
        <v>3505</v>
      </c>
      <c r="V41" s="48">
        <f t="shared" si="2"/>
        <v>774605</v>
      </c>
      <c r="W41" s="39" t="s">
        <v>1125</v>
      </c>
    </row>
    <row r="42" spans="1:23" s="135" customFormat="1" ht="33.75" customHeight="1" x14ac:dyDescent="0.25">
      <c r="A42" s="123">
        <v>49</v>
      </c>
      <c r="B42" s="40" t="s">
        <v>1463</v>
      </c>
      <c r="C42" s="40"/>
      <c r="D42" s="40" t="s">
        <v>1472</v>
      </c>
      <c r="E42" s="43"/>
      <c r="F42" s="41" t="s">
        <v>1331</v>
      </c>
      <c r="G42" s="54" t="s">
        <v>1332</v>
      </c>
      <c r="H42" s="39" t="s">
        <v>681</v>
      </c>
      <c r="I42" s="39"/>
      <c r="J42" s="153">
        <v>2526</v>
      </c>
      <c r="K42" s="46" t="s">
        <v>314</v>
      </c>
      <c r="L42" s="39" t="s">
        <v>1402</v>
      </c>
      <c r="M42" s="47" t="s">
        <v>681</v>
      </c>
      <c r="N42" s="39">
        <v>31</v>
      </c>
      <c r="O42" s="128">
        <v>27925</v>
      </c>
      <c r="P42" s="128">
        <v>27822</v>
      </c>
      <c r="Q42" s="39">
        <v>1</v>
      </c>
      <c r="R42" s="95">
        <f>(O42-P42)*Q42</f>
        <v>103</v>
      </c>
      <c r="S42" s="43">
        <v>0</v>
      </c>
      <c r="T42" s="43">
        <f>IF((R42-S42)&gt;0,(R42-S42),0)</f>
        <v>103</v>
      </c>
      <c r="U42" s="227">
        <v>3505</v>
      </c>
      <c r="V42" s="48">
        <f>T42*U42</f>
        <v>361015</v>
      </c>
      <c r="W42" s="39" t="s">
        <v>1125</v>
      </c>
    </row>
    <row r="43" spans="1:23" s="135" customFormat="1" ht="33.75" customHeight="1" x14ac:dyDescent="0.25">
      <c r="A43" s="127">
        <v>50</v>
      </c>
      <c r="B43" s="40" t="s">
        <v>1284</v>
      </c>
      <c r="C43" s="40"/>
      <c r="D43" s="40" t="s">
        <v>1470</v>
      </c>
      <c r="E43" s="43"/>
      <c r="F43" s="41" t="s">
        <v>1534</v>
      </c>
      <c r="G43" s="54" t="s">
        <v>1535</v>
      </c>
      <c r="H43" s="39" t="s">
        <v>681</v>
      </c>
      <c r="I43" s="39"/>
      <c r="J43" s="49">
        <v>4311</v>
      </c>
      <c r="K43" s="46" t="s">
        <v>314</v>
      </c>
      <c r="L43" s="39" t="s">
        <v>1403</v>
      </c>
      <c r="M43" s="47" t="s">
        <v>681</v>
      </c>
      <c r="N43" s="39">
        <v>32</v>
      </c>
      <c r="O43" s="128">
        <v>6587</v>
      </c>
      <c r="P43" s="128">
        <v>6577</v>
      </c>
      <c r="Q43" s="39">
        <v>40</v>
      </c>
      <c r="R43" s="95">
        <f t="shared" si="0"/>
        <v>400</v>
      </c>
      <c r="S43" s="43">
        <v>0</v>
      </c>
      <c r="T43" s="43">
        <f t="shared" si="1"/>
        <v>400</v>
      </c>
      <c r="U43" s="227">
        <v>3505</v>
      </c>
      <c r="V43" s="48">
        <f t="shared" si="2"/>
        <v>1402000</v>
      </c>
      <c r="W43" s="39" t="s">
        <v>1125</v>
      </c>
    </row>
    <row r="44" spans="1:23" s="135" customFormat="1" x14ac:dyDescent="0.25">
      <c r="A44" s="123">
        <v>51</v>
      </c>
      <c r="B44" s="40" t="s">
        <v>1505</v>
      </c>
      <c r="C44" s="40"/>
      <c r="D44" s="40" t="s">
        <v>1399</v>
      </c>
      <c r="E44" s="43"/>
      <c r="F44" s="41" t="s">
        <v>1504</v>
      </c>
      <c r="G44" s="54" t="s">
        <v>1503</v>
      </c>
      <c r="H44" s="39" t="s">
        <v>681</v>
      </c>
      <c r="I44" s="39"/>
      <c r="J44" s="49">
        <v>10004862</v>
      </c>
      <c r="K44" s="46" t="s">
        <v>314</v>
      </c>
      <c r="L44" s="39" t="s">
        <v>1513</v>
      </c>
      <c r="M44" s="47" t="s">
        <v>681</v>
      </c>
      <c r="N44" s="39">
        <v>32</v>
      </c>
      <c r="O44" s="93">
        <v>21637</v>
      </c>
      <c r="P44" s="93">
        <v>20899</v>
      </c>
      <c r="Q44" s="39">
        <v>1</v>
      </c>
      <c r="R44" s="95">
        <f t="shared" si="0"/>
        <v>738</v>
      </c>
      <c r="S44" s="50">
        <v>0</v>
      </c>
      <c r="T44" s="43">
        <f t="shared" si="1"/>
        <v>738</v>
      </c>
      <c r="U44" s="227">
        <v>3505</v>
      </c>
      <c r="V44" s="48">
        <f t="shared" si="2"/>
        <v>2586690</v>
      </c>
      <c r="W44" s="39"/>
    </row>
    <row r="45" spans="1:23" s="135" customFormat="1" x14ac:dyDescent="0.25">
      <c r="A45" s="127">
        <v>52</v>
      </c>
      <c r="B45" s="40" t="s">
        <v>1506</v>
      </c>
      <c r="C45" s="40"/>
      <c r="D45" s="40" t="s">
        <v>1471</v>
      </c>
      <c r="E45" s="43"/>
      <c r="F45" s="41" t="s">
        <v>1504</v>
      </c>
      <c r="G45" s="54" t="s">
        <v>1503</v>
      </c>
      <c r="H45" s="39" t="s">
        <v>1143</v>
      </c>
      <c r="I45" s="39"/>
      <c r="J45" s="49">
        <v>4332</v>
      </c>
      <c r="K45" s="46" t="s">
        <v>314</v>
      </c>
      <c r="L45" s="39" t="s">
        <v>1473</v>
      </c>
      <c r="M45" s="47" t="s">
        <v>681</v>
      </c>
      <c r="N45" s="39">
        <v>27</v>
      </c>
      <c r="O45" s="93">
        <v>9455</v>
      </c>
      <c r="P45" s="93">
        <v>9107</v>
      </c>
      <c r="Q45" s="39">
        <v>1</v>
      </c>
      <c r="R45" s="95">
        <f>(O45-P45)*Q45</f>
        <v>348</v>
      </c>
      <c r="S45" s="50">
        <v>0</v>
      </c>
      <c r="T45" s="43">
        <f>IF((R45-S45)&gt;0,(R45-S45),0)</f>
        <v>348</v>
      </c>
      <c r="U45" s="227">
        <v>3505</v>
      </c>
      <c r="V45" s="48">
        <f>T45*U45</f>
        <v>1219740</v>
      </c>
      <c r="W45" s="39"/>
    </row>
    <row r="46" spans="1:23" s="135" customFormat="1" ht="31.5" x14ac:dyDescent="0.25">
      <c r="A46" s="123">
        <v>53</v>
      </c>
      <c r="B46" s="40" t="s">
        <v>1511</v>
      </c>
      <c r="C46" s="40"/>
      <c r="D46" s="40" t="s">
        <v>1512</v>
      </c>
      <c r="E46" s="43"/>
      <c r="F46" s="41" t="s">
        <v>1094</v>
      </c>
      <c r="G46" s="54" t="s">
        <v>1095</v>
      </c>
      <c r="H46" s="39" t="s">
        <v>681</v>
      </c>
      <c r="I46" s="39"/>
      <c r="J46" s="49">
        <v>80529</v>
      </c>
      <c r="K46" s="46" t="s">
        <v>314</v>
      </c>
      <c r="L46" s="39" t="s">
        <v>1513</v>
      </c>
      <c r="M46" s="47" t="s">
        <v>681</v>
      </c>
      <c r="N46" s="39">
        <v>27</v>
      </c>
      <c r="O46" s="93">
        <v>13150</v>
      </c>
      <c r="P46" s="93">
        <v>10707</v>
      </c>
      <c r="Q46" s="39">
        <v>1</v>
      </c>
      <c r="R46" s="95">
        <f>(O46-P46)*Q46</f>
        <v>2443</v>
      </c>
      <c r="S46" s="50">
        <v>0</v>
      </c>
      <c r="T46" s="43">
        <f>IF((R46-S46)&gt;0,(R46-S46),0)</f>
        <v>2443</v>
      </c>
      <c r="U46" s="227">
        <v>3505</v>
      </c>
      <c r="V46" s="48">
        <f>T46*U46</f>
        <v>8562715</v>
      </c>
      <c r="W46" s="39"/>
    </row>
    <row r="47" spans="1:23" s="135" customFormat="1" ht="31.5" x14ac:dyDescent="0.25">
      <c r="A47" s="127">
        <v>54</v>
      </c>
      <c r="B47" s="40" t="s">
        <v>548</v>
      </c>
      <c r="C47" s="40" t="s">
        <v>1477</v>
      </c>
      <c r="D47" s="129" t="s">
        <v>1155</v>
      </c>
      <c r="E47" s="52"/>
      <c r="F47" s="41" t="s">
        <v>599</v>
      </c>
      <c r="G47" s="143" t="s">
        <v>600</v>
      </c>
      <c r="H47" s="52" t="s">
        <v>681</v>
      </c>
      <c r="I47" s="52"/>
      <c r="J47" s="131">
        <v>1793</v>
      </c>
      <c r="K47" s="46" t="s">
        <v>314</v>
      </c>
      <c r="L47" s="39" t="s">
        <v>1404</v>
      </c>
      <c r="M47" s="53" t="s">
        <v>681</v>
      </c>
      <c r="N47" s="52">
        <v>37</v>
      </c>
      <c r="O47" s="128">
        <v>163512</v>
      </c>
      <c r="P47" s="128">
        <v>163403</v>
      </c>
      <c r="Q47" s="39">
        <v>1</v>
      </c>
      <c r="R47" s="95">
        <f t="shared" si="0"/>
        <v>109</v>
      </c>
      <c r="S47" s="43">
        <v>0</v>
      </c>
      <c r="T47" s="43">
        <f t="shared" si="1"/>
        <v>109</v>
      </c>
      <c r="U47" s="227">
        <v>3505</v>
      </c>
      <c r="V47" s="48">
        <f>T47*U47</f>
        <v>382045</v>
      </c>
      <c r="W47" s="39" t="s">
        <v>1125</v>
      </c>
    </row>
    <row r="48" spans="1:23" s="135" customFormat="1" ht="31.5" customHeight="1" x14ac:dyDescent="0.25">
      <c r="A48" s="127">
        <v>56</v>
      </c>
      <c r="B48" s="40" t="s">
        <v>424</v>
      </c>
      <c r="C48" s="40" t="s">
        <v>1247</v>
      </c>
      <c r="D48" s="40" t="s">
        <v>1251</v>
      </c>
      <c r="E48" s="43"/>
      <c r="F48" s="41" t="s">
        <v>846</v>
      </c>
      <c r="G48" s="44" t="s">
        <v>847</v>
      </c>
      <c r="H48" s="39" t="s">
        <v>1245</v>
      </c>
      <c r="I48" s="39"/>
      <c r="J48" s="49">
        <v>5545</v>
      </c>
      <c r="K48" s="46" t="s">
        <v>334</v>
      </c>
      <c r="L48" s="39" t="s">
        <v>424</v>
      </c>
      <c r="M48" s="47" t="s">
        <v>227</v>
      </c>
      <c r="N48" s="39">
        <v>28</v>
      </c>
      <c r="O48" s="94">
        <v>60431</v>
      </c>
      <c r="P48" s="94">
        <v>60132</v>
      </c>
      <c r="Q48" s="39">
        <v>1</v>
      </c>
      <c r="R48" s="95">
        <f t="shared" si="0"/>
        <v>299</v>
      </c>
      <c r="S48" s="43">
        <v>0</v>
      </c>
      <c r="T48" s="43">
        <f>IF((R48-S48)&gt;0,(R48-S48),0)</f>
        <v>299</v>
      </c>
      <c r="U48" s="43">
        <v>4169</v>
      </c>
      <c r="V48" s="48">
        <f t="shared" si="2"/>
        <v>1246531</v>
      </c>
      <c r="W48" s="39" t="s">
        <v>1124</v>
      </c>
    </row>
    <row r="49" spans="1:23" s="135" customFormat="1" ht="31.5" x14ac:dyDescent="0.25">
      <c r="A49" s="123">
        <v>57</v>
      </c>
      <c r="B49" s="40" t="s">
        <v>1507</v>
      </c>
      <c r="C49" s="40" t="s">
        <v>1247</v>
      </c>
      <c r="D49" s="40" t="s">
        <v>1227</v>
      </c>
      <c r="E49" s="43"/>
      <c r="F49" s="41" t="s">
        <v>846</v>
      </c>
      <c r="G49" s="44" t="s">
        <v>847</v>
      </c>
      <c r="H49" s="39" t="s">
        <v>1227</v>
      </c>
      <c r="I49" s="39"/>
      <c r="J49" s="49">
        <v>6385</v>
      </c>
      <c r="K49" s="46" t="s">
        <v>334</v>
      </c>
      <c r="L49" s="39" t="s">
        <v>298</v>
      </c>
      <c r="M49" s="47" t="s">
        <v>315</v>
      </c>
      <c r="N49" s="39">
        <v>29</v>
      </c>
      <c r="O49" s="94">
        <v>35460</v>
      </c>
      <c r="P49" s="94">
        <v>35314</v>
      </c>
      <c r="Q49" s="39">
        <v>1</v>
      </c>
      <c r="R49" s="95">
        <f t="shared" si="0"/>
        <v>146</v>
      </c>
      <c r="S49" s="43">
        <v>0</v>
      </c>
      <c r="T49" s="43">
        <f>IF((R49-S49)&gt;0,(R49-S49),0)</f>
        <v>146</v>
      </c>
      <c r="U49" s="43">
        <v>4169</v>
      </c>
      <c r="V49" s="48">
        <f t="shared" si="2"/>
        <v>608674</v>
      </c>
      <c r="W49" s="39" t="s">
        <v>1124</v>
      </c>
    </row>
    <row r="50" spans="1:23" s="135" customFormat="1" ht="33.75" customHeight="1" x14ac:dyDescent="0.25">
      <c r="A50" s="127">
        <v>58</v>
      </c>
      <c r="B50" s="40" t="s">
        <v>1311</v>
      </c>
      <c r="C50" s="40" t="s">
        <v>1311</v>
      </c>
      <c r="D50" s="40" t="s">
        <v>1312</v>
      </c>
      <c r="E50" s="43">
        <v>38693782</v>
      </c>
      <c r="F50" s="41" t="s">
        <v>1107</v>
      </c>
      <c r="G50" s="54" t="s">
        <v>1313</v>
      </c>
      <c r="H50" s="39" t="s">
        <v>1208</v>
      </c>
      <c r="I50" s="39"/>
      <c r="J50" s="153" t="s">
        <v>1314</v>
      </c>
      <c r="K50" s="46" t="s">
        <v>314</v>
      </c>
      <c r="L50" s="39" t="s">
        <v>1315</v>
      </c>
      <c r="M50" s="47" t="s">
        <v>1208</v>
      </c>
      <c r="N50" s="39">
        <v>31</v>
      </c>
      <c r="O50" s="128">
        <v>133976</v>
      </c>
      <c r="P50" s="128">
        <v>129328</v>
      </c>
      <c r="Q50" s="39">
        <v>1</v>
      </c>
      <c r="R50" s="95">
        <f t="shared" si="0"/>
        <v>4648</v>
      </c>
      <c r="S50" s="43">
        <v>0</v>
      </c>
      <c r="T50" s="43">
        <f t="shared" ref="T50:T60" si="3">IF((R50-S50)&gt;0,(R50-S50),0)</f>
        <v>4648</v>
      </c>
      <c r="U50" s="227">
        <v>3505</v>
      </c>
      <c r="V50" s="48">
        <f t="shared" si="2"/>
        <v>16291240</v>
      </c>
      <c r="W50" s="39" t="s">
        <v>1124</v>
      </c>
    </row>
    <row r="51" spans="1:23" s="135" customFormat="1" ht="33.75" customHeight="1" x14ac:dyDescent="0.25">
      <c r="A51" s="123">
        <v>59</v>
      </c>
      <c r="B51" s="40" t="s">
        <v>1311</v>
      </c>
      <c r="C51" s="40" t="s">
        <v>1311</v>
      </c>
      <c r="D51" s="40" t="s">
        <v>1177</v>
      </c>
      <c r="E51" s="43">
        <v>38693782</v>
      </c>
      <c r="F51" s="41" t="s">
        <v>1107</v>
      </c>
      <c r="G51" s="54" t="s">
        <v>1313</v>
      </c>
      <c r="H51" s="39" t="s">
        <v>1208</v>
      </c>
      <c r="I51" s="39"/>
      <c r="J51" s="153">
        <v>1624</v>
      </c>
      <c r="K51" s="46" t="s">
        <v>314</v>
      </c>
      <c r="L51" s="39" t="s">
        <v>1160</v>
      </c>
      <c r="M51" s="47" t="s">
        <v>1208</v>
      </c>
      <c r="N51" s="39">
        <v>30</v>
      </c>
      <c r="O51" s="128">
        <v>16065</v>
      </c>
      <c r="P51" s="128">
        <v>15742</v>
      </c>
      <c r="Q51" s="39">
        <v>1</v>
      </c>
      <c r="R51" s="95">
        <f t="shared" si="0"/>
        <v>323</v>
      </c>
      <c r="S51" s="43">
        <v>0</v>
      </c>
      <c r="T51" s="43">
        <f t="shared" si="3"/>
        <v>323</v>
      </c>
      <c r="U51" s="227">
        <v>3505</v>
      </c>
      <c r="V51" s="48">
        <f t="shared" si="2"/>
        <v>1132115</v>
      </c>
      <c r="W51" s="39" t="s">
        <v>1124</v>
      </c>
    </row>
    <row r="52" spans="1:23" s="135" customFormat="1" ht="31.5" x14ac:dyDescent="0.25">
      <c r="A52" s="127">
        <v>60</v>
      </c>
      <c r="B52" s="40" t="s">
        <v>1062</v>
      </c>
      <c r="C52" s="40" t="s">
        <v>1247</v>
      </c>
      <c r="D52" s="40" t="s">
        <v>1063</v>
      </c>
      <c r="E52" s="43">
        <v>36230351</v>
      </c>
      <c r="F52" s="41" t="s">
        <v>26</v>
      </c>
      <c r="G52" s="54" t="s">
        <v>1098</v>
      </c>
      <c r="H52" s="39" t="s">
        <v>1279</v>
      </c>
      <c r="I52" s="39"/>
      <c r="J52" s="49">
        <v>4061</v>
      </c>
      <c r="K52" s="46" t="s">
        <v>314</v>
      </c>
      <c r="L52" s="39" t="s">
        <v>1080</v>
      </c>
      <c r="M52" s="47" t="s">
        <v>326</v>
      </c>
      <c r="N52" s="39">
        <v>30</v>
      </c>
      <c r="O52" s="128">
        <v>42022</v>
      </c>
      <c r="P52" s="128">
        <v>41397</v>
      </c>
      <c r="Q52" s="39">
        <v>1</v>
      </c>
      <c r="R52" s="95">
        <f t="shared" si="0"/>
        <v>625</v>
      </c>
      <c r="S52" s="43">
        <v>0</v>
      </c>
      <c r="T52" s="43">
        <f t="shared" si="3"/>
        <v>625</v>
      </c>
      <c r="U52" s="43">
        <v>4169</v>
      </c>
      <c r="V52" s="48">
        <f t="shared" si="2"/>
        <v>2605625</v>
      </c>
      <c r="W52" s="39" t="s">
        <v>1123</v>
      </c>
    </row>
    <row r="53" spans="1:23" s="135" customFormat="1" ht="47.25" x14ac:dyDescent="0.25">
      <c r="A53" s="123">
        <v>61</v>
      </c>
      <c r="B53" s="40" t="s">
        <v>1508</v>
      </c>
      <c r="C53" s="40" t="s">
        <v>1247</v>
      </c>
      <c r="D53" s="40" t="s">
        <v>1226</v>
      </c>
      <c r="E53" s="43"/>
      <c r="F53" s="41" t="s">
        <v>1509</v>
      </c>
      <c r="G53" s="54" t="s">
        <v>1510</v>
      </c>
      <c r="H53" s="39"/>
      <c r="I53" s="39"/>
      <c r="J53" s="49">
        <v>9504</v>
      </c>
      <c r="K53" s="46" t="s">
        <v>334</v>
      </c>
      <c r="L53" s="39" t="s">
        <v>1508</v>
      </c>
      <c r="M53" s="47" t="s">
        <v>315</v>
      </c>
      <c r="N53" s="39">
        <v>31</v>
      </c>
      <c r="O53" s="94">
        <v>38244</v>
      </c>
      <c r="P53" s="94">
        <v>37728</v>
      </c>
      <c r="Q53" s="39">
        <v>1</v>
      </c>
      <c r="R53" s="95">
        <f>(O53-P53)*Q53</f>
        <v>516</v>
      </c>
      <c r="S53" s="43">
        <v>0</v>
      </c>
      <c r="T53" s="43">
        <f>IF((R53-S53)&gt;0,(R53-S53),0)</f>
        <v>516</v>
      </c>
      <c r="U53" s="43">
        <v>4169</v>
      </c>
      <c r="V53" s="48">
        <f>T53*U53</f>
        <v>2151204</v>
      </c>
      <c r="W53" s="39"/>
    </row>
    <row r="54" spans="1:23" s="135" customFormat="1" ht="33.75" customHeight="1" x14ac:dyDescent="0.25">
      <c r="A54" s="127">
        <v>64</v>
      </c>
      <c r="B54" s="40" t="s">
        <v>1526</v>
      </c>
      <c r="C54" s="40" t="s">
        <v>1423</v>
      </c>
      <c r="D54" s="40" t="s">
        <v>1302</v>
      </c>
      <c r="E54" s="43">
        <v>38693782</v>
      </c>
      <c r="F54" s="41" t="s">
        <v>797</v>
      </c>
      <c r="G54" s="54" t="s">
        <v>986</v>
      </c>
      <c r="H54" s="39" t="s">
        <v>681</v>
      </c>
      <c r="I54" s="39"/>
      <c r="J54" s="49">
        <v>1724</v>
      </c>
      <c r="K54" s="46" t="s">
        <v>314</v>
      </c>
      <c r="L54" s="39" t="s">
        <v>1319</v>
      </c>
      <c r="M54" s="47" t="s">
        <v>681</v>
      </c>
      <c r="N54" s="39">
        <v>37</v>
      </c>
      <c r="O54" s="128">
        <v>49019</v>
      </c>
      <c r="P54" s="128">
        <v>46144</v>
      </c>
      <c r="Q54" s="39">
        <v>1</v>
      </c>
      <c r="R54" s="95">
        <f t="shared" si="0"/>
        <v>2875</v>
      </c>
      <c r="S54" s="43">
        <v>0</v>
      </c>
      <c r="T54" s="43">
        <f t="shared" si="3"/>
        <v>2875</v>
      </c>
      <c r="U54" s="227">
        <v>3505</v>
      </c>
      <c r="V54" s="48">
        <f t="shared" si="2"/>
        <v>10076875</v>
      </c>
      <c r="W54" s="39" t="s">
        <v>1125</v>
      </c>
    </row>
    <row r="55" spans="1:23" s="135" customFormat="1" ht="33.75" customHeight="1" x14ac:dyDescent="0.25">
      <c r="A55" s="123">
        <v>65</v>
      </c>
      <c r="B55" s="289" t="s">
        <v>1547</v>
      </c>
      <c r="C55" s="40" t="s">
        <v>1423</v>
      </c>
      <c r="D55" s="40" t="s">
        <v>1302</v>
      </c>
      <c r="E55" s="43">
        <v>38693782</v>
      </c>
      <c r="F55" s="41" t="s">
        <v>797</v>
      </c>
      <c r="G55" s="54" t="s">
        <v>986</v>
      </c>
      <c r="H55" s="39" t="s">
        <v>681</v>
      </c>
      <c r="I55" s="39"/>
      <c r="J55" s="49">
        <v>6333</v>
      </c>
      <c r="K55" s="46" t="s">
        <v>314</v>
      </c>
      <c r="L55" s="39" t="s">
        <v>1474</v>
      </c>
      <c r="M55" s="47" t="s">
        <v>681</v>
      </c>
      <c r="N55" s="39">
        <v>37</v>
      </c>
      <c r="O55" s="128">
        <v>69237</v>
      </c>
      <c r="P55" s="128">
        <v>66378</v>
      </c>
      <c r="Q55" s="39">
        <v>1</v>
      </c>
      <c r="R55" s="95">
        <f>(O55-P55)*Q55</f>
        <v>2859</v>
      </c>
      <c r="S55" s="43">
        <v>0</v>
      </c>
      <c r="T55" s="43">
        <f>IF((R55-S55)&gt;0,(R55-S55),0)</f>
        <v>2859</v>
      </c>
      <c r="U55" s="227">
        <v>3505</v>
      </c>
      <c r="V55" s="48">
        <f>T55*U55</f>
        <v>10020795</v>
      </c>
      <c r="W55" s="39" t="s">
        <v>1125</v>
      </c>
    </row>
    <row r="56" spans="1:23" s="135" customFormat="1" ht="31.5" x14ac:dyDescent="0.25">
      <c r="A56" s="127">
        <v>66</v>
      </c>
      <c r="B56" s="251" t="s">
        <v>1255</v>
      </c>
      <c r="C56" s="251" t="s">
        <v>1316</v>
      </c>
      <c r="D56" s="251" t="s">
        <v>1028</v>
      </c>
      <c r="E56" s="227"/>
      <c r="F56" s="252" t="s">
        <v>1150</v>
      </c>
      <c r="G56" s="273" t="s">
        <v>1151</v>
      </c>
      <c r="H56" s="253"/>
      <c r="I56" s="253"/>
      <c r="J56" s="271">
        <v>3833</v>
      </c>
      <c r="K56" s="254" t="s">
        <v>314</v>
      </c>
      <c r="L56" s="253" t="s">
        <v>233</v>
      </c>
      <c r="M56" s="272" t="s">
        <v>668</v>
      </c>
      <c r="N56" s="253">
        <v>37</v>
      </c>
      <c r="O56" s="226">
        <v>2759</v>
      </c>
      <c r="P56" s="226">
        <v>0</v>
      </c>
      <c r="Q56" s="253">
        <v>1</v>
      </c>
      <c r="R56" s="255">
        <f>(O56-P56)*Q56</f>
        <v>2759</v>
      </c>
      <c r="S56" s="227">
        <v>0</v>
      </c>
      <c r="T56" s="227">
        <f t="shared" si="3"/>
        <v>2759</v>
      </c>
      <c r="U56" s="227">
        <v>3505</v>
      </c>
      <c r="V56" s="270">
        <f>T56*U56</f>
        <v>9670295</v>
      </c>
      <c r="W56" s="253" t="s">
        <v>1123</v>
      </c>
    </row>
    <row r="57" spans="1:23" s="135" customFormat="1" x14ac:dyDescent="0.25">
      <c r="A57" s="123">
        <v>67</v>
      </c>
      <c r="B57" s="292" t="s">
        <v>1262</v>
      </c>
      <c r="C57" s="292"/>
      <c r="D57" s="292" t="s">
        <v>668</v>
      </c>
      <c r="E57" s="300">
        <v>38692942</v>
      </c>
      <c r="F57" s="301" t="s">
        <v>1468</v>
      </c>
      <c r="G57" s="302" t="s">
        <v>1469</v>
      </c>
      <c r="H57" s="294" t="s">
        <v>668</v>
      </c>
      <c r="I57" s="294"/>
      <c r="J57" s="295">
        <v>2148</v>
      </c>
      <c r="K57" s="303" t="s">
        <v>314</v>
      </c>
      <c r="L57" s="294"/>
      <c r="M57" s="296" t="s">
        <v>668</v>
      </c>
      <c r="N57" s="294">
        <v>38</v>
      </c>
      <c r="O57" s="226">
        <v>121542</v>
      </c>
      <c r="P57" s="226">
        <v>0</v>
      </c>
      <c r="Q57" s="294">
        <v>1</v>
      </c>
      <c r="R57" s="297">
        <f>O57</f>
        <v>121542</v>
      </c>
      <c r="S57" s="228">
        <v>0</v>
      </c>
      <c r="T57" s="227">
        <f t="shared" si="3"/>
        <v>121542</v>
      </c>
      <c r="U57" s="228">
        <v>2664</v>
      </c>
      <c r="V57" s="270"/>
      <c r="W57" s="294" t="s">
        <v>1123</v>
      </c>
    </row>
    <row r="58" spans="1:23" s="135" customFormat="1" ht="31.5" x14ac:dyDescent="0.25">
      <c r="A58" s="127">
        <v>118</v>
      </c>
      <c r="B58" s="40" t="s">
        <v>981</v>
      </c>
      <c r="C58" s="40" t="s">
        <v>1466</v>
      </c>
      <c r="D58" s="40" t="s">
        <v>243</v>
      </c>
      <c r="E58" s="43"/>
      <c r="F58" s="145" t="s">
        <v>873</v>
      </c>
      <c r="G58" s="146" t="s">
        <v>874</v>
      </c>
      <c r="H58" s="39" t="s">
        <v>243</v>
      </c>
      <c r="I58" s="39"/>
      <c r="J58" s="49">
        <v>7971</v>
      </c>
      <c r="K58" s="46" t="s">
        <v>314</v>
      </c>
      <c r="L58" s="39" t="s">
        <v>313</v>
      </c>
      <c r="M58" s="47" t="s">
        <v>313</v>
      </c>
      <c r="N58" s="39">
        <v>48</v>
      </c>
      <c r="O58" s="94">
        <v>6649</v>
      </c>
      <c r="P58" s="94">
        <v>6601</v>
      </c>
      <c r="Q58" s="39">
        <v>50</v>
      </c>
      <c r="R58" s="95">
        <f t="shared" ref="R58:R64" si="4">(O58-P58)*Q58</f>
        <v>2400</v>
      </c>
      <c r="S58" s="43">
        <v>0</v>
      </c>
      <c r="T58" s="43">
        <f t="shared" si="3"/>
        <v>2400</v>
      </c>
      <c r="U58" s="227">
        <v>3505</v>
      </c>
      <c r="V58" s="48">
        <f t="shared" ref="V58:V64" si="5">T58*U58</f>
        <v>8412000</v>
      </c>
      <c r="W58" s="39" t="s">
        <v>1123</v>
      </c>
    </row>
    <row r="59" spans="1:23" s="135" customFormat="1" ht="31.5" x14ac:dyDescent="0.25">
      <c r="A59" s="123">
        <v>119</v>
      </c>
      <c r="B59" s="40" t="s">
        <v>983</v>
      </c>
      <c r="C59" s="40" t="s">
        <v>1466</v>
      </c>
      <c r="D59" s="40" t="s">
        <v>68</v>
      </c>
      <c r="E59" s="43">
        <v>36231722</v>
      </c>
      <c r="F59" s="145" t="s">
        <v>873</v>
      </c>
      <c r="G59" s="146" t="s">
        <v>874</v>
      </c>
      <c r="H59" s="39" t="s">
        <v>681</v>
      </c>
      <c r="I59" s="39"/>
      <c r="J59" s="49">
        <v>3543</v>
      </c>
      <c r="K59" s="46" t="s">
        <v>334</v>
      </c>
      <c r="L59" s="39" t="s">
        <v>67</v>
      </c>
      <c r="M59" s="47" t="s">
        <v>681</v>
      </c>
      <c r="N59" s="39">
        <v>48</v>
      </c>
      <c r="O59" s="94">
        <v>112635</v>
      </c>
      <c r="P59" s="94">
        <v>112317</v>
      </c>
      <c r="Q59" s="39">
        <v>1</v>
      </c>
      <c r="R59" s="95">
        <f t="shared" si="4"/>
        <v>318</v>
      </c>
      <c r="S59" s="43">
        <v>0</v>
      </c>
      <c r="T59" s="43">
        <f t="shared" si="3"/>
        <v>318</v>
      </c>
      <c r="U59" s="227">
        <v>3505</v>
      </c>
      <c r="V59" s="48">
        <f t="shared" si="5"/>
        <v>1114590</v>
      </c>
      <c r="W59" s="39" t="s">
        <v>1125</v>
      </c>
    </row>
    <row r="60" spans="1:23" s="135" customFormat="1" ht="31.5" x14ac:dyDescent="0.25">
      <c r="A60" s="127">
        <v>120</v>
      </c>
      <c r="B60" s="40" t="s">
        <v>982</v>
      </c>
      <c r="C60" s="40" t="s">
        <v>1466</v>
      </c>
      <c r="D60" s="40" t="s">
        <v>984</v>
      </c>
      <c r="E60" s="43">
        <v>38682179</v>
      </c>
      <c r="F60" s="145" t="s">
        <v>873</v>
      </c>
      <c r="G60" s="146" t="s">
        <v>874</v>
      </c>
      <c r="H60" s="39" t="s">
        <v>984</v>
      </c>
      <c r="I60" s="39"/>
      <c r="J60" s="49">
        <v>9514</v>
      </c>
      <c r="K60" s="46" t="s">
        <v>314</v>
      </c>
      <c r="L60" s="39" t="s">
        <v>233</v>
      </c>
      <c r="M60" s="47" t="s">
        <v>227</v>
      </c>
      <c r="N60" s="39">
        <v>48</v>
      </c>
      <c r="O60" s="94">
        <v>151180</v>
      </c>
      <c r="P60" s="94">
        <v>148596</v>
      </c>
      <c r="Q60" s="39">
        <v>1</v>
      </c>
      <c r="R60" s="95">
        <f t="shared" si="4"/>
        <v>2584</v>
      </c>
      <c r="S60" s="43">
        <v>0</v>
      </c>
      <c r="T60" s="43">
        <f t="shared" si="3"/>
        <v>2584</v>
      </c>
      <c r="U60" s="227">
        <v>3505</v>
      </c>
      <c r="V60" s="48">
        <f t="shared" si="5"/>
        <v>9056920</v>
      </c>
      <c r="W60" s="39" t="s">
        <v>1124</v>
      </c>
    </row>
    <row r="61" spans="1:23" s="135" customFormat="1" ht="47.25" x14ac:dyDescent="0.25">
      <c r="A61" s="127">
        <v>122</v>
      </c>
      <c r="B61" s="40" t="s">
        <v>1201</v>
      </c>
      <c r="C61" s="40" t="s">
        <v>1466</v>
      </c>
      <c r="D61" s="40" t="s">
        <v>1134</v>
      </c>
      <c r="E61" s="43">
        <v>36231722</v>
      </c>
      <c r="F61" s="145" t="s">
        <v>873</v>
      </c>
      <c r="G61" s="146" t="s">
        <v>874</v>
      </c>
      <c r="H61" s="39" t="s">
        <v>910</v>
      </c>
      <c r="I61" s="39"/>
      <c r="J61" s="49">
        <v>8240</v>
      </c>
      <c r="K61" s="46" t="s">
        <v>334</v>
      </c>
      <c r="L61" s="39" t="s">
        <v>145</v>
      </c>
      <c r="M61" s="47" t="s">
        <v>681</v>
      </c>
      <c r="N61" s="39">
        <v>48</v>
      </c>
      <c r="O61" s="94">
        <v>9829</v>
      </c>
      <c r="P61" s="94">
        <v>9601</v>
      </c>
      <c r="Q61" s="39">
        <v>1</v>
      </c>
      <c r="R61" s="95">
        <f t="shared" si="4"/>
        <v>228</v>
      </c>
      <c r="S61" s="43">
        <v>0</v>
      </c>
      <c r="T61" s="43">
        <f t="shared" ref="T61:T102" si="6">IF((R61-S61)&gt;0,(R61-S61),0)</f>
        <v>228</v>
      </c>
      <c r="U61" s="227">
        <v>3505</v>
      </c>
      <c r="V61" s="48">
        <f t="shared" si="5"/>
        <v>799140</v>
      </c>
      <c r="W61" s="39" t="s">
        <v>1124</v>
      </c>
    </row>
    <row r="62" spans="1:23" s="135" customFormat="1" ht="31.5" x14ac:dyDescent="0.25">
      <c r="A62" s="127">
        <v>132</v>
      </c>
      <c r="B62" s="40" t="s">
        <v>1137</v>
      </c>
      <c r="C62" s="40" t="s">
        <v>661</v>
      </c>
      <c r="D62" s="40" t="s">
        <v>1249</v>
      </c>
      <c r="E62" s="43">
        <v>38683518</v>
      </c>
      <c r="F62" s="41" t="s">
        <v>579</v>
      </c>
      <c r="G62" s="44" t="s">
        <v>965</v>
      </c>
      <c r="H62" s="147" t="s">
        <v>1232</v>
      </c>
      <c r="I62" s="39"/>
      <c r="J62" s="49">
        <v>6085</v>
      </c>
      <c r="K62" s="46" t="s">
        <v>314</v>
      </c>
      <c r="L62" s="39" t="s">
        <v>1189</v>
      </c>
      <c r="M62" s="47" t="s">
        <v>315</v>
      </c>
      <c r="N62" s="39">
        <v>64</v>
      </c>
      <c r="O62" s="128">
        <v>28538</v>
      </c>
      <c r="P62" s="128">
        <v>27595</v>
      </c>
      <c r="Q62" s="39">
        <v>1</v>
      </c>
      <c r="R62" s="95">
        <f t="shared" si="4"/>
        <v>943</v>
      </c>
      <c r="S62" s="43">
        <v>0</v>
      </c>
      <c r="T62" s="43">
        <f t="shared" si="6"/>
        <v>943</v>
      </c>
      <c r="U62" s="227">
        <v>3505</v>
      </c>
      <c r="V62" s="48">
        <f t="shared" si="5"/>
        <v>3305215</v>
      </c>
      <c r="W62" s="39" t="s">
        <v>1124</v>
      </c>
    </row>
    <row r="63" spans="1:23" s="135" customFormat="1" ht="31.5" x14ac:dyDescent="0.25">
      <c r="A63" s="123">
        <v>133</v>
      </c>
      <c r="B63" s="40" t="s">
        <v>996</v>
      </c>
      <c r="C63" s="40" t="s">
        <v>661</v>
      </c>
      <c r="D63" s="40" t="s">
        <v>1250</v>
      </c>
      <c r="E63" s="43">
        <v>38683518</v>
      </c>
      <c r="F63" s="41" t="s">
        <v>579</v>
      </c>
      <c r="G63" s="44" t="s">
        <v>965</v>
      </c>
      <c r="H63" s="147" t="s">
        <v>1232</v>
      </c>
      <c r="I63" s="39"/>
      <c r="J63" s="49">
        <v>4248</v>
      </c>
      <c r="K63" s="46" t="s">
        <v>314</v>
      </c>
      <c r="L63" s="39" t="s">
        <v>1190</v>
      </c>
      <c r="M63" s="47" t="s">
        <v>315</v>
      </c>
      <c r="N63" s="39">
        <v>64</v>
      </c>
      <c r="O63" s="128">
        <v>125146</v>
      </c>
      <c r="P63" s="128">
        <v>124507</v>
      </c>
      <c r="Q63" s="39">
        <v>1</v>
      </c>
      <c r="R63" s="95">
        <f t="shared" si="4"/>
        <v>639</v>
      </c>
      <c r="S63" s="43">
        <v>0</v>
      </c>
      <c r="T63" s="43">
        <f t="shared" si="6"/>
        <v>639</v>
      </c>
      <c r="U63" s="227">
        <v>3505</v>
      </c>
      <c r="V63" s="48">
        <f t="shared" si="5"/>
        <v>2239695</v>
      </c>
      <c r="W63" s="39" t="s">
        <v>1124</v>
      </c>
    </row>
    <row r="64" spans="1:23" s="135" customFormat="1" ht="31.5" x14ac:dyDescent="0.25">
      <c r="A64" s="127">
        <v>136</v>
      </c>
      <c r="B64" s="144" t="s">
        <v>1550</v>
      </c>
      <c r="C64" s="40" t="s">
        <v>1428</v>
      </c>
      <c r="D64" s="144" t="s">
        <v>969</v>
      </c>
      <c r="E64" s="50"/>
      <c r="F64" s="41" t="s">
        <v>472</v>
      </c>
      <c r="G64" s="155" t="s">
        <v>886</v>
      </c>
      <c r="H64" s="147" t="s">
        <v>1238</v>
      </c>
      <c r="I64" s="147"/>
      <c r="J64" s="156">
        <v>3113</v>
      </c>
      <c r="K64" s="46" t="s">
        <v>334</v>
      </c>
      <c r="L64" s="147"/>
      <c r="M64" s="149" t="s">
        <v>668</v>
      </c>
      <c r="N64" s="39">
        <v>53</v>
      </c>
      <c r="O64" s="94">
        <v>14827</v>
      </c>
      <c r="P64" s="94">
        <v>14308</v>
      </c>
      <c r="Q64" s="147">
        <v>1</v>
      </c>
      <c r="R64" s="150">
        <f t="shared" si="4"/>
        <v>519</v>
      </c>
      <c r="S64" s="50">
        <v>0</v>
      </c>
      <c r="T64" s="50">
        <f t="shared" si="6"/>
        <v>519</v>
      </c>
      <c r="U64" s="43">
        <v>3505</v>
      </c>
      <c r="V64" s="157">
        <f t="shared" si="5"/>
        <v>1819095</v>
      </c>
      <c r="W64" s="147" t="s">
        <v>1122</v>
      </c>
    </row>
    <row r="65" spans="1:23" s="135" customFormat="1" ht="29.25" customHeight="1" x14ac:dyDescent="0.25">
      <c r="A65" s="123">
        <v>137</v>
      </c>
      <c r="B65" s="292" t="s">
        <v>1429</v>
      </c>
      <c r="C65" s="251" t="s">
        <v>1428</v>
      </c>
      <c r="D65" s="292" t="s">
        <v>1197</v>
      </c>
      <c r="E65" s="228"/>
      <c r="F65" s="252" t="s">
        <v>472</v>
      </c>
      <c r="G65" s="293" t="s">
        <v>886</v>
      </c>
      <c r="H65" s="253" t="s">
        <v>1277</v>
      </c>
      <c r="I65" s="253"/>
      <c r="J65" s="271" t="s">
        <v>1406</v>
      </c>
      <c r="K65" s="254" t="s">
        <v>334</v>
      </c>
      <c r="L65" s="253"/>
      <c r="M65" s="272" t="s">
        <v>332</v>
      </c>
      <c r="N65" s="253">
        <v>53</v>
      </c>
      <c r="O65" s="226">
        <v>488</v>
      </c>
      <c r="P65" s="226">
        <v>0</v>
      </c>
      <c r="Q65" s="253">
        <v>1</v>
      </c>
      <c r="R65" s="255">
        <f t="shared" ref="R65:R70" si="7">(O65-P65)*Q65</f>
        <v>488</v>
      </c>
      <c r="S65" s="227">
        <v>0</v>
      </c>
      <c r="T65" s="227">
        <f t="shared" si="6"/>
        <v>488</v>
      </c>
      <c r="U65" s="227">
        <v>3505</v>
      </c>
      <c r="V65" s="270">
        <f t="shared" ref="V65:V111" si="8">T65*U65</f>
        <v>1710440</v>
      </c>
      <c r="W65" s="253" t="s">
        <v>1122</v>
      </c>
    </row>
    <row r="66" spans="1:23" s="135" customFormat="1" ht="31.5" x14ac:dyDescent="0.25">
      <c r="A66" s="127">
        <v>138</v>
      </c>
      <c r="B66" s="292" t="s">
        <v>1434</v>
      </c>
      <c r="C66" s="251" t="s">
        <v>1428</v>
      </c>
      <c r="D66" s="292" t="s">
        <v>1121</v>
      </c>
      <c r="E66" s="228"/>
      <c r="F66" s="252" t="s">
        <v>472</v>
      </c>
      <c r="G66" s="293" t="s">
        <v>886</v>
      </c>
      <c r="H66" s="294" t="s">
        <v>1278</v>
      </c>
      <c r="I66" s="294"/>
      <c r="J66" s="295">
        <v>1415</v>
      </c>
      <c r="K66" s="254" t="s">
        <v>334</v>
      </c>
      <c r="L66" s="294"/>
      <c r="M66" s="296" t="s">
        <v>1163</v>
      </c>
      <c r="N66" s="253">
        <v>53</v>
      </c>
      <c r="O66" s="278">
        <v>450</v>
      </c>
      <c r="P66" s="278">
        <v>0</v>
      </c>
      <c r="Q66" s="294">
        <v>1</v>
      </c>
      <c r="R66" s="297">
        <f t="shared" si="7"/>
        <v>450</v>
      </c>
      <c r="S66" s="228">
        <v>0</v>
      </c>
      <c r="T66" s="228">
        <f t="shared" si="6"/>
        <v>450</v>
      </c>
      <c r="U66" s="227">
        <v>3505</v>
      </c>
      <c r="V66" s="298">
        <f t="shared" si="8"/>
        <v>1577250</v>
      </c>
      <c r="W66" s="294" t="s">
        <v>1124</v>
      </c>
    </row>
    <row r="67" spans="1:23" s="135" customFormat="1" ht="29.25" customHeight="1" x14ac:dyDescent="0.25">
      <c r="A67" s="123">
        <v>139</v>
      </c>
      <c r="B67" s="144" t="s">
        <v>1430</v>
      </c>
      <c r="C67" s="40" t="s">
        <v>1428</v>
      </c>
      <c r="D67" s="144" t="s">
        <v>1061</v>
      </c>
      <c r="E67" s="50"/>
      <c r="F67" s="41" t="s">
        <v>472</v>
      </c>
      <c r="G67" s="155" t="s">
        <v>886</v>
      </c>
      <c r="H67" s="39" t="s">
        <v>332</v>
      </c>
      <c r="I67" s="39"/>
      <c r="J67" s="49">
        <v>3927</v>
      </c>
      <c r="K67" s="46" t="s">
        <v>334</v>
      </c>
      <c r="L67" s="39"/>
      <c r="M67" s="47" t="s">
        <v>332</v>
      </c>
      <c r="N67" s="39">
        <v>53</v>
      </c>
      <c r="O67" s="128">
        <v>26721</v>
      </c>
      <c r="P67" s="128">
        <v>26271</v>
      </c>
      <c r="Q67" s="39">
        <v>1</v>
      </c>
      <c r="R67" s="95">
        <f t="shared" si="7"/>
        <v>450</v>
      </c>
      <c r="S67" s="43">
        <v>0</v>
      </c>
      <c r="T67" s="43">
        <f t="shared" si="6"/>
        <v>450</v>
      </c>
      <c r="U67" s="227">
        <v>3505</v>
      </c>
      <c r="V67" s="48">
        <f t="shared" si="8"/>
        <v>1577250</v>
      </c>
      <c r="W67" s="39" t="s">
        <v>1122</v>
      </c>
    </row>
    <row r="68" spans="1:23" s="135" customFormat="1" ht="27.75" customHeight="1" x14ac:dyDescent="0.25">
      <c r="A68" s="127">
        <v>140</v>
      </c>
      <c r="B68" s="144" t="s">
        <v>1431</v>
      </c>
      <c r="C68" s="40" t="s">
        <v>1428</v>
      </c>
      <c r="D68" s="144" t="s">
        <v>970</v>
      </c>
      <c r="E68" s="50"/>
      <c r="F68" s="41" t="s">
        <v>472</v>
      </c>
      <c r="G68" s="155" t="s">
        <v>886</v>
      </c>
      <c r="H68" s="147" t="s">
        <v>1279</v>
      </c>
      <c r="I68" s="147"/>
      <c r="J68" s="156">
        <v>2673</v>
      </c>
      <c r="K68" s="46" t="s">
        <v>334</v>
      </c>
      <c r="L68" s="147"/>
      <c r="M68" s="149" t="s">
        <v>326</v>
      </c>
      <c r="N68" s="39">
        <v>53</v>
      </c>
      <c r="O68" s="94">
        <v>29009</v>
      </c>
      <c r="P68" s="94">
        <v>28836</v>
      </c>
      <c r="Q68" s="147">
        <v>1</v>
      </c>
      <c r="R68" s="150">
        <f t="shared" si="7"/>
        <v>173</v>
      </c>
      <c r="S68" s="50">
        <v>0</v>
      </c>
      <c r="T68" s="50">
        <f t="shared" si="6"/>
        <v>173</v>
      </c>
      <c r="U68" s="227">
        <v>3505</v>
      </c>
      <c r="V68" s="157">
        <f t="shared" si="8"/>
        <v>606365</v>
      </c>
      <c r="W68" s="147" t="s">
        <v>1123</v>
      </c>
    </row>
    <row r="69" spans="1:23" s="135" customFormat="1" ht="31.5" x14ac:dyDescent="0.25">
      <c r="A69" s="123">
        <v>141</v>
      </c>
      <c r="B69" s="144" t="s">
        <v>1432</v>
      </c>
      <c r="C69" s="40" t="s">
        <v>1428</v>
      </c>
      <c r="D69" s="144" t="s">
        <v>1162</v>
      </c>
      <c r="E69" s="50"/>
      <c r="F69" s="41" t="s">
        <v>472</v>
      </c>
      <c r="G69" s="155" t="s">
        <v>886</v>
      </c>
      <c r="H69" s="147" t="s">
        <v>1280</v>
      </c>
      <c r="I69" s="147"/>
      <c r="J69" s="156">
        <v>4855</v>
      </c>
      <c r="K69" s="46" t="s">
        <v>334</v>
      </c>
      <c r="L69" s="147"/>
      <c r="M69" s="149" t="s">
        <v>326</v>
      </c>
      <c r="N69" s="39">
        <v>53</v>
      </c>
      <c r="O69" s="94">
        <v>56896</v>
      </c>
      <c r="P69" s="94">
        <v>56829</v>
      </c>
      <c r="Q69" s="147">
        <v>1</v>
      </c>
      <c r="R69" s="150">
        <f t="shared" si="7"/>
        <v>67</v>
      </c>
      <c r="S69" s="50">
        <v>0</v>
      </c>
      <c r="T69" s="50">
        <f t="shared" si="6"/>
        <v>67</v>
      </c>
      <c r="U69" s="227">
        <v>3505</v>
      </c>
      <c r="V69" s="157">
        <f t="shared" si="8"/>
        <v>234835</v>
      </c>
      <c r="W69" s="147" t="s">
        <v>1122</v>
      </c>
    </row>
    <row r="70" spans="1:23" s="135" customFormat="1" ht="31.5" x14ac:dyDescent="0.25">
      <c r="A70" s="127">
        <v>142</v>
      </c>
      <c r="B70" s="144" t="s">
        <v>1433</v>
      </c>
      <c r="C70" s="40" t="s">
        <v>1428</v>
      </c>
      <c r="D70" s="40" t="s">
        <v>532</v>
      </c>
      <c r="E70" s="43"/>
      <c r="F70" s="41" t="s">
        <v>472</v>
      </c>
      <c r="G70" s="155" t="s">
        <v>886</v>
      </c>
      <c r="H70" s="39" t="s">
        <v>1276</v>
      </c>
      <c r="I70" s="39"/>
      <c r="J70" s="153" t="s">
        <v>206</v>
      </c>
      <c r="K70" s="46" t="s">
        <v>334</v>
      </c>
      <c r="L70" s="39" t="s">
        <v>1216</v>
      </c>
      <c r="M70" s="47" t="s">
        <v>332</v>
      </c>
      <c r="N70" s="39">
        <v>53</v>
      </c>
      <c r="O70" s="128">
        <v>22982</v>
      </c>
      <c r="P70" s="128">
        <v>22888</v>
      </c>
      <c r="Q70" s="39">
        <v>1</v>
      </c>
      <c r="R70" s="95">
        <f t="shared" si="7"/>
        <v>94</v>
      </c>
      <c r="S70" s="43">
        <v>0</v>
      </c>
      <c r="T70" s="43">
        <f>IF((R70-S70)&gt;0,(R70-S70),0)</f>
        <v>94</v>
      </c>
      <c r="U70" s="227">
        <v>3505</v>
      </c>
      <c r="V70" s="48">
        <f>T70*U70</f>
        <v>329470</v>
      </c>
      <c r="W70" s="39" t="s">
        <v>1122</v>
      </c>
    </row>
    <row r="71" spans="1:23" s="135" customFormat="1" ht="26.25" customHeight="1" x14ac:dyDescent="0.25">
      <c r="A71" s="123">
        <v>143</v>
      </c>
      <c r="B71" s="40" t="s">
        <v>977</v>
      </c>
      <c r="C71" s="40" t="s">
        <v>658</v>
      </c>
      <c r="D71" s="40" t="s">
        <v>1187</v>
      </c>
      <c r="E71" s="132" t="s">
        <v>1130</v>
      </c>
      <c r="F71" s="40" t="s">
        <v>977</v>
      </c>
      <c r="G71" s="54" t="s">
        <v>92</v>
      </c>
      <c r="H71" s="39" t="s">
        <v>1228</v>
      </c>
      <c r="I71" s="39"/>
      <c r="J71" s="49" t="s">
        <v>84</v>
      </c>
      <c r="K71" s="46" t="s">
        <v>314</v>
      </c>
      <c r="L71" s="39" t="s">
        <v>370</v>
      </c>
      <c r="M71" s="47" t="s">
        <v>332</v>
      </c>
      <c r="N71" s="39">
        <v>56</v>
      </c>
      <c r="O71" s="94">
        <v>169575</v>
      </c>
      <c r="P71" s="94">
        <v>168896</v>
      </c>
      <c r="Q71" s="39">
        <v>1</v>
      </c>
      <c r="R71" s="95">
        <f t="shared" ref="R71:R110" si="9">(O71-P71)*Q71</f>
        <v>679</v>
      </c>
      <c r="S71" s="43">
        <v>0</v>
      </c>
      <c r="T71" s="43">
        <f t="shared" si="6"/>
        <v>679</v>
      </c>
      <c r="U71" s="43">
        <v>4169</v>
      </c>
      <c r="V71" s="48">
        <f t="shared" si="8"/>
        <v>2830751</v>
      </c>
      <c r="W71" s="39" t="s">
        <v>1123</v>
      </c>
    </row>
    <row r="72" spans="1:23" s="135" customFormat="1" ht="31.5" x14ac:dyDescent="0.25">
      <c r="A72" s="127">
        <v>144</v>
      </c>
      <c r="B72" s="40" t="s">
        <v>977</v>
      </c>
      <c r="C72" s="40" t="s">
        <v>658</v>
      </c>
      <c r="D72" s="40" t="s">
        <v>1056</v>
      </c>
      <c r="E72" s="132" t="s">
        <v>1130</v>
      </c>
      <c r="F72" s="40" t="s">
        <v>977</v>
      </c>
      <c r="G72" s="54" t="s">
        <v>92</v>
      </c>
      <c r="H72" s="39" t="s">
        <v>1228</v>
      </c>
      <c r="I72" s="39"/>
      <c r="J72" s="49" t="s">
        <v>82</v>
      </c>
      <c r="K72" s="46" t="s">
        <v>314</v>
      </c>
      <c r="L72" s="39" t="s">
        <v>83</v>
      </c>
      <c r="M72" s="47" t="s">
        <v>332</v>
      </c>
      <c r="N72" s="39">
        <v>56</v>
      </c>
      <c r="O72" s="94">
        <v>110791</v>
      </c>
      <c r="P72" s="94">
        <v>110422</v>
      </c>
      <c r="Q72" s="39">
        <v>1</v>
      </c>
      <c r="R72" s="95">
        <f t="shared" si="9"/>
        <v>369</v>
      </c>
      <c r="S72" s="43">
        <v>0</v>
      </c>
      <c r="T72" s="43">
        <f t="shared" si="6"/>
        <v>369</v>
      </c>
      <c r="U72" s="43">
        <v>4169</v>
      </c>
      <c r="V72" s="48">
        <f t="shared" si="8"/>
        <v>1538361</v>
      </c>
      <c r="W72" s="39" t="s">
        <v>1123</v>
      </c>
    </row>
    <row r="73" spans="1:23" s="135" customFormat="1" ht="24" customHeight="1" x14ac:dyDescent="0.25">
      <c r="A73" s="123">
        <v>145</v>
      </c>
      <c r="B73" s="40" t="s">
        <v>977</v>
      </c>
      <c r="C73" s="40" t="s">
        <v>658</v>
      </c>
      <c r="D73" s="40" t="s">
        <v>376</v>
      </c>
      <c r="E73" s="132" t="s">
        <v>1130</v>
      </c>
      <c r="F73" s="40" t="s">
        <v>977</v>
      </c>
      <c r="G73" s="44" t="s">
        <v>92</v>
      </c>
      <c r="H73" s="39" t="s">
        <v>1228</v>
      </c>
      <c r="I73" s="49"/>
      <c r="J73" s="49" t="s">
        <v>103</v>
      </c>
      <c r="K73" s="46" t="s">
        <v>314</v>
      </c>
      <c r="L73" s="39" t="s">
        <v>370</v>
      </c>
      <c r="M73" s="47" t="s">
        <v>332</v>
      </c>
      <c r="N73" s="39">
        <v>56</v>
      </c>
      <c r="O73" s="94">
        <v>639348</v>
      </c>
      <c r="P73" s="94">
        <v>638319</v>
      </c>
      <c r="Q73" s="39">
        <v>1</v>
      </c>
      <c r="R73" s="95">
        <f t="shared" si="9"/>
        <v>1029</v>
      </c>
      <c r="S73" s="43">
        <v>0</v>
      </c>
      <c r="T73" s="43">
        <f t="shared" si="6"/>
        <v>1029</v>
      </c>
      <c r="U73" s="43">
        <v>4169</v>
      </c>
      <c r="V73" s="48">
        <f t="shared" si="8"/>
        <v>4289901</v>
      </c>
      <c r="W73" s="39" t="s">
        <v>1123</v>
      </c>
    </row>
    <row r="74" spans="1:23" s="135" customFormat="1" ht="31.5" x14ac:dyDescent="0.25">
      <c r="A74" s="127">
        <v>146</v>
      </c>
      <c r="B74" s="51" t="s">
        <v>1169</v>
      </c>
      <c r="C74" s="40" t="s">
        <v>719</v>
      </c>
      <c r="D74" s="40" t="s">
        <v>1057</v>
      </c>
      <c r="E74" s="43">
        <v>36230870</v>
      </c>
      <c r="F74" s="41" t="s">
        <v>719</v>
      </c>
      <c r="G74" s="44" t="s">
        <v>8</v>
      </c>
      <c r="H74" s="39" t="s">
        <v>1228</v>
      </c>
      <c r="I74" s="39"/>
      <c r="J74" s="49" t="s">
        <v>95</v>
      </c>
      <c r="K74" s="46" t="s">
        <v>314</v>
      </c>
      <c r="L74" s="39" t="s">
        <v>183</v>
      </c>
      <c r="M74" s="47" t="s">
        <v>332</v>
      </c>
      <c r="N74" s="39">
        <v>56</v>
      </c>
      <c r="O74" s="94">
        <v>711120</v>
      </c>
      <c r="P74" s="94">
        <v>708492</v>
      </c>
      <c r="Q74" s="39">
        <v>1</v>
      </c>
      <c r="R74" s="95">
        <f t="shared" si="9"/>
        <v>2628</v>
      </c>
      <c r="S74" s="43">
        <v>0</v>
      </c>
      <c r="T74" s="43">
        <f t="shared" si="6"/>
        <v>2628</v>
      </c>
      <c r="U74" s="43">
        <v>4169</v>
      </c>
      <c r="V74" s="48">
        <f t="shared" si="8"/>
        <v>10956132</v>
      </c>
      <c r="W74" s="39" t="s">
        <v>1123</v>
      </c>
    </row>
    <row r="75" spans="1:23" s="135" customFormat="1" ht="24" customHeight="1" x14ac:dyDescent="0.25">
      <c r="A75" s="123">
        <v>147</v>
      </c>
      <c r="B75" s="51" t="s">
        <v>1169</v>
      </c>
      <c r="C75" s="40" t="s">
        <v>719</v>
      </c>
      <c r="D75" s="40" t="s">
        <v>1058</v>
      </c>
      <c r="E75" s="43">
        <v>36230870</v>
      </c>
      <c r="F75" s="41" t="s">
        <v>719</v>
      </c>
      <c r="G75" s="44" t="s">
        <v>8</v>
      </c>
      <c r="H75" s="39" t="s">
        <v>1228</v>
      </c>
      <c r="I75" s="39"/>
      <c r="J75" s="49">
        <v>9277</v>
      </c>
      <c r="K75" s="46" t="s">
        <v>314</v>
      </c>
      <c r="L75" s="39" t="s">
        <v>370</v>
      </c>
      <c r="M75" s="47" t="s">
        <v>332</v>
      </c>
      <c r="N75" s="39">
        <v>56</v>
      </c>
      <c r="O75" s="94">
        <v>345025</v>
      </c>
      <c r="P75" s="94">
        <v>343622</v>
      </c>
      <c r="Q75" s="39">
        <v>1</v>
      </c>
      <c r="R75" s="95">
        <f t="shared" si="9"/>
        <v>1403</v>
      </c>
      <c r="S75" s="43">
        <v>0</v>
      </c>
      <c r="T75" s="43">
        <f t="shared" si="6"/>
        <v>1403</v>
      </c>
      <c r="U75" s="43">
        <v>4169</v>
      </c>
      <c r="V75" s="48">
        <f t="shared" si="8"/>
        <v>5849107</v>
      </c>
      <c r="W75" s="39" t="s">
        <v>1123</v>
      </c>
    </row>
    <row r="76" spans="1:23" s="135" customFormat="1" ht="31.5" x14ac:dyDescent="0.25">
      <c r="A76" s="127">
        <v>148</v>
      </c>
      <c r="B76" s="40" t="s">
        <v>977</v>
      </c>
      <c r="C76" s="40" t="s">
        <v>658</v>
      </c>
      <c r="D76" s="40" t="s">
        <v>976</v>
      </c>
      <c r="E76" s="43">
        <v>38683713</v>
      </c>
      <c r="F76" s="40" t="s">
        <v>977</v>
      </c>
      <c r="G76" s="44" t="s">
        <v>92</v>
      </c>
      <c r="H76" s="39" t="s">
        <v>1228</v>
      </c>
      <c r="I76" s="39"/>
      <c r="J76" s="49">
        <v>9310</v>
      </c>
      <c r="K76" s="46" t="s">
        <v>334</v>
      </c>
      <c r="L76" s="39" t="s">
        <v>370</v>
      </c>
      <c r="M76" s="47" t="s">
        <v>332</v>
      </c>
      <c r="N76" s="39">
        <v>56</v>
      </c>
      <c r="O76" s="94">
        <v>466012</v>
      </c>
      <c r="P76" s="94">
        <v>464354</v>
      </c>
      <c r="Q76" s="39">
        <v>1</v>
      </c>
      <c r="R76" s="95">
        <f t="shared" si="9"/>
        <v>1658</v>
      </c>
      <c r="S76" s="43">
        <v>0</v>
      </c>
      <c r="T76" s="43">
        <f t="shared" si="6"/>
        <v>1658</v>
      </c>
      <c r="U76" s="43">
        <v>4169</v>
      </c>
      <c r="V76" s="48">
        <f t="shared" si="8"/>
        <v>6912202</v>
      </c>
      <c r="W76" s="39" t="s">
        <v>1123</v>
      </c>
    </row>
    <row r="77" spans="1:23" s="135" customFormat="1" ht="47.25" x14ac:dyDescent="0.25">
      <c r="A77" s="123">
        <v>151</v>
      </c>
      <c r="B77" s="41" t="s">
        <v>1136</v>
      </c>
      <c r="C77" s="40" t="s">
        <v>658</v>
      </c>
      <c r="D77" s="40" t="s">
        <v>1023</v>
      </c>
      <c r="E77" s="43">
        <v>38682778</v>
      </c>
      <c r="F77" s="41" t="s">
        <v>1033</v>
      </c>
      <c r="G77" s="44" t="s">
        <v>933</v>
      </c>
      <c r="H77" s="39" t="s">
        <v>1281</v>
      </c>
      <c r="I77" s="39"/>
      <c r="J77" s="49" t="s">
        <v>20</v>
      </c>
      <c r="K77" s="46" t="s">
        <v>314</v>
      </c>
      <c r="L77" s="39" t="s">
        <v>202</v>
      </c>
      <c r="M77" s="47" t="s">
        <v>668</v>
      </c>
      <c r="N77" s="39">
        <v>56</v>
      </c>
      <c r="O77" s="128">
        <v>155017</v>
      </c>
      <c r="P77" s="128">
        <v>154744</v>
      </c>
      <c r="Q77" s="39">
        <v>1</v>
      </c>
      <c r="R77" s="95">
        <f t="shared" si="9"/>
        <v>273</v>
      </c>
      <c r="S77" s="43">
        <v>0</v>
      </c>
      <c r="T77" s="43">
        <f t="shared" si="6"/>
        <v>273</v>
      </c>
      <c r="U77" s="43">
        <v>4169</v>
      </c>
      <c r="V77" s="48">
        <f t="shared" si="8"/>
        <v>1138137</v>
      </c>
      <c r="W77" s="39" t="s">
        <v>1122</v>
      </c>
    </row>
    <row r="78" spans="1:23" s="135" customFormat="1" ht="31.5" x14ac:dyDescent="0.25">
      <c r="A78" s="127">
        <v>152</v>
      </c>
      <c r="B78" s="40" t="s">
        <v>1011</v>
      </c>
      <c r="C78" s="40" t="s">
        <v>658</v>
      </c>
      <c r="D78" s="40" t="s">
        <v>1282</v>
      </c>
      <c r="E78" s="43">
        <v>38682917</v>
      </c>
      <c r="F78" s="41" t="s">
        <v>319</v>
      </c>
      <c r="G78" s="44" t="s">
        <v>318</v>
      </c>
      <c r="H78" s="39" t="s">
        <v>1282</v>
      </c>
      <c r="I78" s="39"/>
      <c r="J78" s="49">
        <v>3259</v>
      </c>
      <c r="K78" s="46" t="s">
        <v>314</v>
      </c>
      <c r="L78" s="39" t="s">
        <v>316</v>
      </c>
      <c r="M78" s="47" t="s">
        <v>315</v>
      </c>
      <c r="N78" s="39">
        <v>57</v>
      </c>
      <c r="O78" s="94">
        <v>14921</v>
      </c>
      <c r="P78" s="94">
        <v>14598</v>
      </c>
      <c r="Q78" s="39">
        <v>1</v>
      </c>
      <c r="R78" s="95">
        <f t="shared" si="9"/>
        <v>323</v>
      </c>
      <c r="S78" s="43">
        <v>0</v>
      </c>
      <c r="T78" s="43">
        <f t="shared" si="6"/>
        <v>323</v>
      </c>
      <c r="U78" s="43">
        <v>4169</v>
      </c>
      <c r="V78" s="48">
        <f t="shared" si="8"/>
        <v>1346587</v>
      </c>
      <c r="W78" s="39" t="s">
        <v>1123</v>
      </c>
    </row>
    <row r="79" spans="1:23" s="135" customFormat="1" ht="32.25" customHeight="1" x14ac:dyDescent="0.25">
      <c r="A79" s="123">
        <v>153</v>
      </c>
      <c r="B79" s="40" t="s">
        <v>1012</v>
      </c>
      <c r="C79" s="40" t="s">
        <v>658</v>
      </c>
      <c r="D79" s="40" t="s">
        <v>1166</v>
      </c>
      <c r="E79" s="43">
        <v>38682917</v>
      </c>
      <c r="F79" s="41" t="s">
        <v>319</v>
      </c>
      <c r="G79" s="44" t="s">
        <v>318</v>
      </c>
      <c r="H79" s="39" t="s">
        <v>1166</v>
      </c>
      <c r="I79" s="39"/>
      <c r="J79" s="49">
        <v>80030</v>
      </c>
      <c r="K79" s="46" t="s">
        <v>314</v>
      </c>
      <c r="L79" s="39" t="s">
        <v>133</v>
      </c>
      <c r="M79" s="47" t="s">
        <v>332</v>
      </c>
      <c r="N79" s="39">
        <v>57</v>
      </c>
      <c r="O79" s="94">
        <v>81041</v>
      </c>
      <c r="P79" s="94">
        <v>79974</v>
      </c>
      <c r="Q79" s="39">
        <v>1</v>
      </c>
      <c r="R79" s="95">
        <f t="shared" si="9"/>
        <v>1067</v>
      </c>
      <c r="S79" s="43">
        <v>0</v>
      </c>
      <c r="T79" s="43">
        <f t="shared" si="6"/>
        <v>1067</v>
      </c>
      <c r="U79" s="43">
        <v>4169</v>
      </c>
      <c r="V79" s="48">
        <f t="shared" si="8"/>
        <v>4448323</v>
      </c>
      <c r="W79" s="39" t="s">
        <v>1122</v>
      </c>
    </row>
    <row r="80" spans="1:23" s="135" customFormat="1" ht="31.5" x14ac:dyDescent="0.25">
      <c r="A80" s="127">
        <v>154</v>
      </c>
      <c r="B80" s="40" t="s">
        <v>1237</v>
      </c>
      <c r="C80" s="40" t="s">
        <v>658</v>
      </c>
      <c r="D80" s="40" t="s">
        <v>1238</v>
      </c>
      <c r="E80" s="43">
        <v>38682917</v>
      </c>
      <c r="F80" s="41" t="s">
        <v>319</v>
      </c>
      <c r="G80" s="44" t="s">
        <v>318</v>
      </c>
      <c r="H80" s="39" t="s">
        <v>1238</v>
      </c>
      <c r="I80" s="39"/>
      <c r="J80" s="49">
        <v>1124</v>
      </c>
      <c r="K80" s="46" t="s">
        <v>314</v>
      </c>
      <c r="L80" s="39" t="s">
        <v>1239</v>
      </c>
      <c r="M80" s="47" t="s">
        <v>668</v>
      </c>
      <c r="N80" s="39">
        <v>57</v>
      </c>
      <c r="O80" s="94">
        <v>98037</v>
      </c>
      <c r="P80" s="94">
        <v>96085</v>
      </c>
      <c r="Q80" s="39">
        <v>1</v>
      </c>
      <c r="R80" s="95">
        <f>(O80-P80)*Q80</f>
        <v>1952</v>
      </c>
      <c r="S80" s="43">
        <v>0</v>
      </c>
      <c r="T80" s="43">
        <f t="shared" si="6"/>
        <v>1952</v>
      </c>
      <c r="U80" s="43">
        <v>4169</v>
      </c>
      <c r="V80" s="48">
        <f t="shared" si="8"/>
        <v>8137888</v>
      </c>
      <c r="W80" s="39" t="s">
        <v>1122</v>
      </c>
    </row>
    <row r="81" spans="1:23" s="135" customFormat="1" ht="31.5" x14ac:dyDescent="0.25">
      <c r="A81" s="123">
        <v>155</v>
      </c>
      <c r="B81" s="40" t="s">
        <v>1013</v>
      </c>
      <c r="C81" s="40" t="s">
        <v>658</v>
      </c>
      <c r="D81" s="40" t="s">
        <v>451</v>
      </c>
      <c r="E81" s="43">
        <v>38682917</v>
      </c>
      <c r="F81" s="41" t="s">
        <v>319</v>
      </c>
      <c r="G81" s="44" t="s">
        <v>318</v>
      </c>
      <c r="H81" s="39" t="s">
        <v>1215</v>
      </c>
      <c r="I81" s="39"/>
      <c r="J81" s="49" t="s">
        <v>430</v>
      </c>
      <c r="K81" s="46" t="s">
        <v>334</v>
      </c>
      <c r="L81" s="39" t="s">
        <v>1217</v>
      </c>
      <c r="M81" s="47" t="s">
        <v>668</v>
      </c>
      <c r="N81" s="39">
        <v>57</v>
      </c>
      <c r="O81" s="94">
        <v>78244</v>
      </c>
      <c r="P81" s="94">
        <v>77467</v>
      </c>
      <c r="Q81" s="39">
        <v>1</v>
      </c>
      <c r="R81" s="95">
        <f>(O81-P81)*Q81</f>
        <v>777</v>
      </c>
      <c r="S81" s="43">
        <v>0</v>
      </c>
      <c r="T81" s="43">
        <f t="shared" si="6"/>
        <v>777</v>
      </c>
      <c r="U81" s="43">
        <v>4169</v>
      </c>
      <c r="V81" s="48">
        <f t="shared" si="8"/>
        <v>3239313</v>
      </c>
      <c r="W81" s="39" t="s">
        <v>1122</v>
      </c>
    </row>
    <row r="82" spans="1:23" s="135" customFormat="1" ht="31.5" x14ac:dyDescent="0.25">
      <c r="A82" s="123">
        <v>157</v>
      </c>
      <c r="B82" s="40" t="s">
        <v>1157</v>
      </c>
      <c r="C82" s="40" t="s">
        <v>658</v>
      </c>
      <c r="D82" s="40" t="s">
        <v>1015</v>
      </c>
      <c r="E82" s="43">
        <v>38682917</v>
      </c>
      <c r="F82" s="41" t="s">
        <v>319</v>
      </c>
      <c r="G82" s="44" t="s">
        <v>318</v>
      </c>
      <c r="H82" s="39" t="s">
        <v>1228</v>
      </c>
      <c r="I82" s="39"/>
      <c r="J82" s="49" t="s">
        <v>2</v>
      </c>
      <c r="K82" s="46" t="s">
        <v>314</v>
      </c>
      <c r="L82" s="39" t="s">
        <v>370</v>
      </c>
      <c r="M82" s="47" t="s">
        <v>332</v>
      </c>
      <c r="N82" s="39">
        <v>57</v>
      </c>
      <c r="O82" s="94">
        <v>140757</v>
      </c>
      <c r="P82" s="94">
        <v>138936</v>
      </c>
      <c r="Q82" s="39">
        <v>1</v>
      </c>
      <c r="R82" s="95">
        <f>(O82-P82)*Q82</f>
        <v>1821</v>
      </c>
      <c r="S82" s="43">
        <v>0</v>
      </c>
      <c r="T82" s="43">
        <f t="shared" si="6"/>
        <v>1821</v>
      </c>
      <c r="U82" s="43">
        <v>4169</v>
      </c>
      <c r="V82" s="48">
        <f t="shared" si="8"/>
        <v>7591749</v>
      </c>
      <c r="W82" s="39" t="s">
        <v>1123</v>
      </c>
    </row>
    <row r="83" spans="1:23" s="135" customFormat="1" ht="31.5" x14ac:dyDescent="0.25">
      <c r="A83" s="127">
        <v>158</v>
      </c>
      <c r="B83" s="40" t="s">
        <v>1158</v>
      </c>
      <c r="C83" s="40" t="s">
        <v>658</v>
      </c>
      <c r="D83" s="40" t="s">
        <v>1014</v>
      </c>
      <c r="E83" s="43">
        <v>38682917</v>
      </c>
      <c r="F83" s="41" t="s">
        <v>319</v>
      </c>
      <c r="G83" s="44" t="s">
        <v>318</v>
      </c>
      <c r="H83" s="39" t="s">
        <v>1228</v>
      </c>
      <c r="I83" s="39"/>
      <c r="J83" s="49" t="s">
        <v>206</v>
      </c>
      <c r="K83" s="46" t="s">
        <v>314</v>
      </c>
      <c r="L83" s="39" t="s">
        <v>343</v>
      </c>
      <c r="M83" s="47" t="s">
        <v>332</v>
      </c>
      <c r="N83" s="39">
        <v>57</v>
      </c>
      <c r="O83" s="94">
        <v>150508</v>
      </c>
      <c r="P83" s="94">
        <v>148709</v>
      </c>
      <c r="Q83" s="39">
        <v>1</v>
      </c>
      <c r="R83" s="95">
        <f>(O83-P83)*Q83</f>
        <v>1799</v>
      </c>
      <c r="S83" s="43">
        <v>0</v>
      </c>
      <c r="T83" s="43">
        <f t="shared" si="6"/>
        <v>1799</v>
      </c>
      <c r="U83" s="43">
        <v>4169</v>
      </c>
      <c r="V83" s="48">
        <f t="shared" si="8"/>
        <v>7500031</v>
      </c>
      <c r="W83" s="39" t="s">
        <v>1123</v>
      </c>
    </row>
    <row r="84" spans="1:23" s="135" customFormat="1" ht="31.5" x14ac:dyDescent="0.25">
      <c r="A84" s="123">
        <v>159</v>
      </c>
      <c r="B84" s="40" t="s">
        <v>1010</v>
      </c>
      <c r="C84" s="40" t="s">
        <v>658</v>
      </c>
      <c r="D84" s="40" t="s">
        <v>745</v>
      </c>
      <c r="E84" s="52"/>
      <c r="F84" s="41" t="s">
        <v>319</v>
      </c>
      <c r="G84" s="44" t="s">
        <v>318</v>
      </c>
      <c r="H84" s="52" t="s">
        <v>1228</v>
      </c>
      <c r="I84" s="52"/>
      <c r="J84" s="191" t="s">
        <v>908</v>
      </c>
      <c r="K84" s="46" t="s">
        <v>314</v>
      </c>
      <c r="L84" s="39" t="s">
        <v>343</v>
      </c>
      <c r="M84" s="53" t="s">
        <v>332</v>
      </c>
      <c r="N84" s="39">
        <v>57</v>
      </c>
      <c r="O84" s="94">
        <v>248920</v>
      </c>
      <c r="P84" s="94">
        <v>247568</v>
      </c>
      <c r="Q84" s="39">
        <v>1</v>
      </c>
      <c r="R84" s="95">
        <f>(O84-P84)*Q84</f>
        <v>1352</v>
      </c>
      <c r="S84" s="43">
        <v>0</v>
      </c>
      <c r="T84" s="43">
        <f t="shared" si="6"/>
        <v>1352</v>
      </c>
      <c r="U84" s="43">
        <v>4169</v>
      </c>
      <c r="V84" s="48">
        <f t="shared" si="8"/>
        <v>5636488</v>
      </c>
      <c r="W84" s="39" t="s">
        <v>1123</v>
      </c>
    </row>
    <row r="85" spans="1:23" s="135" customFormat="1" ht="30.75" customHeight="1" x14ac:dyDescent="0.25">
      <c r="A85" s="127">
        <v>160</v>
      </c>
      <c r="B85" s="40" t="s">
        <v>1000</v>
      </c>
      <c r="C85" s="40" t="s">
        <v>658</v>
      </c>
      <c r="D85" s="40" t="s">
        <v>328</v>
      </c>
      <c r="E85" s="43">
        <v>38682917</v>
      </c>
      <c r="F85" s="41" t="s">
        <v>319</v>
      </c>
      <c r="G85" s="44" t="s">
        <v>318</v>
      </c>
      <c r="H85" s="39" t="s">
        <v>1279</v>
      </c>
      <c r="I85" s="39"/>
      <c r="J85" s="49" t="s">
        <v>34</v>
      </c>
      <c r="K85" s="46" t="s">
        <v>314</v>
      </c>
      <c r="L85" s="39" t="s">
        <v>327</v>
      </c>
      <c r="M85" s="47" t="s">
        <v>326</v>
      </c>
      <c r="N85" s="39">
        <v>58</v>
      </c>
      <c r="O85" s="94">
        <v>144730</v>
      </c>
      <c r="P85" s="94">
        <v>144489</v>
      </c>
      <c r="Q85" s="39">
        <v>1</v>
      </c>
      <c r="R85" s="95">
        <f t="shared" si="9"/>
        <v>241</v>
      </c>
      <c r="S85" s="43">
        <v>0</v>
      </c>
      <c r="T85" s="43">
        <f t="shared" si="6"/>
        <v>241</v>
      </c>
      <c r="U85" s="43">
        <v>4169</v>
      </c>
      <c r="V85" s="48">
        <f t="shared" si="8"/>
        <v>1004729</v>
      </c>
      <c r="W85" s="39" t="s">
        <v>1123</v>
      </c>
    </row>
    <row r="86" spans="1:23" s="135" customFormat="1" ht="30.75" customHeight="1" x14ac:dyDescent="0.25">
      <c r="A86" s="123">
        <v>161</v>
      </c>
      <c r="B86" s="40" t="s">
        <v>999</v>
      </c>
      <c r="C86" s="40" t="s">
        <v>658</v>
      </c>
      <c r="D86" s="40" t="s">
        <v>964</v>
      </c>
      <c r="E86" s="43">
        <v>38682917</v>
      </c>
      <c r="F86" s="41" t="s">
        <v>319</v>
      </c>
      <c r="G86" s="44" t="s">
        <v>318</v>
      </c>
      <c r="H86" s="39" t="s">
        <v>1207</v>
      </c>
      <c r="I86" s="39"/>
      <c r="J86" s="153" t="s">
        <v>905</v>
      </c>
      <c r="K86" s="46" t="s">
        <v>334</v>
      </c>
      <c r="L86" s="39" t="s">
        <v>327</v>
      </c>
      <c r="M86" s="47" t="s">
        <v>326</v>
      </c>
      <c r="N86" s="39">
        <v>58</v>
      </c>
      <c r="O86" s="94">
        <v>33241</v>
      </c>
      <c r="P86" s="94">
        <v>32754</v>
      </c>
      <c r="Q86" s="39">
        <v>1</v>
      </c>
      <c r="R86" s="95">
        <f t="shared" si="9"/>
        <v>487</v>
      </c>
      <c r="S86" s="43">
        <v>0</v>
      </c>
      <c r="T86" s="43">
        <f t="shared" si="6"/>
        <v>487</v>
      </c>
      <c r="U86" s="43">
        <v>4169</v>
      </c>
      <c r="V86" s="48">
        <f t="shared" si="8"/>
        <v>2030303</v>
      </c>
      <c r="W86" s="39" t="s">
        <v>1122</v>
      </c>
    </row>
    <row r="87" spans="1:23" s="135" customFormat="1" ht="30.75" customHeight="1" x14ac:dyDescent="0.25">
      <c r="A87" s="123">
        <v>163</v>
      </c>
      <c r="B87" s="40" t="s">
        <v>1254</v>
      </c>
      <c r="C87" s="40" t="s">
        <v>658</v>
      </c>
      <c r="D87" s="40" t="s">
        <v>1204</v>
      </c>
      <c r="E87" s="43">
        <v>38682917</v>
      </c>
      <c r="F87" s="41" t="s">
        <v>319</v>
      </c>
      <c r="G87" s="44" t="s">
        <v>318</v>
      </c>
      <c r="H87" s="39" t="s">
        <v>1215</v>
      </c>
      <c r="I87" s="39"/>
      <c r="J87" s="153">
        <v>5823</v>
      </c>
      <c r="K87" s="46" t="s">
        <v>314</v>
      </c>
      <c r="L87" s="39" t="s">
        <v>1243</v>
      </c>
      <c r="M87" s="47" t="s">
        <v>668</v>
      </c>
      <c r="N87" s="39">
        <v>58</v>
      </c>
      <c r="O87" s="94">
        <v>6862</v>
      </c>
      <c r="P87" s="94">
        <v>6275</v>
      </c>
      <c r="Q87" s="39">
        <v>1</v>
      </c>
      <c r="R87" s="95">
        <f t="shared" si="9"/>
        <v>587</v>
      </c>
      <c r="S87" s="43">
        <v>0</v>
      </c>
      <c r="T87" s="43">
        <f t="shared" si="6"/>
        <v>587</v>
      </c>
      <c r="U87" s="43">
        <v>4169</v>
      </c>
      <c r="V87" s="48">
        <f t="shared" si="8"/>
        <v>2447203</v>
      </c>
      <c r="W87" s="39" t="s">
        <v>1122</v>
      </c>
    </row>
    <row r="88" spans="1:23" s="135" customFormat="1" ht="47.25" x14ac:dyDescent="0.25">
      <c r="A88" s="127">
        <v>164</v>
      </c>
      <c r="B88" s="40" t="s">
        <v>1554</v>
      </c>
      <c r="C88" s="40" t="s">
        <v>658</v>
      </c>
      <c r="D88" s="40" t="s">
        <v>290</v>
      </c>
      <c r="E88" s="43">
        <v>38682917</v>
      </c>
      <c r="F88" s="41" t="s">
        <v>319</v>
      </c>
      <c r="G88" s="44" t="s">
        <v>318</v>
      </c>
      <c r="H88" s="39" t="s">
        <v>1209</v>
      </c>
      <c r="I88" s="39"/>
      <c r="J88" s="49" t="s">
        <v>147</v>
      </c>
      <c r="K88" s="46" t="s">
        <v>314</v>
      </c>
      <c r="L88" s="39" t="s">
        <v>327</v>
      </c>
      <c r="M88" s="47" t="s">
        <v>680</v>
      </c>
      <c r="N88" s="39">
        <v>51</v>
      </c>
      <c r="O88" s="128">
        <v>146599</v>
      </c>
      <c r="P88" s="128">
        <v>145955</v>
      </c>
      <c r="Q88" s="39">
        <v>1</v>
      </c>
      <c r="R88" s="95">
        <f>(O88-P88)*Q88</f>
        <v>644</v>
      </c>
      <c r="S88" s="43">
        <v>0</v>
      </c>
      <c r="T88" s="43">
        <f>IF((R88-S88)&gt;0,(R88-S88),0)</f>
        <v>644</v>
      </c>
      <c r="U88" s="227">
        <v>3505</v>
      </c>
      <c r="V88" s="48">
        <f>T88*U88</f>
        <v>2257220</v>
      </c>
      <c r="W88" s="39" t="s">
        <v>1122</v>
      </c>
    </row>
    <row r="89" spans="1:23" s="135" customFormat="1" ht="47.25" x14ac:dyDescent="0.25">
      <c r="A89" s="123">
        <v>165</v>
      </c>
      <c r="B89" s="40" t="s">
        <v>1549</v>
      </c>
      <c r="C89" s="40" t="s">
        <v>658</v>
      </c>
      <c r="D89" s="40" t="s">
        <v>291</v>
      </c>
      <c r="E89" s="43">
        <v>38682917</v>
      </c>
      <c r="F89" s="41" t="s">
        <v>319</v>
      </c>
      <c r="G89" s="44" t="s">
        <v>318</v>
      </c>
      <c r="H89" s="39" t="s">
        <v>1209</v>
      </c>
      <c r="I89" s="39"/>
      <c r="J89" s="49" t="s">
        <v>146</v>
      </c>
      <c r="K89" s="46" t="s">
        <v>314</v>
      </c>
      <c r="L89" s="39" t="s">
        <v>145</v>
      </c>
      <c r="M89" s="47" t="s">
        <v>680</v>
      </c>
      <c r="N89" s="39">
        <v>51</v>
      </c>
      <c r="O89" s="128">
        <v>107201</v>
      </c>
      <c r="P89" s="128">
        <v>106817</v>
      </c>
      <c r="Q89" s="39">
        <v>1</v>
      </c>
      <c r="R89" s="95">
        <f>(O89-P89)*Q89</f>
        <v>384</v>
      </c>
      <c r="S89" s="43">
        <v>0</v>
      </c>
      <c r="T89" s="154">
        <f>IF((R89-S89)&gt;0,(R89-S89),0)</f>
        <v>384</v>
      </c>
      <c r="U89" s="227">
        <v>3505</v>
      </c>
      <c r="V89" s="48">
        <f>T89*U89</f>
        <v>1345920</v>
      </c>
      <c r="W89" s="39" t="s">
        <v>1122</v>
      </c>
    </row>
    <row r="90" spans="1:23" s="135" customFormat="1" ht="33.75" customHeight="1" x14ac:dyDescent="0.25">
      <c r="A90" s="127">
        <v>166</v>
      </c>
      <c r="B90" s="40" t="s">
        <v>1549</v>
      </c>
      <c r="C90" s="40" t="s">
        <v>658</v>
      </c>
      <c r="D90" s="40" t="s">
        <v>1548</v>
      </c>
      <c r="E90" s="43">
        <v>38682917</v>
      </c>
      <c r="F90" s="41" t="s">
        <v>319</v>
      </c>
      <c r="G90" s="44" t="s">
        <v>318</v>
      </c>
      <c r="H90" s="39" t="s">
        <v>1209</v>
      </c>
      <c r="I90" s="39"/>
      <c r="J90" s="49">
        <v>2029</v>
      </c>
      <c r="K90" s="46" t="s">
        <v>314</v>
      </c>
      <c r="L90" s="39" t="s">
        <v>145</v>
      </c>
      <c r="M90" s="47" t="s">
        <v>680</v>
      </c>
      <c r="N90" s="39">
        <v>51</v>
      </c>
      <c r="O90" s="128">
        <v>28143</v>
      </c>
      <c r="P90" s="128">
        <v>28121</v>
      </c>
      <c r="Q90" s="39">
        <v>1</v>
      </c>
      <c r="R90" s="95">
        <f>(O90-P90)*Q90</f>
        <v>22</v>
      </c>
      <c r="S90" s="43">
        <v>0</v>
      </c>
      <c r="T90" s="154">
        <f>IF((R90-S90)&gt;0,(R90-S90),0)</f>
        <v>22</v>
      </c>
      <c r="U90" s="227">
        <v>3505</v>
      </c>
      <c r="V90" s="48">
        <f>T90*U90</f>
        <v>77110</v>
      </c>
      <c r="W90" s="39" t="s">
        <v>1122</v>
      </c>
    </row>
    <row r="91" spans="1:23" s="135" customFormat="1" ht="30.75" customHeight="1" x14ac:dyDescent="0.25">
      <c r="A91" s="123">
        <v>167</v>
      </c>
      <c r="B91" s="40" t="s">
        <v>612</v>
      </c>
      <c r="C91" s="40" t="s">
        <v>658</v>
      </c>
      <c r="D91" s="40" t="s">
        <v>950</v>
      </c>
      <c r="E91" s="43"/>
      <c r="F91" s="41" t="s">
        <v>348</v>
      </c>
      <c r="G91" s="44" t="s">
        <v>92</v>
      </c>
      <c r="H91" s="39" t="s">
        <v>1229</v>
      </c>
      <c r="I91" s="39"/>
      <c r="J91" s="49">
        <v>2130</v>
      </c>
      <c r="K91" s="46" t="s">
        <v>314</v>
      </c>
      <c r="L91" s="39" t="s">
        <v>1300</v>
      </c>
      <c r="M91" s="47" t="s">
        <v>326</v>
      </c>
      <c r="N91" s="39">
        <v>59</v>
      </c>
      <c r="O91" s="94">
        <v>153347</v>
      </c>
      <c r="P91" s="94">
        <v>151264</v>
      </c>
      <c r="Q91" s="39">
        <v>1</v>
      </c>
      <c r="R91" s="95">
        <f t="shared" si="9"/>
        <v>2083</v>
      </c>
      <c r="S91" s="43">
        <v>0</v>
      </c>
      <c r="T91" s="154">
        <f t="shared" si="6"/>
        <v>2083</v>
      </c>
      <c r="U91" s="227">
        <v>3505</v>
      </c>
      <c r="V91" s="48">
        <f t="shared" si="8"/>
        <v>7300915</v>
      </c>
      <c r="W91" s="39" t="s">
        <v>1122</v>
      </c>
    </row>
    <row r="92" spans="1:23" s="135" customFormat="1" ht="30.75" customHeight="1" x14ac:dyDescent="0.25">
      <c r="A92" s="127">
        <v>168</v>
      </c>
      <c r="B92" s="40" t="s">
        <v>612</v>
      </c>
      <c r="C92" s="40" t="s">
        <v>658</v>
      </c>
      <c r="D92" s="40" t="s">
        <v>93</v>
      </c>
      <c r="E92" s="43"/>
      <c r="F92" s="41" t="s">
        <v>348</v>
      </c>
      <c r="G92" s="44" t="s">
        <v>92</v>
      </c>
      <c r="H92" s="39" t="s">
        <v>1229</v>
      </c>
      <c r="I92" s="39"/>
      <c r="J92" s="49">
        <v>4607</v>
      </c>
      <c r="K92" s="46" t="s">
        <v>314</v>
      </c>
      <c r="L92" s="39" t="s">
        <v>1165</v>
      </c>
      <c r="M92" s="47" t="s">
        <v>326</v>
      </c>
      <c r="N92" s="39">
        <v>59</v>
      </c>
      <c r="O92" s="94">
        <v>152995</v>
      </c>
      <c r="P92" s="94">
        <v>151738</v>
      </c>
      <c r="Q92" s="39">
        <v>1</v>
      </c>
      <c r="R92" s="95">
        <f t="shared" si="9"/>
        <v>1257</v>
      </c>
      <c r="S92" s="43">
        <v>0</v>
      </c>
      <c r="T92" s="154">
        <f t="shared" si="6"/>
        <v>1257</v>
      </c>
      <c r="U92" s="227">
        <v>3505</v>
      </c>
      <c r="V92" s="48">
        <f t="shared" si="8"/>
        <v>4405785</v>
      </c>
      <c r="W92" s="39" t="s">
        <v>1122</v>
      </c>
    </row>
    <row r="93" spans="1:23" s="135" customFormat="1" ht="31.5" x14ac:dyDescent="0.25">
      <c r="A93" s="123">
        <v>169</v>
      </c>
      <c r="B93" s="40" t="s">
        <v>449</v>
      </c>
      <c r="C93" s="40" t="s">
        <v>127</v>
      </c>
      <c r="D93" s="40" t="s">
        <v>1233</v>
      </c>
      <c r="E93" s="43">
        <v>38692555</v>
      </c>
      <c r="F93" s="97" t="s">
        <v>1078</v>
      </c>
      <c r="G93" s="158" t="s">
        <v>1079</v>
      </c>
      <c r="H93" s="39" t="s">
        <v>442</v>
      </c>
      <c r="I93" s="39"/>
      <c r="J93" s="49" t="s">
        <v>128</v>
      </c>
      <c r="K93" s="46" t="s">
        <v>314</v>
      </c>
      <c r="L93" s="39" t="s">
        <v>316</v>
      </c>
      <c r="M93" s="47" t="s">
        <v>315</v>
      </c>
      <c r="N93" s="39">
        <v>60</v>
      </c>
      <c r="O93" s="94">
        <v>6396</v>
      </c>
      <c r="P93" s="94">
        <v>6364</v>
      </c>
      <c r="Q93" s="39">
        <v>40</v>
      </c>
      <c r="R93" s="95">
        <f t="shared" si="9"/>
        <v>1280</v>
      </c>
      <c r="S93" s="43">
        <v>0</v>
      </c>
      <c r="T93" s="43">
        <f t="shared" si="6"/>
        <v>1280</v>
      </c>
      <c r="U93" s="43">
        <v>4169</v>
      </c>
      <c r="V93" s="48">
        <f t="shared" si="8"/>
        <v>5336320</v>
      </c>
      <c r="W93" s="39" t="s">
        <v>1123</v>
      </c>
    </row>
    <row r="94" spans="1:23" s="135" customFormat="1" ht="31.5" x14ac:dyDescent="0.25">
      <c r="A94" s="123">
        <v>171</v>
      </c>
      <c r="B94" s="40" t="s">
        <v>1030</v>
      </c>
      <c r="C94" s="40" t="s">
        <v>1422</v>
      </c>
      <c r="D94" s="40" t="s">
        <v>1227</v>
      </c>
      <c r="E94" s="43">
        <v>38681888</v>
      </c>
      <c r="F94" s="97" t="s">
        <v>547</v>
      </c>
      <c r="G94" s="98" t="s">
        <v>971</v>
      </c>
      <c r="H94" s="39" t="s">
        <v>1227</v>
      </c>
      <c r="I94" s="39"/>
      <c r="J94" s="49" t="s">
        <v>260</v>
      </c>
      <c r="K94" s="46" t="s">
        <v>314</v>
      </c>
      <c r="L94" s="39" t="s">
        <v>327</v>
      </c>
      <c r="M94" s="47" t="s">
        <v>315</v>
      </c>
      <c r="N94" s="39">
        <v>81</v>
      </c>
      <c r="O94" s="94">
        <v>274810</v>
      </c>
      <c r="P94" s="94">
        <v>274540</v>
      </c>
      <c r="Q94" s="39">
        <v>1</v>
      </c>
      <c r="R94" s="95">
        <f t="shared" si="9"/>
        <v>270</v>
      </c>
      <c r="S94" s="43">
        <v>0</v>
      </c>
      <c r="T94" s="43">
        <f t="shared" si="6"/>
        <v>270</v>
      </c>
      <c r="U94" s="43">
        <v>4169</v>
      </c>
      <c r="V94" s="48">
        <f t="shared" si="8"/>
        <v>1125630</v>
      </c>
      <c r="W94" s="39" t="s">
        <v>1123</v>
      </c>
    </row>
    <row r="95" spans="1:23" s="135" customFormat="1" ht="31.5" x14ac:dyDescent="0.25">
      <c r="A95" s="127">
        <v>172</v>
      </c>
      <c r="B95" s="40" t="s">
        <v>1545</v>
      </c>
      <c r="C95" s="40" t="s">
        <v>1422</v>
      </c>
      <c r="D95" s="40" t="s">
        <v>1227</v>
      </c>
      <c r="E95" s="52"/>
      <c r="F95" s="97" t="s">
        <v>1032</v>
      </c>
      <c r="G95" s="98" t="s">
        <v>725</v>
      </c>
      <c r="H95" s="52" t="s">
        <v>1227</v>
      </c>
      <c r="I95" s="52"/>
      <c r="J95" s="152">
        <v>4973</v>
      </c>
      <c r="K95" s="46" t="s">
        <v>314</v>
      </c>
      <c r="L95" s="39" t="s">
        <v>327</v>
      </c>
      <c r="M95" s="53" t="s">
        <v>315</v>
      </c>
      <c r="N95" s="39">
        <v>81</v>
      </c>
      <c r="O95" s="99">
        <v>151938</v>
      </c>
      <c r="P95" s="99">
        <v>151885</v>
      </c>
      <c r="Q95" s="39">
        <v>1</v>
      </c>
      <c r="R95" s="95">
        <f t="shared" si="9"/>
        <v>53</v>
      </c>
      <c r="S95" s="43">
        <v>0</v>
      </c>
      <c r="T95" s="43">
        <f t="shared" si="6"/>
        <v>53</v>
      </c>
      <c r="U95" s="43">
        <v>4169</v>
      </c>
      <c r="V95" s="48">
        <f t="shared" si="8"/>
        <v>220957</v>
      </c>
      <c r="W95" s="39" t="s">
        <v>1123</v>
      </c>
    </row>
    <row r="96" spans="1:23" s="135" customFormat="1" ht="31.5" x14ac:dyDescent="0.25">
      <c r="A96" s="127">
        <v>178</v>
      </c>
      <c r="B96" s="40" t="s">
        <v>998</v>
      </c>
      <c r="C96" s="40" t="s">
        <v>1247</v>
      </c>
      <c r="D96" s="40" t="s">
        <v>961</v>
      </c>
      <c r="E96" s="43"/>
      <c r="F96" s="41" t="s">
        <v>339</v>
      </c>
      <c r="G96" s="44" t="s">
        <v>338</v>
      </c>
      <c r="H96" s="39" t="s">
        <v>56</v>
      </c>
      <c r="I96" s="39"/>
      <c r="J96" s="49">
        <v>6266</v>
      </c>
      <c r="K96" s="46" t="s">
        <v>334</v>
      </c>
      <c r="L96" s="39" t="s">
        <v>336</v>
      </c>
      <c r="M96" s="47" t="s">
        <v>56</v>
      </c>
      <c r="N96" s="39">
        <v>61</v>
      </c>
      <c r="O96" s="128">
        <v>36545</v>
      </c>
      <c r="P96" s="128">
        <v>35997</v>
      </c>
      <c r="Q96" s="39">
        <v>1</v>
      </c>
      <c r="R96" s="95">
        <f t="shared" si="9"/>
        <v>548</v>
      </c>
      <c r="S96" s="43">
        <v>0</v>
      </c>
      <c r="T96" s="43">
        <f t="shared" si="6"/>
        <v>548</v>
      </c>
      <c r="U96" s="43">
        <v>4169</v>
      </c>
      <c r="V96" s="48">
        <f t="shared" si="8"/>
        <v>2284612</v>
      </c>
      <c r="W96" s="39" t="s">
        <v>1122</v>
      </c>
    </row>
    <row r="97" spans="1:24" s="135" customFormat="1" ht="31.5" x14ac:dyDescent="0.25">
      <c r="A97" s="123">
        <v>179</v>
      </c>
      <c r="B97" s="40" t="s">
        <v>995</v>
      </c>
      <c r="C97" s="40" t="s">
        <v>1247</v>
      </c>
      <c r="D97" s="40" t="s">
        <v>1082</v>
      </c>
      <c r="E97" s="43"/>
      <c r="F97" s="41" t="s">
        <v>339</v>
      </c>
      <c r="G97" s="44" t="s">
        <v>338</v>
      </c>
      <c r="H97" s="39" t="s">
        <v>56</v>
      </c>
      <c r="I97" s="39"/>
      <c r="J97" s="49" t="s">
        <v>341</v>
      </c>
      <c r="K97" s="46" t="s">
        <v>334</v>
      </c>
      <c r="L97" s="39" t="s">
        <v>336</v>
      </c>
      <c r="M97" s="47" t="s">
        <v>56</v>
      </c>
      <c r="N97" s="39">
        <v>61</v>
      </c>
      <c r="O97" s="128">
        <v>96454</v>
      </c>
      <c r="P97" s="128">
        <v>96218</v>
      </c>
      <c r="Q97" s="39">
        <v>1</v>
      </c>
      <c r="R97" s="95">
        <f t="shared" si="9"/>
        <v>236</v>
      </c>
      <c r="S97" s="43">
        <v>0</v>
      </c>
      <c r="T97" s="43">
        <f t="shared" si="6"/>
        <v>236</v>
      </c>
      <c r="U97" s="43">
        <v>4169</v>
      </c>
      <c r="V97" s="48">
        <f t="shared" si="8"/>
        <v>983884</v>
      </c>
      <c r="W97" s="39" t="s">
        <v>1122</v>
      </c>
    </row>
    <row r="98" spans="1:24" s="135" customFormat="1" ht="31.5" x14ac:dyDescent="0.25">
      <c r="A98" s="127">
        <v>180</v>
      </c>
      <c r="B98" s="40" t="s">
        <v>1139</v>
      </c>
      <c r="C98" s="40" t="s">
        <v>1247</v>
      </c>
      <c r="D98" s="40" t="s">
        <v>1140</v>
      </c>
      <c r="E98" s="43"/>
      <c r="F98" s="41" t="s">
        <v>339</v>
      </c>
      <c r="G98" s="44" t="s">
        <v>338</v>
      </c>
      <c r="H98" s="39" t="s">
        <v>56</v>
      </c>
      <c r="I98" s="39"/>
      <c r="J98" s="49" t="s">
        <v>337</v>
      </c>
      <c r="K98" s="46" t="s">
        <v>334</v>
      </c>
      <c r="L98" s="39" t="s">
        <v>336</v>
      </c>
      <c r="M98" s="47" t="s">
        <v>56</v>
      </c>
      <c r="N98" s="39">
        <v>61</v>
      </c>
      <c r="O98" s="128">
        <v>38428</v>
      </c>
      <c r="P98" s="128">
        <v>38241</v>
      </c>
      <c r="Q98" s="39">
        <v>1</v>
      </c>
      <c r="R98" s="95">
        <f t="shared" si="9"/>
        <v>187</v>
      </c>
      <c r="S98" s="43">
        <v>0</v>
      </c>
      <c r="T98" s="43">
        <f t="shared" si="6"/>
        <v>187</v>
      </c>
      <c r="U98" s="43">
        <v>4169</v>
      </c>
      <c r="V98" s="48">
        <f t="shared" si="8"/>
        <v>779603</v>
      </c>
      <c r="W98" s="39" t="s">
        <v>1122</v>
      </c>
    </row>
    <row r="99" spans="1:24" s="151" customFormat="1" ht="31.5" x14ac:dyDescent="0.25">
      <c r="A99" s="123">
        <v>181</v>
      </c>
      <c r="B99" s="40" t="s">
        <v>1066</v>
      </c>
      <c r="C99" s="40" t="s">
        <v>1247</v>
      </c>
      <c r="D99" s="40" t="s">
        <v>1082</v>
      </c>
      <c r="E99" s="43"/>
      <c r="F99" s="41" t="s">
        <v>339</v>
      </c>
      <c r="G99" s="44" t="s">
        <v>338</v>
      </c>
      <c r="H99" s="39" t="s">
        <v>56</v>
      </c>
      <c r="I99" s="39"/>
      <c r="J99" s="49" t="s">
        <v>390</v>
      </c>
      <c r="K99" s="46" t="s">
        <v>334</v>
      </c>
      <c r="L99" s="39" t="s">
        <v>336</v>
      </c>
      <c r="M99" s="47" t="s">
        <v>56</v>
      </c>
      <c r="N99" s="39">
        <v>61</v>
      </c>
      <c r="O99" s="128">
        <v>55782</v>
      </c>
      <c r="P99" s="128">
        <v>55533</v>
      </c>
      <c r="Q99" s="39">
        <v>1</v>
      </c>
      <c r="R99" s="95">
        <f t="shared" si="9"/>
        <v>249</v>
      </c>
      <c r="S99" s="43">
        <v>0</v>
      </c>
      <c r="T99" s="43">
        <f t="shared" si="6"/>
        <v>249</v>
      </c>
      <c r="U99" s="43">
        <v>4169</v>
      </c>
      <c r="V99" s="48">
        <f t="shared" si="8"/>
        <v>1038081</v>
      </c>
      <c r="W99" s="39" t="s">
        <v>1122</v>
      </c>
    </row>
    <row r="100" spans="1:24" s="135" customFormat="1" ht="31.5" x14ac:dyDescent="0.25">
      <c r="A100" s="127">
        <v>182</v>
      </c>
      <c r="B100" s="40" t="s">
        <v>1064</v>
      </c>
      <c r="C100" s="40" t="s">
        <v>1247</v>
      </c>
      <c r="D100" s="40" t="s">
        <v>1081</v>
      </c>
      <c r="E100" s="43"/>
      <c r="F100" s="41" t="s">
        <v>339</v>
      </c>
      <c r="G100" s="44" t="s">
        <v>338</v>
      </c>
      <c r="H100" s="39" t="s">
        <v>56</v>
      </c>
      <c r="I100" s="39"/>
      <c r="J100" s="49" t="s">
        <v>51</v>
      </c>
      <c r="K100" s="46" t="s">
        <v>334</v>
      </c>
      <c r="L100" s="39" t="s">
        <v>336</v>
      </c>
      <c r="M100" s="47" t="s">
        <v>56</v>
      </c>
      <c r="N100" s="39">
        <v>61</v>
      </c>
      <c r="O100" s="128">
        <v>44350</v>
      </c>
      <c r="P100" s="128">
        <v>44231</v>
      </c>
      <c r="Q100" s="39">
        <v>1</v>
      </c>
      <c r="R100" s="95">
        <f t="shared" si="9"/>
        <v>119</v>
      </c>
      <c r="S100" s="43">
        <v>0</v>
      </c>
      <c r="T100" s="43">
        <f t="shared" si="6"/>
        <v>119</v>
      </c>
      <c r="U100" s="43">
        <v>4169</v>
      </c>
      <c r="V100" s="48">
        <f t="shared" si="8"/>
        <v>496111</v>
      </c>
      <c r="W100" s="39" t="s">
        <v>1122</v>
      </c>
    </row>
    <row r="101" spans="1:24" s="135" customFormat="1" ht="31.5" x14ac:dyDescent="0.25">
      <c r="A101" s="123">
        <v>183</v>
      </c>
      <c r="B101" s="40" t="s">
        <v>1065</v>
      </c>
      <c r="C101" s="40" t="s">
        <v>1247</v>
      </c>
      <c r="D101" s="137" t="s">
        <v>961</v>
      </c>
      <c r="E101" s="192"/>
      <c r="F101" s="41" t="s">
        <v>339</v>
      </c>
      <c r="G101" s="130" t="s">
        <v>338</v>
      </c>
      <c r="H101" s="39" t="s">
        <v>56</v>
      </c>
      <c r="I101" s="161"/>
      <c r="J101" s="131">
        <v>3478</v>
      </c>
      <c r="K101" s="46" t="s">
        <v>334</v>
      </c>
      <c r="L101" s="39" t="s">
        <v>336</v>
      </c>
      <c r="M101" s="193" t="s">
        <v>56</v>
      </c>
      <c r="N101" s="39">
        <v>61</v>
      </c>
      <c r="O101" s="128">
        <v>7582</v>
      </c>
      <c r="P101" s="128">
        <v>7116</v>
      </c>
      <c r="Q101" s="39">
        <v>1</v>
      </c>
      <c r="R101" s="95">
        <f t="shared" si="9"/>
        <v>466</v>
      </c>
      <c r="S101" s="43">
        <v>0</v>
      </c>
      <c r="T101" s="43">
        <f t="shared" si="6"/>
        <v>466</v>
      </c>
      <c r="U101" s="43">
        <v>4169</v>
      </c>
      <c r="V101" s="48">
        <f t="shared" si="8"/>
        <v>1942754</v>
      </c>
      <c r="W101" s="39" t="s">
        <v>1122</v>
      </c>
    </row>
    <row r="102" spans="1:24" s="135" customFormat="1" ht="31.5" x14ac:dyDescent="0.25">
      <c r="A102" s="127">
        <v>184</v>
      </c>
      <c r="B102" s="40" t="s">
        <v>1219</v>
      </c>
      <c r="C102" s="40" t="s">
        <v>1247</v>
      </c>
      <c r="D102" s="137" t="s">
        <v>961</v>
      </c>
      <c r="E102" s="43"/>
      <c r="F102" s="41" t="s">
        <v>339</v>
      </c>
      <c r="G102" s="44" t="s">
        <v>338</v>
      </c>
      <c r="H102" s="39" t="s">
        <v>56</v>
      </c>
      <c r="I102" s="39"/>
      <c r="J102" s="49">
        <v>2679</v>
      </c>
      <c r="K102" s="46" t="s">
        <v>334</v>
      </c>
      <c r="L102" s="39" t="s">
        <v>336</v>
      </c>
      <c r="M102" s="47" t="s">
        <v>56</v>
      </c>
      <c r="N102" s="39">
        <v>61</v>
      </c>
      <c r="O102" s="128">
        <v>18589</v>
      </c>
      <c r="P102" s="128">
        <v>18057</v>
      </c>
      <c r="Q102" s="39">
        <v>1</v>
      </c>
      <c r="R102" s="95">
        <f t="shared" si="9"/>
        <v>532</v>
      </c>
      <c r="S102" s="43">
        <v>0</v>
      </c>
      <c r="T102" s="43">
        <f t="shared" si="6"/>
        <v>532</v>
      </c>
      <c r="U102" s="43">
        <v>4169</v>
      </c>
      <c r="V102" s="48">
        <f t="shared" si="8"/>
        <v>2217908</v>
      </c>
      <c r="W102" s="39" t="s">
        <v>1122</v>
      </c>
    </row>
    <row r="103" spans="1:24" s="135" customFormat="1" ht="31.5" x14ac:dyDescent="0.25">
      <c r="A103" s="127">
        <v>186</v>
      </c>
      <c r="B103" s="40" t="s">
        <v>1225</v>
      </c>
      <c r="C103" s="40" t="s">
        <v>1247</v>
      </c>
      <c r="D103" s="40"/>
      <c r="E103" s="42"/>
      <c r="F103" s="41" t="s">
        <v>339</v>
      </c>
      <c r="G103" s="44" t="s">
        <v>338</v>
      </c>
      <c r="H103" s="39" t="s">
        <v>56</v>
      </c>
      <c r="I103" s="39"/>
      <c r="J103" s="153">
        <v>5960</v>
      </c>
      <c r="K103" s="46" t="s">
        <v>314</v>
      </c>
      <c r="L103" s="39" t="s">
        <v>659</v>
      </c>
      <c r="M103" s="193" t="s">
        <v>56</v>
      </c>
      <c r="N103" s="39">
        <v>61</v>
      </c>
      <c r="O103" s="128">
        <v>167698</v>
      </c>
      <c r="P103" s="128">
        <v>164438</v>
      </c>
      <c r="Q103" s="39">
        <v>1</v>
      </c>
      <c r="R103" s="95">
        <f t="shared" si="9"/>
        <v>3260</v>
      </c>
      <c r="S103" s="43">
        <v>0</v>
      </c>
      <c r="T103" s="43">
        <f t="shared" ref="T103:T110" si="10">IF((R103-S103)&gt;0,(R103-S103),0)</f>
        <v>3260</v>
      </c>
      <c r="U103" s="227">
        <v>3505</v>
      </c>
      <c r="V103" s="48">
        <f t="shared" si="8"/>
        <v>11426300</v>
      </c>
      <c r="W103" s="39" t="s">
        <v>1122</v>
      </c>
    </row>
    <row r="104" spans="1:24" s="135" customFormat="1" ht="31.5" x14ac:dyDescent="0.25">
      <c r="A104" s="123">
        <v>187</v>
      </c>
      <c r="B104" s="40" t="s">
        <v>994</v>
      </c>
      <c r="C104" s="40" t="s">
        <v>1247</v>
      </c>
      <c r="D104" s="137" t="s">
        <v>586</v>
      </c>
      <c r="E104" s="192"/>
      <c r="F104" s="41" t="s">
        <v>339</v>
      </c>
      <c r="G104" s="130" t="s">
        <v>338</v>
      </c>
      <c r="H104" s="161" t="s">
        <v>1212</v>
      </c>
      <c r="I104" s="161"/>
      <c r="J104" s="131">
        <v>6352</v>
      </c>
      <c r="K104" s="46" t="s">
        <v>314</v>
      </c>
      <c r="L104" s="39" t="s">
        <v>696</v>
      </c>
      <c r="M104" s="193" t="s">
        <v>668</v>
      </c>
      <c r="N104" s="39">
        <v>61</v>
      </c>
      <c r="O104" s="128">
        <v>127541</v>
      </c>
      <c r="P104" s="128">
        <v>126883</v>
      </c>
      <c r="Q104" s="39">
        <v>1</v>
      </c>
      <c r="R104" s="95">
        <f>(O104-P104)*Q104</f>
        <v>658</v>
      </c>
      <c r="S104" s="43">
        <v>0</v>
      </c>
      <c r="T104" s="43">
        <f>IF((R104-S104)&gt;0,(R104-S104),0)</f>
        <v>658</v>
      </c>
      <c r="U104" s="227">
        <v>3505</v>
      </c>
      <c r="V104" s="48">
        <f>T104*U104</f>
        <v>2306290</v>
      </c>
      <c r="W104" s="39" t="s">
        <v>1123</v>
      </c>
    </row>
    <row r="105" spans="1:24" s="135" customFormat="1" ht="44.25" customHeight="1" x14ac:dyDescent="0.25">
      <c r="A105" s="127">
        <v>188</v>
      </c>
      <c r="B105" s="40" t="s">
        <v>1223</v>
      </c>
      <c r="C105" s="40" t="s">
        <v>1247</v>
      </c>
      <c r="D105" s="40" t="s">
        <v>52</v>
      </c>
      <c r="E105" s="42"/>
      <c r="F105" s="41" t="s">
        <v>339</v>
      </c>
      <c r="G105" s="44" t="s">
        <v>338</v>
      </c>
      <c r="H105" s="39" t="s">
        <v>1244</v>
      </c>
      <c r="I105" s="39"/>
      <c r="J105" s="153">
        <v>8467</v>
      </c>
      <c r="K105" s="46"/>
      <c r="L105" s="46" t="s">
        <v>55</v>
      </c>
      <c r="M105" s="193" t="s">
        <v>56</v>
      </c>
      <c r="N105" s="39">
        <v>64</v>
      </c>
      <c r="O105" s="128">
        <v>50779</v>
      </c>
      <c r="P105" s="128">
        <v>50311</v>
      </c>
      <c r="Q105" s="39">
        <v>1</v>
      </c>
      <c r="R105" s="95">
        <f t="shared" si="9"/>
        <v>468</v>
      </c>
      <c r="S105" s="43">
        <v>0</v>
      </c>
      <c r="T105" s="43">
        <f t="shared" si="10"/>
        <v>468</v>
      </c>
      <c r="U105" s="43">
        <v>4169</v>
      </c>
      <c r="V105" s="48">
        <f t="shared" si="8"/>
        <v>1951092</v>
      </c>
      <c r="W105" s="39" t="s">
        <v>1122</v>
      </c>
    </row>
    <row r="106" spans="1:24" s="135" customFormat="1" ht="44.25" customHeight="1" x14ac:dyDescent="0.25">
      <c r="A106" s="123">
        <v>189</v>
      </c>
      <c r="B106" s="40" t="s">
        <v>1336</v>
      </c>
      <c r="C106" s="40" t="s">
        <v>1247</v>
      </c>
      <c r="D106" s="40" t="s">
        <v>52</v>
      </c>
      <c r="E106" s="42"/>
      <c r="F106" s="41" t="s">
        <v>339</v>
      </c>
      <c r="G106" s="130" t="s">
        <v>338</v>
      </c>
      <c r="H106" s="39" t="s">
        <v>1244</v>
      </c>
      <c r="I106" s="39"/>
      <c r="J106" s="153">
        <v>20465</v>
      </c>
      <c r="K106" s="46" t="s">
        <v>314</v>
      </c>
      <c r="L106" s="46" t="s">
        <v>691</v>
      </c>
      <c r="M106" s="193" t="s">
        <v>56</v>
      </c>
      <c r="N106" s="39">
        <v>64</v>
      </c>
      <c r="O106" s="128">
        <v>94135</v>
      </c>
      <c r="P106" s="128">
        <v>89608</v>
      </c>
      <c r="Q106" s="39">
        <v>1</v>
      </c>
      <c r="R106" s="95">
        <f t="shared" si="9"/>
        <v>4527</v>
      </c>
      <c r="S106" s="50">
        <f>ROUND(R106*0.5, 0)</f>
        <v>2264</v>
      </c>
      <c r="T106" s="154">
        <f t="shared" si="10"/>
        <v>2263</v>
      </c>
      <c r="U106" s="43">
        <v>4169</v>
      </c>
      <c r="V106" s="48">
        <f t="shared" si="8"/>
        <v>9434447</v>
      </c>
      <c r="W106" s="39" t="s">
        <v>1122</v>
      </c>
    </row>
    <row r="107" spans="1:24" s="135" customFormat="1" ht="44.25" customHeight="1" x14ac:dyDescent="0.25">
      <c r="A107" s="127">
        <v>190</v>
      </c>
      <c r="B107" s="40" t="s">
        <v>1527</v>
      </c>
      <c r="C107" s="40" t="s">
        <v>1247</v>
      </c>
      <c r="D107" s="40" t="s">
        <v>52</v>
      </c>
      <c r="E107" s="42"/>
      <c r="F107" s="41" t="s">
        <v>339</v>
      </c>
      <c r="G107" s="44" t="s">
        <v>338</v>
      </c>
      <c r="H107" s="39" t="s">
        <v>1244</v>
      </c>
      <c r="I107" s="39"/>
      <c r="J107" s="153">
        <v>4722</v>
      </c>
      <c r="K107" s="46"/>
      <c r="L107" s="46" t="s">
        <v>1093</v>
      </c>
      <c r="M107" s="193" t="s">
        <v>56</v>
      </c>
      <c r="N107" s="39">
        <v>64</v>
      </c>
      <c r="O107" s="128">
        <v>29064</v>
      </c>
      <c r="P107" s="128">
        <v>28611</v>
      </c>
      <c r="Q107" s="39">
        <v>1</v>
      </c>
      <c r="R107" s="95">
        <f t="shared" si="9"/>
        <v>453</v>
      </c>
      <c r="S107" s="43">
        <v>0</v>
      </c>
      <c r="T107" s="43">
        <f t="shared" si="10"/>
        <v>453</v>
      </c>
      <c r="U107" s="43">
        <v>4169</v>
      </c>
      <c r="V107" s="48">
        <f t="shared" si="8"/>
        <v>1888557</v>
      </c>
      <c r="W107" s="39" t="s">
        <v>1122</v>
      </c>
    </row>
    <row r="108" spans="1:24" s="135" customFormat="1" ht="44.25" customHeight="1" x14ac:dyDescent="0.25">
      <c r="A108" s="123">
        <v>191</v>
      </c>
      <c r="B108" s="40" t="s">
        <v>1224</v>
      </c>
      <c r="C108" s="40" t="s">
        <v>1247</v>
      </c>
      <c r="D108" s="40" t="s">
        <v>52</v>
      </c>
      <c r="E108" s="42"/>
      <c r="F108" s="41" t="s">
        <v>339</v>
      </c>
      <c r="G108" s="44" t="s">
        <v>338</v>
      </c>
      <c r="H108" s="39" t="s">
        <v>1244</v>
      </c>
      <c r="I108" s="39"/>
      <c r="J108" s="153">
        <v>6988</v>
      </c>
      <c r="K108" s="46"/>
      <c r="L108" s="46" t="s">
        <v>55</v>
      </c>
      <c r="M108" s="193" t="s">
        <v>56</v>
      </c>
      <c r="N108" s="39">
        <v>64</v>
      </c>
      <c r="O108" s="128">
        <v>32329</v>
      </c>
      <c r="P108" s="128">
        <v>32155</v>
      </c>
      <c r="Q108" s="39">
        <v>1</v>
      </c>
      <c r="R108" s="95">
        <f t="shared" si="9"/>
        <v>174</v>
      </c>
      <c r="S108" s="43">
        <v>0</v>
      </c>
      <c r="T108" s="43">
        <f t="shared" si="10"/>
        <v>174</v>
      </c>
      <c r="U108" s="43">
        <v>4169</v>
      </c>
      <c r="V108" s="48">
        <f t="shared" si="8"/>
        <v>725406</v>
      </c>
      <c r="W108" s="39" t="s">
        <v>1122</v>
      </c>
    </row>
    <row r="109" spans="1:24" s="135" customFormat="1" ht="44.25" customHeight="1" x14ac:dyDescent="0.25">
      <c r="A109" s="127">
        <v>192</v>
      </c>
      <c r="B109" s="40" t="s">
        <v>1222</v>
      </c>
      <c r="C109" s="40" t="s">
        <v>1247</v>
      </c>
      <c r="D109" s="40" t="s">
        <v>1367</v>
      </c>
      <c r="E109" s="42"/>
      <c r="F109" s="41" t="s">
        <v>339</v>
      </c>
      <c r="G109" s="130" t="s">
        <v>338</v>
      </c>
      <c r="H109" s="39" t="s">
        <v>1366</v>
      </c>
      <c r="I109" s="39"/>
      <c r="J109" s="153">
        <v>7444</v>
      </c>
      <c r="K109" s="46" t="s">
        <v>314</v>
      </c>
      <c r="L109" s="46" t="s">
        <v>171</v>
      </c>
      <c r="M109" s="193" t="s">
        <v>332</v>
      </c>
      <c r="N109" s="39">
        <v>64</v>
      </c>
      <c r="O109" s="128">
        <v>27235</v>
      </c>
      <c r="P109" s="128">
        <v>26852</v>
      </c>
      <c r="Q109" s="39">
        <v>1</v>
      </c>
      <c r="R109" s="95">
        <f t="shared" si="9"/>
        <v>383</v>
      </c>
      <c r="S109" s="43">
        <v>0</v>
      </c>
      <c r="T109" s="43">
        <f t="shared" si="10"/>
        <v>383</v>
      </c>
      <c r="U109" s="43">
        <v>4169</v>
      </c>
      <c r="V109" s="48">
        <f t="shared" si="8"/>
        <v>1596727</v>
      </c>
      <c r="W109" s="39" t="s">
        <v>1122</v>
      </c>
    </row>
    <row r="110" spans="1:24" s="135" customFormat="1" ht="44.25" customHeight="1" x14ac:dyDescent="0.25">
      <c r="A110" s="127">
        <v>194</v>
      </c>
      <c r="B110" s="40" t="s">
        <v>1221</v>
      </c>
      <c r="C110" s="40" t="s">
        <v>1247</v>
      </c>
      <c r="D110" s="40" t="s">
        <v>844</v>
      </c>
      <c r="E110" s="42"/>
      <c r="F110" s="41" t="s">
        <v>339</v>
      </c>
      <c r="G110" s="44" t="s">
        <v>338</v>
      </c>
      <c r="H110" s="39" t="s">
        <v>1244</v>
      </c>
      <c r="I110" s="39"/>
      <c r="J110" s="153">
        <v>7684</v>
      </c>
      <c r="K110" s="46"/>
      <c r="L110" s="46" t="s">
        <v>1205</v>
      </c>
      <c r="M110" s="193" t="s">
        <v>326</v>
      </c>
      <c r="N110" s="39">
        <v>64</v>
      </c>
      <c r="O110" s="128">
        <v>8931</v>
      </c>
      <c r="P110" s="128">
        <v>8898</v>
      </c>
      <c r="Q110" s="39">
        <v>1</v>
      </c>
      <c r="R110" s="95">
        <f t="shared" si="9"/>
        <v>33</v>
      </c>
      <c r="S110" s="43">
        <v>0</v>
      </c>
      <c r="T110" s="43">
        <f t="shared" si="10"/>
        <v>33</v>
      </c>
      <c r="U110" s="43">
        <v>4169</v>
      </c>
      <c r="V110" s="48">
        <f t="shared" si="8"/>
        <v>137577</v>
      </c>
      <c r="W110" s="39" t="s">
        <v>1122</v>
      </c>
    </row>
    <row r="111" spans="1:24" s="135" customFormat="1" ht="44.25" customHeight="1" x14ac:dyDescent="0.25">
      <c r="A111" s="123">
        <v>195</v>
      </c>
      <c r="B111" s="40" t="s">
        <v>1220</v>
      </c>
      <c r="C111" s="40" t="s">
        <v>1247</v>
      </c>
      <c r="D111" s="40" t="s">
        <v>844</v>
      </c>
      <c r="E111" s="42"/>
      <c r="F111" s="41" t="s">
        <v>339</v>
      </c>
      <c r="G111" s="130" t="s">
        <v>338</v>
      </c>
      <c r="H111" s="39" t="s">
        <v>1244</v>
      </c>
      <c r="I111" s="39"/>
      <c r="J111" s="153">
        <v>4240</v>
      </c>
      <c r="K111" s="46"/>
      <c r="L111" s="46" t="s">
        <v>1205</v>
      </c>
      <c r="M111" s="193" t="s">
        <v>326</v>
      </c>
      <c r="N111" s="39">
        <v>64</v>
      </c>
      <c r="O111" s="128">
        <v>134070</v>
      </c>
      <c r="P111" s="128">
        <v>132931</v>
      </c>
      <c r="Q111" s="39">
        <v>1</v>
      </c>
      <c r="R111" s="95">
        <f>(O111-P111)*Q111</f>
        <v>1139</v>
      </c>
      <c r="S111" s="50">
        <f>ROUND(R111*0.3, 0)</f>
        <v>342</v>
      </c>
      <c r="T111" s="43">
        <f>IF((R111-S111)&gt;0,(R111-S111),0)</f>
        <v>797</v>
      </c>
      <c r="U111" s="43">
        <v>4169</v>
      </c>
      <c r="V111" s="48">
        <f t="shared" si="8"/>
        <v>3322693</v>
      </c>
      <c r="W111" s="39" t="s">
        <v>1122</v>
      </c>
    </row>
    <row r="112" spans="1:24" s="135" customFormat="1" ht="44.25" customHeight="1" x14ac:dyDescent="0.25">
      <c r="A112" s="123">
        <v>197</v>
      </c>
      <c r="B112" s="40" t="s">
        <v>1337</v>
      </c>
      <c r="C112" s="40" t="s">
        <v>1247</v>
      </c>
      <c r="D112" s="40" t="s">
        <v>52</v>
      </c>
      <c r="E112" s="42"/>
      <c r="F112" s="41" t="s">
        <v>339</v>
      </c>
      <c r="G112" s="130" t="s">
        <v>338</v>
      </c>
      <c r="H112" s="39" t="s">
        <v>1244</v>
      </c>
      <c r="I112" s="39"/>
      <c r="J112" s="153">
        <v>1473</v>
      </c>
      <c r="K112" s="46" t="s">
        <v>314</v>
      </c>
      <c r="L112" s="46" t="s">
        <v>1093</v>
      </c>
      <c r="M112" s="193" t="s">
        <v>56</v>
      </c>
      <c r="N112" s="39">
        <v>64</v>
      </c>
      <c r="O112" s="128">
        <v>486672</v>
      </c>
      <c r="P112" s="128">
        <v>485757</v>
      </c>
      <c r="Q112" s="39">
        <v>1</v>
      </c>
      <c r="R112" s="95">
        <f>(O112-P112)*Q112</f>
        <v>915</v>
      </c>
      <c r="S112" s="50">
        <f>ROUND(R112*0.5, 0)</f>
        <v>458</v>
      </c>
      <c r="T112" s="43">
        <f>IF((R112-S112)&gt;0,(R112-S112),0)</f>
        <v>457</v>
      </c>
      <c r="U112" s="43">
        <v>4169</v>
      </c>
      <c r="V112" s="48">
        <f>T112*U112</f>
        <v>1905233</v>
      </c>
      <c r="W112" s="39" t="s">
        <v>1122</v>
      </c>
      <c r="X112" s="275"/>
    </row>
    <row r="113" spans="1:23" s="135" customFormat="1" ht="49.5" customHeight="1" x14ac:dyDescent="0.25">
      <c r="A113" s="127">
        <v>198</v>
      </c>
      <c r="B113" s="40" t="s">
        <v>1007</v>
      </c>
      <c r="C113" s="40" t="s">
        <v>1117</v>
      </c>
      <c r="D113" s="40" t="s">
        <v>1452</v>
      </c>
      <c r="E113" s="43">
        <v>38683907</v>
      </c>
      <c r="F113" s="41" t="s">
        <v>972</v>
      </c>
      <c r="G113" s="44" t="s">
        <v>973</v>
      </c>
      <c r="H113" s="39" t="s">
        <v>1228</v>
      </c>
      <c r="I113" s="39"/>
      <c r="J113" s="49">
        <v>9278</v>
      </c>
      <c r="K113" s="46" t="s">
        <v>334</v>
      </c>
      <c r="L113" s="39" t="s">
        <v>343</v>
      </c>
      <c r="M113" s="47" t="s">
        <v>332</v>
      </c>
      <c r="N113" s="39">
        <v>65</v>
      </c>
      <c r="O113" s="94">
        <v>223314</v>
      </c>
      <c r="P113" s="94">
        <v>222440</v>
      </c>
      <c r="Q113" s="39">
        <v>1</v>
      </c>
      <c r="R113" s="95">
        <f t="shared" ref="R113:R118" si="11">(O113-P113)*Q113</f>
        <v>874</v>
      </c>
      <c r="S113" s="43">
        <v>0</v>
      </c>
      <c r="T113" s="43">
        <f t="shared" ref="T113:T124" si="12">IF((R113-S113)&gt;0,(R113-S113),0)</f>
        <v>874</v>
      </c>
      <c r="U113" s="43">
        <v>4169</v>
      </c>
      <c r="V113" s="48">
        <f t="shared" ref="V113:V124" si="13">T113*U113</f>
        <v>3643706</v>
      </c>
      <c r="W113" s="39" t="s">
        <v>1123</v>
      </c>
    </row>
    <row r="114" spans="1:23" s="135" customFormat="1" ht="31.5" x14ac:dyDescent="0.25">
      <c r="A114" s="123">
        <v>199</v>
      </c>
      <c r="B114" s="40" t="s">
        <v>771</v>
      </c>
      <c r="C114" s="40" t="s">
        <v>1414</v>
      </c>
      <c r="D114" s="40" t="s">
        <v>409</v>
      </c>
      <c r="E114" s="43">
        <v>38683907</v>
      </c>
      <c r="F114" s="41" t="s">
        <v>972</v>
      </c>
      <c r="G114" s="44" t="s">
        <v>973</v>
      </c>
      <c r="H114" s="39" t="s">
        <v>826</v>
      </c>
      <c r="I114" s="39"/>
      <c r="J114" s="49">
        <v>4829</v>
      </c>
      <c r="K114" s="46" t="s">
        <v>334</v>
      </c>
      <c r="L114" s="39" t="s">
        <v>406</v>
      </c>
      <c r="M114" s="47" t="s">
        <v>344</v>
      </c>
      <c r="N114" s="39">
        <v>65</v>
      </c>
      <c r="O114" s="94">
        <v>24513</v>
      </c>
      <c r="P114" s="94">
        <v>24276</v>
      </c>
      <c r="Q114" s="39">
        <v>1</v>
      </c>
      <c r="R114" s="95">
        <f t="shared" si="11"/>
        <v>237</v>
      </c>
      <c r="S114" s="43">
        <v>0</v>
      </c>
      <c r="T114" s="43">
        <f t="shared" si="12"/>
        <v>237</v>
      </c>
      <c r="U114" s="43">
        <v>4169</v>
      </c>
      <c r="V114" s="48">
        <f t="shared" si="13"/>
        <v>988053</v>
      </c>
      <c r="W114" s="39" t="s">
        <v>1125</v>
      </c>
    </row>
    <row r="115" spans="1:23" s="135" customFormat="1" ht="31.5" x14ac:dyDescent="0.25">
      <c r="A115" s="127">
        <v>200</v>
      </c>
      <c r="B115" s="40" t="s">
        <v>1006</v>
      </c>
      <c r="C115" s="40" t="s">
        <v>1442</v>
      </c>
      <c r="D115" s="40" t="s">
        <v>1453</v>
      </c>
      <c r="E115" s="44" t="s">
        <v>1450</v>
      </c>
      <c r="F115" s="41" t="s">
        <v>978</v>
      </c>
      <c r="G115" s="159" t="s">
        <v>979</v>
      </c>
      <c r="H115" s="39" t="s">
        <v>1228</v>
      </c>
      <c r="I115" s="39"/>
      <c r="J115" s="49" t="s">
        <v>98</v>
      </c>
      <c r="K115" s="46" t="s">
        <v>334</v>
      </c>
      <c r="L115" s="39" t="s">
        <v>370</v>
      </c>
      <c r="M115" s="47" t="s">
        <v>332</v>
      </c>
      <c r="N115" s="39">
        <v>65</v>
      </c>
      <c r="O115" s="94">
        <v>265493</v>
      </c>
      <c r="P115" s="94">
        <v>264286</v>
      </c>
      <c r="Q115" s="39">
        <v>1</v>
      </c>
      <c r="R115" s="95">
        <f t="shared" si="11"/>
        <v>1207</v>
      </c>
      <c r="S115" s="43">
        <v>0</v>
      </c>
      <c r="T115" s="43">
        <f t="shared" si="12"/>
        <v>1207</v>
      </c>
      <c r="U115" s="43">
        <v>4169</v>
      </c>
      <c r="V115" s="48">
        <f t="shared" si="13"/>
        <v>5031983</v>
      </c>
      <c r="W115" s="39" t="s">
        <v>1123</v>
      </c>
    </row>
    <row r="116" spans="1:23" s="135" customFormat="1" ht="31.5" x14ac:dyDescent="0.25">
      <c r="A116" s="123">
        <v>201</v>
      </c>
      <c r="B116" s="40" t="s">
        <v>1531</v>
      </c>
      <c r="C116" s="40" t="s">
        <v>1415</v>
      </c>
      <c r="D116" s="40" t="s">
        <v>409</v>
      </c>
      <c r="E116" s="44" t="s">
        <v>974</v>
      </c>
      <c r="F116" s="41" t="s">
        <v>978</v>
      </c>
      <c r="G116" s="159" t="s">
        <v>979</v>
      </c>
      <c r="H116" s="39" t="s">
        <v>826</v>
      </c>
      <c r="I116" s="39"/>
      <c r="J116" s="49">
        <v>50952</v>
      </c>
      <c r="K116" s="46" t="s">
        <v>334</v>
      </c>
      <c r="L116" s="39" t="s">
        <v>406</v>
      </c>
      <c r="M116" s="47" t="s">
        <v>344</v>
      </c>
      <c r="N116" s="39">
        <v>65</v>
      </c>
      <c r="O116" s="94">
        <v>9934</v>
      </c>
      <c r="P116" s="94">
        <v>9420</v>
      </c>
      <c r="Q116" s="39">
        <v>1</v>
      </c>
      <c r="R116" s="95">
        <f t="shared" si="11"/>
        <v>514</v>
      </c>
      <c r="S116" s="43">
        <v>0</v>
      </c>
      <c r="T116" s="43">
        <f t="shared" si="12"/>
        <v>514</v>
      </c>
      <c r="U116" s="43">
        <v>4169</v>
      </c>
      <c r="V116" s="48">
        <f t="shared" si="13"/>
        <v>2142866</v>
      </c>
      <c r="W116" s="39" t="s">
        <v>1125</v>
      </c>
    </row>
    <row r="117" spans="1:23" s="135" customFormat="1" ht="31.5" x14ac:dyDescent="0.25">
      <c r="A117" s="127">
        <v>202</v>
      </c>
      <c r="B117" s="40" t="s">
        <v>1008</v>
      </c>
      <c r="C117" s="40" t="s">
        <v>762</v>
      </c>
      <c r="D117" s="40" t="s">
        <v>409</v>
      </c>
      <c r="E117" s="43">
        <v>39447683</v>
      </c>
      <c r="F117" s="41" t="s">
        <v>732</v>
      </c>
      <c r="G117" s="54" t="s">
        <v>733</v>
      </c>
      <c r="H117" s="39" t="s">
        <v>826</v>
      </c>
      <c r="I117" s="39"/>
      <c r="J117" s="49">
        <v>6156</v>
      </c>
      <c r="K117" s="46" t="s">
        <v>334</v>
      </c>
      <c r="L117" s="39" t="s">
        <v>826</v>
      </c>
      <c r="M117" s="47" t="s">
        <v>344</v>
      </c>
      <c r="N117" s="39">
        <v>65</v>
      </c>
      <c r="O117" s="94">
        <v>13480</v>
      </c>
      <c r="P117" s="94">
        <v>13070</v>
      </c>
      <c r="Q117" s="39">
        <v>1</v>
      </c>
      <c r="R117" s="95">
        <f t="shared" si="11"/>
        <v>410</v>
      </c>
      <c r="S117" s="43">
        <v>0</v>
      </c>
      <c r="T117" s="43">
        <f t="shared" si="12"/>
        <v>410</v>
      </c>
      <c r="U117" s="43">
        <v>4169</v>
      </c>
      <c r="V117" s="48">
        <f t="shared" si="13"/>
        <v>1709290</v>
      </c>
      <c r="W117" s="39" t="s">
        <v>1125</v>
      </c>
    </row>
    <row r="118" spans="1:23" s="135" customFormat="1" ht="31.5" x14ac:dyDescent="0.25">
      <c r="A118" s="123">
        <v>203</v>
      </c>
      <c r="B118" s="40" t="s">
        <v>1517</v>
      </c>
      <c r="C118" s="40" t="s">
        <v>1043</v>
      </c>
      <c r="D118" s="129" t="s">
        <v>1310</v>
      </c>
      <c r="E118" s="52"/>
      <c r="F118" s="41" t="s">
        <v>653</v>
      </c>
      <c r="G118" s="130" t="s">
        <v>635</v>
      </c>
      <c r="H118" s="52" t="s">
        <v>332</v>
      </c>
      <c r="I118" s="52"/>
      <c r="J118" s="131">
        <v>2360</v>
      </c>
      <c r="K118" s="46" t="s">
        <v>334</v>
      </c>
      <c r="L118" s="52" t="s">
        <v>1419</v>
      </c>
      <c r="M118" s="53" t="s">
        <v>332</v>
      </c>
      <c r="N118" s="52">
        <v>95</v>
      </c>
      <c r="O118" s="128">
        <v>77122</v>
      </c>
      <c r="P118" s="128">
        <v>75554</v>
      </c>
      <c r="Q118" s="39">
        <v>1</v>
      </c>
      <c r="R118" s="95">
        <f t="shared" si="11"/>
        <v>1568</v>
      </c>
      <c r="S118" s="43">
        <v>0</v>
      </c>
      <c r="T118" s="43">
        <f t="shared" si="12"/>
        <v>1568</v>
      </c>
      <c r="U118" s="43">
        <v>4169</v>
      </c>
      <c r="V118" s="48">
        <f t="shared" si="13"/>
        <v>6536992</v>
      </c>
      <c r="W118" s="39" t="s">
        <v>1122</v>
      </c>
    </row>
    <row r="119" spans="1:23" s="135" customFormat="1" ht="34.5" customHeight="1" x14ac:dyDescent="0.25">
      <c r="A119" s="127">
        <v>204</v>
      </c>
      <c r="B119" s="40" t="s">
        <v>1518</v>
      </c>
      <c r="C119" s="40" t="s">
        <v>1043</v>
      </c>
      <c r="D119" s="129" t="s">
        <v>1086</v>
      </c>
      <c r="E119" s="52"/>
      <c r="F119" s="41" t="s">
        <v>653</v>
      </c>
      <c r="G119" s="130" t="s">
        <v>635</v>
      </c>
      <c r="H119" s="52" t="s">
        <v>911</v>
      </c>
      <c r="I119" s="52"/>
      <c r="J119" s="131">
        <v>1861</v>
      </c>
      <c r="K119" s="46" t="s">
        <v>334</v>
      </c>
      <c r="L119" s="52" t="s">
        <v>1416</v>
      </c>
      <c r="M119" s="47" t="s">
        <v>681</v>
      </c>
      <c r="N119" s="52">
        <v>95</v>
      </c>
      <c r="O119" s="128">
        <v>43435</v>
      </c>
      <c r="P119" s="128">
        <v>42034</v>
      </c>
      <c r="Q119" s="39">
        <v>1</v>
      </c>
      <c r="R119" s="160">
        <f>O119-P119</f>
        <v>1401</v>
      </c>
      <c r="S119" s="43">
        <v>0</v>
      </c>
      <c r="T119" s="43">
        <f t="shared" si="12"/>
        <v>1401</v>
      </c>
      <c r="U119" s="43">
        <v>4169</v>
      </c>
      <c r="V119" s="48">
        <f t="shared" si="13"/>
        <v>5840769</v>
      </c>
      <c r="W119" s="39" t="s">
        <v>1124</v>
      </c>
    </row>
    <row r="120" spans="1:23" s="135" customFormat="1" ht="36" customHeight="1" x14ac:dyDescent="0.25">
      <c r="A120" s="123">
        <v>205</v>
      </c>
      <c r="B120" s="40" t="s">
        <v>946</v>
      </c>
      <c r="C120" s="40" t="s">
        <v>1369</v>
      </c>
      <c r="D120" s="40" t="s">
        <v>1085</v>
      </c>
      <c r="E120" s="132"/>
      <c r="F120" s="133" t="s">
        <v>947</v>
      </c>
      <c r="G120" s="54" t="s">
        <v>948</v>
      </c>
      <c r="H120" s="39" t="s">
        <v>681</v>
      </c>
      <c r="I120" s="39"/>
      <c r="J120" s="49">
        <v>4413</v>
      </c>
      <c r="K120" s="46" t="s">
        <v>334</v>
      </c>
      <c r="L120" s="39" t="s">
        <v>1418</v>
      </c>
      <c r="M120" s="47" t="s">
        <v>681</v>
      </c>
      <c r="N120" s="39">
        <v>95</v>
      </c>
      <c r="O120" s="128">
        <v>26575</v>
      </c>
      <c r="P120" s="128">
        <v>22601</v>
      </c>
      <c r="Q120" s="39">
        <v>1</v>
      </c>
      <c r="R120" s="95">
        <f t="shared" ref="R120:R136" si="14">(O120-P120)*Q120</f>
        <v>3974</v>
      </c>
      <c r="S120" s="43">
        <v>0</v>
      </c>
      <c r="T120" s="43">
        <f t="shared" si="12"/>
        <v>3974</v>
      </c>
      <c r="U120" s="43">
        <v>4169</v>
      </c>
      <c r="V120" s="48">
        <f t="shared" si="13"/>
        <v>16567606</v>
      </c>
      <c r="W120" s="39" t="s">
        <v>1125</v>
      </c>
    </row>
    <row r="121" spans="1:23" s="135" customFormat="1" ht="63" x14ac:dyDescent="0.25">
      <c r="A121" s="127">
        <v>206</v>
      </c>
      <c r="B121" s="194" t="s">
        <v>1515</v>
      </c>
      <c r="C121" s="305" t="s">
        <v>1556</v>
      </c>
      <c r="D121" s="306" t="s">
        <v>1465</v>
      </c>
      <c r="E121" s="307"/>
      <c r="F121" s="305" t="s">
        <v>1556</v>
      </c>
      <c r="G121" s="143" t="s">
        <v>1456</v>
      </c>
      <c r="H121" s="161"/>
      <c r="I121" s="161"/>
      <c r="J121" s="131">
        <v>13833</v>
      </c>
      <c r="K121" s="46" t="s">
        <v>334</v>
      </c>
      <c r="L121" s="39" t="s">
        <v>1417</v>
      </c>
      <c r="M121" s="47" t="s">
        <v>681</v>
      </c>
      <c r="N121" s="161">
        <v>97</v>
      </c>
      <c r="O121" s="128">
        <v>65470</v>
      </c>
      <c r="P121" s="128">
        <v>64262</v>
      </c>
      <c r="Q121" s="39">
        <v>1</v>
      </c>
      <c r="R121" s="95">
        <f t="shared" si="14"/>
        <v>1208</v>
      </c>
      <c r="S121" s="43">
        <v>0</v>
      </c>
      <c r="T121" s="43">
        <f t="shared" si="12"/>
        <v>1208</v>
      </c>
      <c r="U121" s="43">
        <v>4169</v>
      </c>
      <c r="V121" s="48">
        <f t="shared" si="13"/>
        <v>5036152</v>
      </c>
      <c r="W121" s="39" t="s">
        <v>1124</v>
      </c>
    </row>
    <row r="122" spans="1:23" s="229" customFormat="1" ht="26.25" customHeight="1" x14ac:dyDescent="0.25">
      <c r="A122" s="329">
        <v>207</v>
      </c>
      <c r="B122" s="251" t="s">
        <v>975</v>
      </c>
      <c r="C122" s="251" t="s">
        <v>734</v>
      </c>
      <c r="D122" s="251" t="s">
        <v>1317</v>
      </c>
      <c r="E122" s="227"/>
      <c r="F122" s="252" t="s">
        <v>944</v>
      </c>
      <c r="G122" s="330" t="s">
        <v>945</v>
      </c>
      <c r="H122" s="253" t="s">
        <v>1213</v>
      </c>
      <c r="I122" s="253"/>
      <c r="J122" s="271">
        <v>5829</v>
      </c>
      <c r="K122" s="254"/>
      <c r="L122" s="253"/>
      <c r="M122" s="272" t="s">
        <v>668</v>
      </c>
      <c r="N122" s="331">
        <v>101</v>
      </c>
      <c r="O122" s="332">
        <v>61745</v>
      </c>
      <c r="P122" s="332">
        <v>57253</v>
      </c>
      <c r="Q122" s="253">
        <v>1</v>
      </c>
      <c r="R122" s="255">
        <f t="shared" si="14"/>
        <v>4492</v>
      </c>
      <c r="S122" s="227">
        <v>0</v>
      </c>
      <c r="T122" s="227">
        <f>IF((R122-S122)&gt;0,(R122-S122),0)</f>
        <v>4492</v>
      </c>
      <c r="U122" s="227">
        <v>4169</v>
      </c>
      <c r="V122" s="270">
        <f>T122*U122</f>
        <v>18727148</v>
      </c>
      <c r="W122" s="253" t="s">
        <v>1126</v>
      </c>
    </row>
    <row r="123" spans="1:23" s="229" customFormat="1" ht="31.5" x14ac:dyDescent="0.25">
      <c r="A123" s="333">
        <v>208</v>
      </c>
      <c r="B123" s="251" t="s">
        <v>1552</v>
      </c>
      <c r="C123" s="251" t="s">
        <v>734</v>
      </c>
      <c r="D123" s="251" t="s">
        <v>1088</v>
      </c>
      <c r="E123" s="227"/>
      <c r="F123" s="251" t="s">
        <v>959</v>
      </c>
      <c r="G123" s="273" t="s">
        <v>960</v>
      </c>
      <c r="H123" s="253" t="s">
        <v>332</v>
      </c>
      <c r="I123" s="253"/>
      <c r="J123" s="271">
        <v>3855</v>
      </c>
      <c r="K123" s="254"/>
      <c r="L123" s="253" t="s">
        <v>1185</v>
      </c>
      <c r="M123" s="272" t="s">
        <v>332</v>
      </c>
      <c r="N123" s="331">
        <v>101</v>
      </c>
      <c r="O123" s="332">
        <v>2546</v>
      </c>
      <c r="P123" s="332">
        <v>0</v>
      </c>
      <c r="Q123" s="253">
        <v>1</v>
      </c>
      <c r="R123" s="255">
        <f t="shared" si="14"/>
        <v>2546</v>
      </c>
      <c r="S123" s="227">
        <v>0</v>
      </c>
      <c r="T123" s="227">
        <f>IF((R123-S123)&gt;0,(R123-S123),0)</f>
        <v>2546</v>
      </c>
      <c r="U123" s="227">
        <v>4169</v>
      </c>
      <c r="V123" s="270">
        <f>T123*U123</f>
        <v>10614274</v>
      </c>
      <c r="W123" s="253" t="s">
        <v>1126</v>
      </c>
    </row>
    <row r="124" spans="1:23" s="229" customFormat="1" ht="33.75" customHeight="1" x14ac:dyDescent="0.25">
      <c r="A124" s="329">
        <v>209</v>
      </c>
      <c r="B124" s="251" t="s">
        <v>1551</v>
      </c>
      <c r="C124" s="251" t="s">
        <v>734</v>
      </c>
      <c r="D124" s="256" t="s">
        <v>1085</v>
      </c>
      <c r="E124" s="257"/>
      <c r="F124" s="252" t="s">
        <v>944</v>
      </c>
      <c r="G124" s="330" t="s">
        <v>945</v>
      </c>
      <c r="H124" s="257" t="s">
        <v>681</v>
      </c>
      <c r="I124" s="257"/>
      <c r="J124" s="299">
        <v>4824</v>
      </c>
      <c r="K124" s="254"/>
      <c r="L124" s="257"/>
      <c r="M124" s="272" t="s">
        <v>681</v>
      </c>
      <c r="N124" s="331">
        <v>101</v>
      </c>
      <c r="O124" s="332">
        <v>4901</v>
      </c>
      <c r="P124" s="332">
        <v>0</v>
      </c>
      <c r="Q124" s="253">
        <v>1</v>
      </c>
      <c r="R124" s="255">
        <f t="shared" si="14"/>
        <v>4901</v>
      </c>
      <c r="S124" s="227">
        <v>0</v>
      </c>
      <c r="T124" s="227">
        <f t="shared" si="12"/>
        <v>4901</v>
      </c>
      <c r="U124" s="227">
        <v>4169</v>
      </c>
      <c r="V124" s="270">
        <f t="shared" si="13"/>
        <v>20432269</v>
      </c>
      <c r="W124" s="253" t="s">
        <v>1126</v>
      </c>
    </row>
    <row r="125" spans="1:23" s="229" customFormat="1" ht="37.5" customHeight="1" x14ac:dyDescent="0.25">
      <c r="A125" s="333">
        <v>210</v>
      </c>
      <c r="B125" s="251" t="s">
        <v>997</v>
      </c>
      <c r="C125" s="251" t="s">
        <v>734</v>
      </c>
      <c r="D125" s="251" t="s">
        <v>1087</v>
      </c>
      <c r="E125" s="227"/>
      <c r="F125" s="251" t="s">
        <v>959</v>
      </c>
      <c r="G125" s="273" t="s">
        <v>960</v>
      </c>
      <c r="H125" s="253" t="s">
        <v>1208</v>
      </c>
      <c r="I125" s="253"/>
      <c r="J125" s="271">
        <v>3749</v>
      </c>
      <c r="K125" s="254" t="s">
        <v>334</v>
      </c>
      <c r="L125" s="253" t="s">
        <v>1184</v>
      </c>
      <c r="M125" s="272" t="s">
        <v>315</v>
      </c>
      <c r="N125" s="331">
        <v>101</v>
      </c>
      <c r="O125" s="332">
        <v>3826</v>
      </c>
      <c r="P125" s="332">
        <v>1177</v>
      </c>
      <c r="Q125" s="253">
        <v>1</v>
      </c>
      <c r="R125" s="255">
        <f t="shared" si="14"/>
        <v>2649</v>
      </c>
      <c r="S125" s="227">
        <v>0</v>
      </c>
      <c r="T125" s="227">
        <f>IF((R125-S125)&gt;0,(R125-S125),0)</f>
        <v>2649</v>
      </c>
      <c r="U125" s="227">
        <v>4169</v>
      </c>
      <c r="V125" s="270">
        <f>T125*U125</f>
        <v>11043681</v>
      </c>
      <c r="W125" s="334" t="s">
        <v>1126</v>
      </c>
    </row>
    <row r="126" spans="1:23" s="135" customFormat="1" ht="33.75" customHeight="1" x14ac:dyDescent="0.25">
      <c r="A126" s="123">
        <v>211</v>
      </c>
      <c r="B126" s="274" t="s">
        <v>1520</v>
      </c>
      <c r="C126" s="274" t="s">
        <v>1520</v>
      </c>
      <c r="D126" s="276" t="s">
        <v>1521</v>
      </c>
      <c r="E126" s="52"/>
      <c r="F126" s="41" t="s">
        <v>1485</v>
      </c>
      <c r="G126" s="282" t="s">
        <v>1484</v>
      </c>
      <c r="H126" s="52" t="s">
        <v>1482</v>
      </c>
      <c r="I126" s="52"/>
      <c r="J126" s="152">
        <v>5846</v>
      </c>
      <c r="K126" s="46"/>
      <c r="L126" s="52" t="s">
        <v>1494</v>
      </c>
      <c r="M126" s="47" t="s">
        <v>1482</v>
      </c>
      <c r="N126" s="161">
        <v>97</v>
      </c>
      <c r="O126" s="269">
        <v>2263</v>
      </c>
      <c r="P126" s="269">
        <v>1996</v>
      </c>
      <c r="Q126" s="39">
        <v>1</v>
      </c>
      <c r="R126" s="95">
        <f t="shared" si="14"/>
        <v>267</v>
      </c>
      <c r="S126" s="43">
        <v>0</v>
      </c>
      <c r="T126" s="43">
        <f t="shared" ref="T126:T136" si="15">IF((R126-S126)&gt;0,(R126-S126),0)</f>
        <v>267</v>
      </c>
      <c r="U126" s="43">
        <v>4169</v>
      </c>
      <c r="V126" s="48">
        <f t="shared" ref="V126:V136" si="16">T126*U126</f>
        <v>1113123</v>
      </c>
      <c r="W126" s="39" t="s">
        <v>1126</v>
      </c>
    </row>
    <row r="127" spans="1:23" s="135" customFormat="1" ht="37.5" customHeight="1" x14ac:dyDescent="0.25">
      <c r="A127" s="127">
        <v>212</v>
      </c>
      <c r="B127" s="274" t="s">
        <v>1520</v>
      </c>
      <c r="C127" s="274" t="s">
        <v>1520</v>
      </c>
      <c r="D127" s="276" t="s">
        <v>1521</v>
      </c>
      <c r="E127" s="43"/>
      <c r="F127" s="40" t="s">
        <v>1485</v>
      </c>
      <c r="G127" s="54" t="s">
        <v>1484</v>
      </c>
      <c r="H127" s="39" t="s">
        <v>1482</v>
      </c>
      <c r="I127" s="39"/>
      <c r="J127" s="49">
        <v>5558</v>
      </c>
      <c r="K127" s="46" t="s">
        <v>334</v>
      </c>
      <c r="L127" s="52" t="s">
        <v>1495</v>
      </c>
      <c r="M127" s="47" t="s">
        <v>1482</v>
      </c>
      <c r="N127" s="161">
        <v>97</v>
      </c>
      <c r="O127" s="269">
        <v>6682</v>
      </c>
      <c r="P127" s="269">
        <v>5892</v>
      </c>
      <c r="Q127" s="39">
        <v>1</v>
      </c>
      <c r="R127" s="95">
        <f>(O127-P127)*Q127</f>
        <v>790</v>
      </c>
      <c r="S127" s="43">
        <v>0</v>
      </c>
      <c r="T127" s="43">
        <f>IF((R127-S127)&gt;0,(R127-S127),0)</f>
        <v>790</v>
      </c>
      <c r="U127" s="43">
        <v>4169</v>
      </c>
      <c r="V127" s="48">
        <f>T127*U127</f>
        <v>3293510</v>
      </c>
      <c r="W127" s="246" t="s">
        <v>1126</v>
      </c>
    </row>
    <row r="128" spans="1:23" s="135" customFormat="1" ht="47.25" x14ac:dyDescent="0.25">
      <c r="A128" s="123">
        <v>213</v>
      </c>
      <c r="B128" s="274" t="s">
        <v>1458</v>
      </c>
      <c r="C128" s="274" t="s">
        <v>1458</v>
      </c>
      <c r="D128" s="274" t="s">
        <v>1519</v>
      </c>
      <c r="E128" s="43"/>
      <c r="F128" s="40" t="s">
        <v>1459</v>
      </c>
      <c r="G128" s="54" t="s">
        <v>1460</v>
      </c>
      <c r="H128" s="39" t="s">
        <v>1443</v>
      </c>
      <c r="I128" s="39"/>
      <c r="J128" s="49">
        <v>8057</v>
      </c>
      <c r="K128" s="46" t="s">
        <v>334</v>
      </c>
      <c r="L128" s="39" t="s">
        <v>316</v>
      </c>
      <c r="M128" s="47" t="s">
        <v>315</v>
      </c>
      <c r="N128" s="161">
        <v>97</v>
      </c>
      <c r="O128" s="128">
        <v>28795</v>
      </c>
      <c r="P128" s="128">
        <v>26479</v>
      </c>
      <c r="Q128" s="39">
        <v>1</v>
      </c>
      <c r="R128" s="95">
        <f>(O128-P128)*Q128</f>
        <v>2316</v>
      </c>
      <c r="S128" s="43">
        <v>0</v>
      </c>
      <c r="T128" s="43">
        <f>IF((R128-S128)&gt;0,(R128-S128),0)</f>
        <v>2316</v>
      </c>
      <c r="U128" s="43">
        <v>4169</v>
      </c>
      <c r="V128" s="48">
        <f>T128*U128</f>
        <v>9655404</v>
      </c>
      <c r="W128" s="39" t="s">
        <v>1123</v>
      </c>
    </row>
    <row r="129" spans="1:23" s="135" customFormat="1" ht="31.5" x14ac:dyDescent="0.25">
      <c r="A129" s="127">
        <v>214</v>
      </c>
      <c r="B129" s="274" t="s">
        <v>1520</v>
      </c>
      <c r="C129" s="274" t="s">
        <v>1520</v>
      </c>
      <c r="D129" s="274" t="s">
        <v>1523</v>
      </c>
      <c r="E129" s="43"/>
      <c r="F129" s="40" t="s">
        <v>1485</v>
      </c>
      <c r="G129" s="54" t="s">
        <v>1484</v>
      </c>
      <c r="H129" s="39" t="s">
        <v>910</v>
      </c>
      <c r="I129" s="39"/>
      <c r="J129" s="49">
        <v>9962</v>
      </c>
      <c r="K129" s="46" t="s">
        <v>334</v>
      </c>
      <c r="L129" s="39" t="s">
        <v>1486</v>
      </c>
      <c r="M129" s="47" t="s">
        <v>681</v>
      </c>
      <c r="N129" s="161" t="s">
        <v>1500</v>
      </c>
      <c r="O129" s="128">
        <v>5419</v>
      </c>
      <c r="P129" s="128">
        <v>4888</v>
      </c>
      <c r="Q129" s="39">
        <v>1</v>
      </c>
      <c r="R129" s="95">
        <f>(O129-P129)*Q129</f>
        <v>531</v>
      </c>
      <c r="S129" s="43">
        <v>0</v>
      </c>
      <c r="T129" s="43">
        <f>IF((R129-S129)&gt;0,(R129-S129),0)</f>
        <v>531</v>
      </c>
      <c r="U129" s="43">
        <v>4169</v>
      </c>
      <c r="V129" s="48">
        <f>T129*U129</f>
        <v>2213739</v>
      </c>
      <c r="W129" s="39"/>
    </row>
    <row r="130" spans="1:23" s="135" customFormat="1" ht="47.25" x14ac:dyDescent="0.25">
      <c r="A130" s="123">
        <v>215</v>
      </c>
      <c r="B130" s="274" t="s">
        <v>1458</v>
      </c>
      <c r="C130" s="274" t="s">
        <v>1458</v>
      </c>
      <c r="D130" s="274" t="s">
        <v>1522</v>
      </c>
      <c r="E130" s="43"/>
      <c r="F130" s="40" t="s">
        <v>1459</v>
      </c>
      <c r="G130" s="54" t="s">
        <v>1460</v>
      </c>
      <c r="H130" s="39" t="s">
        <v>909</v>
      </c>
      <c r="I130" s="39"/>
      <c r="J130" s="49">
        <v>1761</v>
      </c>
      <c r="K130" s="46" t="s">
        <v>334</v>
      </c>
      <c r="L130" s="39" t="s">
        <v>316</v>
      </c>
      <c r="M130" s="47" t="s">
        <v>344</v>
      </c>
      <c r="N130" s="161" t="s">
        <v>1500</v>
      </c>
      <c r="O130" s="128">
        <v>7027</v>
      </c>
      <c r="P130" s="128">
        <v>6271</v>
      </c>
      <c r="Q130" s="39">
        <v>1</v>
      </c>
      <c r="R130" s="95">
        <f>(O130-P130)*Q130</f>
        <v>756</v>
      </c>
      <c r="S130" s="43">
        <v>0</v>
      </c>
      <c r="T130" s="43">
        <f>IF((R130-S130)&gt;0,(R130-S130),0)</f>
        <v>756</v>
      </c>
      <c r="U130" s="43">
        <v>4169</v>
      </c>
      <c r="V130" s="48">
        <f>T130*U130</f>
        <v>3151764</v>
      </c>
      <c r="W130" s="39" t="s">
        <v>1122</v>
      </c>
    </row>
    <row r="131" spans="1:23" s="322" customFormat="1" ht="51.75" x14ac:dyDescent="0.25">
      <c r="A131" s="309">
        <v>216</v>
      </c>
      <c r="B131" s="310" t="s">
        <v>1240</v>
      </c>
      <c r="C131" s="310" t="s">
        <v>1191</v>
      </c>
      <c r="D131" s="310" t="s">
        <v>1412</v>
      </c>
      <c r="E131" s="311"/>
      <c r="F131" s="310" t="s">
        <v>1192</v>
      </c>
      <c r="G131" s="312" t="s">
        <v>1193</v>
      </c>
      <c r="H131" s="313"/>
      <c r="I131" s="313"/>
      <c r="J131" s="314" t="s">
        <v>1413</v>
      </c>
      <c r="K131" s="315" t="s">
        <v>334</v>
      </c>
      <c r="L131" s="310"/>
      <c r="M131" s="316" t="s">
        <v>1208</v>
      </c>
      <c r="N131" s="313">
        <v>103</v>
      </c>
      <c r="O131" s="317">
        <v>1303</v>
      </c>
      <c r="P131" s="317">
        <v>0</v>
      </c>
      <c r="Q131" s="318">
        <v>1</v>
      </c>
      <c r="R131" s="319">
        <f>(O131-P131)*Q131</f>
        <v>1303</v>
      </c>
      <c r="S131" s="320">
        <v>0</v>
      </c>
      <c r="T131" s="320">
        <f>IF((R131-S131)&gt;0,(R131-S131),0)</f>
        <v>1303</v>
      </c>
      <c r="U131" s="320">
        <v>4169</v>
      </c>
      <c r="V131" s="321">
        <f>T131*U131</f>
        <v>5432207</v>
      </c>
      <c r="W131" s="318" t="s">
        <v>1122</v>
      </c>
    </row>
    <row r="132" spans="1:23" s="322" customFormat="1" ht="47.25" x14ac:dyDescent="0.25">
      <c r="A132" s="323">
        <v>217</v>
      </c>
      <c r="B132" s="310" t="s">
        <v>1541</v>
      </c>
      <c r="C132" s="310" t="s">
        <v>1049</v>
      </c>
      <c r="D132" s="310" t="s">
        <v>1544</v>
      </c>
      <c r="E132" s="311"/>
      <c r="F132" s="310"/>
      <c r="G132" s="304" t="s">
        <v>1555</v>
      </c>
      <c r="H132" s="313"/>
      <c r="I132" s="313"/>
      <c r="J132" s="314" t="s">
        <v>1050</v>
      </c>
      <c r="K132" s="315" t="s">
        <v>334</v>
      </c>
      <c r="L132" s="310"/>
      <c r="M132" s="316" t="s">
        <v>344</v>
      </c>
      <c r="N132" s="313">
        <v>105</v>
      </c>
      <c r="O132" s="324">
        <v>331</v>
      </c>
      <c r="P132" s="324">
        <v>0</v>
      </c>
      <c r="Q132" s="318">
        <v>1</v>
      </c>
      <c r="R132" s="319">
        <f t="shared" si="14"/>
        <v>331</v>
      </c>
      <c r="S132" s="320">
        <v>0</v>
      </c>
      <c r="T132" s="320">
        <f t="shared" si="15"/>
        <v>331</v>
      </c>
      <c r="U132" s="320">
        <v>4169</v>
      </c>
      <c r="V132" s="321">
        <f t="shared" si="16"/>
        <v>1379939</v>
      </c>
      <c r="W132" s="318" t="s">
        <v>1126</v>
      </c>
    </row>
    <row r="133" spans="1:23" s="322" customFormat="1" ht="35.25" customHeight="1" x14ac:dyDescent="0.25">
      <c r="A133" s="309">
        <v>218</v>
      </c>
      <c r="B133" s="325" t="s">
        <v>1543</v>
      </c>
      <c r="C133" s="325"/>
      <c r="D133" s="325" t="s">
        <v>1186</v>
      </c>
      <c r="E133" s="326"/>
      <c r="F133" s="325" t="s">
        <v>1112</v>
      </c>
      <c r="G133" s="312" t="s">
        <v>1113</v>
      </c>
      <c r="H133" s="318"/>
      <c r="I133" s="318"/>
      <c r="J133" s="327" t="s">
        <v>1114</v>
      </c>
      <c r="K133" s="315" t="s">
        <v>334</v>
      </c>
      <c r="L133" s="318"/>
      <c r="M133" s="328" t="s">
        <v>681</v>
      </c>
      <c r="N133" s="318">
        <v>107</v>
      </c>
      <c r="O133" s="317">
        <v>960</v>
      </c>
      <c r="P133" s="317">
        <v>0</v>
      </c>
      <c r="Q133" s="318">
        <v>1</v>
      </c>
      <c r="R133" s="319">
        <f t="shared" si="14"/>
        <v>960</v>
      </c>
      <c r="S133" s="320">
        <v>0</v>
      </c>
      <c r="T133" s="320">
        <f t="shared" si="15"/>
        <v>960</v>
      </c>
      <c r="U133" s="320">
        <v>4169</v>
      </c>
      <c r="V133" s="321">
        <f t="shared" si="16"/>
        <v>4002240</v>
      </c>
      <c r="W133" s="318" t="s">
        <v>1126</v>
      </c>
    </row>
    <row r="134" spans="1:23" s="135" customFormat="1" ht="25.5" customHeight="1" x14ac:dyDescent="0.25">
      <c r="A134" s="123">
        <v>219</v>
      </c>
      <c r="B134" s="40" t="s">
        <v>1170</v>
      </c>
      <c r="C134" s="40" t="s">
        <v>1043</v>
      </c>
      <c r="D134" s="194" t="s">
        <v>1258</v>
      </c>
      <c r="E134" s="162"/>
      <c r="F134" s="145" t="s">
        <v>653</v>
      </c>
      <c r="G134" s="195" t="s">
        <v>635</v>
      </c>
      <c r="H134" s="162" t="s">
        <v>1213</v>
      </c>
      <c r="I134" s="162"/>
      <c r="J134" s="196">
        <v>9221</v>
      </c>
      <c r="K134" s="148" t="s">
        <v>334</v>
      </c>
      <c r="L134" s="162" t="s">
        <v>1260</v>
      </c>
      <c r="M134" s="163" t="s">
        <v>668</v>
      </c>
      <c r="N134" s="162" t="s">
        <v>668</v>
      </c>
      <c r="O134" s="93">
        <v>51583</v>
      </c>
      <c r="P134" s="308">
        <v>49486</v>
      </c>
      <c r="Q134" s="147">
        <v>1</v>
      </c>
      <c r="R134" s="150">
        <f t="shared" si="14"/>
        <v>2097</v>
      </c>
      <c r="S134" s="43">
        <v>0</v>
      </c>
      <c r="T134" s="50">
        <f t="shared" si="15"/>
        <v>2097</v>
      </c>
      <c r="U134" s="43">
        <v>4169</v>
      </c>
      <c r="V134" s="48">
        <f t="shared" si="16"/>
        <v>8742393</v>
      </c>
      <c r="W134" s="147" t="s">
        <v>1304</v>
      </c>
    </row>
    <row r="135" spans="1:23" s="135" customFormat="1" ht="27.75" customHeight="1" x14ac:dyDescent="0.25">
      <c r="A135" s="127">
        <v>220</v>
      </c>
      <c r="B135" s="40" t="s">
        <v>1170</v>
      </c>
      <c r="C135" s="40" t="s">
        <v>1043</v>
      </c>
      <c r="D135" s="194" t="s">
        <v>1259</v>
      </c>
      <c r="E135" s="162"/>
      <c r="F135" s="145" t="s">
        <v>653</v>
      </c>
      <c r="G135" s="195" t="s">
        <v>635</v>
      </c>
      <c r="H135" s="162" t="s">
        <v>1214</v>
      </c>
      <c r="I135" s="162"/>
      <c r="J135" s="196">
        <v>1736</v>
      </c>
      <c r="K135" s="148" t="s">
        <v>334</v>
      </c>
      <c r="L135" s="162" t="s">
        <v>1261</v>
      </c>
      <c r="M135" s="163" t="s">
        <v>668</v>
      </c>
      <c r="N135" s="162" t="s">
        <v>668</v>
      </c>
      <c r="O135" s="93">
        <v>91531</v>
      </c>
      <c r="P135" s="308">
        <v>90786</v>
      </c>
      <c r="Q135" s="147">
        <v>1</v>
      </c>
      <c r="R135" s="150">
        <f t="shared" si="14"/>
        <v>745</v>
      </c>
      <c r="S135" s="43">
        <v>0</v>
      </c>
      <c r="T135" s="50">
        <f t="shared" si="15"/>
        <v>745</v>
      </c>
      <c r="U135" s="43">
        <v>4169</v>
      </c>
      <c r="V135" s="48">
        <f t="shared" si="16"/>
        <v>3105905</v>
      </c>
      <c r="W135" s="147" t="s">
        <v>1304</v>
      </c>
    </row>
    <row r="136" spans="1:23" s="135" customFormat="1" ht="29.25" customHeight="1" x14ac:dyDescent="0.25">
      <c r="A136" s="123">
        <v>221</v>
      </c>
      <c r="B136" s="40" t="s">
        <v>1031</v>
      </c>
      <c r="C136" s="40" t="s">
        <v>736</v>
      </c>
      <c r="D136" s="40" t="s">
        <v>1089</v>
      </c>
      <c r="E136" s="132" t="s">
        <v>752</v>
      </c>
      <c r="F136" s="133" t="s">
        <v>1476</v>
      </c>
      <c r="G136" s="287" t="s">
        <v>753</v>
      </c>
      <c r="H136" s="39" t="s">
        <v>1213</v>
      </c>
      <c r="I136" s="39"/>
      <c r="J136" s="49">
        <v>3750</v>
      </c>
      <c r="K136" s="46" t="s">
        <v>334</v>
      </c>
      <c r="L136" s="39" t="s">
        <v>1260</v>
      </c>
      <c r="M136" s="47" t="s">
        <v>668</v>
      </c>
      <c r="N136" s="39" t="s">
        <v>668</v>
      </c>
      <c r="O136" s="93">
        <v>31847</v>
      </c>
      <c r="P136" s="308">
        <v>29487</v>
      </c>
      <c r="Q136" s="39">
        <v>1</v>
      </c>
      <c r="R136" s="95">
        <f t="shared" si="14"/>
        <v>2360</v>
      </c>
      <c r="S136" s="43">
        <v>0</v>
      </c>
      <c r="T136" s="43">
        <f t="shared" si="15"/>
        <v>2360</v>
      </c>
      <c r="U136" s="43">
        <v>4169</v>
      </c>
      <c r="V136" s="48">
        <f t="shared" si="16"/>
        <v>9838840</v>
      </c>
      <c r="W136" s="147" t="s">
        <v>1304</v>
      </c>
    </row>
    <row r="137" spans="1:23" s="135" customFormat="1" ht="29.25" customHeight="1" x14ac:dyDescent="0.25">
      <c r="A137" s="123"/>
      <c r="B137" s="40"/>
      <c r="C137" s="40"/>
      <c r="D137" s="40"/>
      <c r="E137" s="132"/>
      <c r="F137" s="133"/>
      <c r="G137" s="287"/>
      <c r="H137" s="39"/>
      <c r="I137" s="39"/>
      <c r="J137" s="49"/>
      <c r="K137" s="46"/>
      <c r="L137" s="39"/>
      <c r="M137" s="47"/>
      <c r="N137" s="39"/>
      <c r="O137" s="93"/>
      <c r="P137" s="308"/>
      <c r="Q137" s="39"/>
      <c r="R137" s="95"/>
      <c r="S137" s="43"/>
      <c r="T137" s="43"/>
      <c r="U137" s="43"/>
      <c r="V137" s="48"/>
      <c r="W137" s="147"/>
    </row>
    <row r="138" spans="1:23" s="135" customFormat="1" ht="29.25" customHeight="1" x14ac:dyDescent="0.25">
      <c r="A138" s="123"/>
      <c r="B138" s="40"/>
      <c r="C138" s="40"/>
      <c r="D138" s="40"/>
      <c r="E138" s="132"/>
      <c r="F138" s="133"/>
      <c r="G138" s="287"/>
      <c r="H138" s="39"/>
      <c r="I138" s="39"/>
      <c r="J138" s="49"/>
      <c r="K138" s="46"/>
      <c r="L138" s="39"/>
      <c r="M138" s="47"/>
      <c r="N138" s="39"/>
      <c r="O138" s="93"/>
      <c r="P138" s="308"/>
      <c r="Q138" s="39"/>
      <c r="R138" s="95"/>
      <c r="S138" s="43"/>
      <c r="T138" s="43"/>
      <c r="U138" s="43"/>
      <c r="V138" s="48"/>
      <c r="W138" s="147"/>
    </row>
    <row r="139" spans="1:23" s="135" customFormat="1" ht="19.5" customHeight="1" x14ac:dyDescent="0.25">
      <c r="A139" s="197"/>
      <c r="B139" s="139"/>
      <c r="C139" s="198" t="s">
        <v>520</v>
      </c>
      <c r="D139" s="199"/>
      <c r="E139" s="192"/>
      <c r="F139" s="200"/>
      <c r="G139" s="130"/>
      <c r="H139" s="161"/>
      <c r="I139" s="161"/>
      <c r="J139" s="131"/>
      <c r="K139" s="201"/>
      <c r="L139" s="39"/>
      <c r="M139" s="193"/>
      <c r="N139" s="161"/>
      <c r="O139" s="202"/>
      <c r="P139" s="202"/>
      <c r="Q139" s="161"/>
      <c r="R139" s="202">
        <f>SUM(R5:R136)</f>
        <v>270917</v>
      </c>
      <c r="S139" s="192">
        <f>SUM(S5:S136)</f>
        <v>3064</v>
      </c>
      <c r="T139" s="192">
        <f>SUM(T5:T136)</f>
        <v>267853</v>
      </c>
      <c r="U139" s="203"/>
      <c r="V139" s="204">
        <f>SUM(V5:V136)</f>
        <v>586368015</v>
      </c>
      <c r="W139" s="161"/>
    </row>
    <row r="140" spans="1:23" s="208" customFormat="1" x14ac:dyDescent="0.25">
      <c r="A140" s="205"/>
      <c r="B140" s="206"/>
      <c r="C140" s="207"/>
      <c r="D140" s="207"/>
      <c r="F140" s="209"/>
      <c r="G140" s="210"/>
      <c r="H140" s="211"/>
      <c r="I140" s="211"/>
      <c r="J140" s="212"/>
      <c r="K140" s="213"/>
      <c r="L140" s="214"/>
      <c r="M140" s="215"/>
      <c r="N140" s="211"/>
      <c r="O140" s="216"/>
      <c r="P140" s="217"/>
      <c r="Q140" s="211"/>
      <c r="R140" s="217"/>
      <c r="T140" s="218" t="s">
        <v>1553</v>
      </c>
      <c r="U140" s="219"/>
      <c r="V140" s="220"/>
      <c r="W140" s="221"/>
    </row>
    <row r="141" spans="1:23" s="208" customFormat="1" x14ac:dyDescent="0.25">
      <c r="A141" s="205"/>
      <c r="B141" s="222"/>
      <c r="C141" s="207"/>
      <c r="D141" s="207"/>
      <c r="F141" s="209"/>
      <c r="G141" s="210"/>
      <c r="H141" s="211"/>
      <c r="I141" s="211"/>
      <c r="J141" s="212"/>
      <c r="K141" s="213"/>
      <c r="L141" s="214"/>
      <c r="M141" s="215"/>
      <c r="N141" s="211"/>
      <c r="O141" s="216"/>
      <c r="P141" s="217"/>
      <c r="Q141" s="211"/>
      <c r="R141" s="217"/>
      <c r="T141" s="223" t="s">
        <v>1068</v>
      </c>
      <c r="U141" s="223"/>
      <c r="V141" s="223"/>
      <c r="W141" s="221"/>
    </row>
    <row r="142" spans="1:23" s="208" customFormat="1" x14ac:dyDescent="0.2">
      <c r="A142" s="205"/>
      <c r="B142" s="206"/>
      <c r="C142" s="207"/>
      <c r="D142" s="207"/>
      <c r="F142" s="209"/>
      <c r="G142" s="210"/>
      <c r="H142" s="211"/>
      <c r="I142" s="211"/>
      <c r="J142" s="212"/>
      <c r="K142" s="213"/>
      <c r="L142" s="214"/>
      <c r="M142" s="215"/>
      <c r="N142" s="211"/>
      <c r="O142" s="216"/>
      <c r="P142" s="217"/>
      <c r="Q142" s="211"/>
      <c r="R142" s="217"/>
      <c r="T142" s="217"/>
      <c r="U142" s="224"/>
      <c r="W142" s="225"/>
    </row>
    <row r="143" spans="1:23" s="167" customFormat="1" x14ac:dyDescent="0.2">
      <c r="A143" s="164"/>
      <c r="B143" s="165"/>
      <c r="C143" s="166"/>
      <c r="D143" s="166"/>
      <c r="F143" s="168"/>
      <c r="G143" s="169"/>
      <c r="H143" s="170"/>
      <c r="I143" s="170"/>
      <c r="J143" s="171"/>
      <c r="K143" s="172"/>
      <c r="L143" s="173"/>
      <c r="M143" s="174"/>
      <c r="N143" s="170"/>
      <c r="O143" s="175"/>
      <c r="P143" s="176"/>
      <c r="Q143" s="170"/>
      <c r="R143" s="176"/>
      <c r="T143" s="176"/>
      <c r="U143" s="177"/>
      <c r="W143" s="178"/>
    </row>
    <row r="146" spans="1:25" ht="12.75" x14ac:dyDescent="0.2">
      <c r="A146" s="167"/>
      <c r="B146" s="167"/>
      <c r="C146" s="167"/>
      <c r="D146" s="242"/>
      <c r="E146" s="243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T146" s="167"/>
      <c r="U146" s="167"/>
      <c r="W146" s="167"/>
      <c r="X146" s="23"/>
      <c r="Y146" s="23"/>
    </row>
    <row r="147" spans="1:25" ht="12.75" x14ac:dyDescent="0.2">
      <c r="A147" s="167"/>
      <c r="B147" s="167"/>
      <c r="C147" s="167"/>
      <c r="D147" s="242"/>
      <c r="E147" s="244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T147" s="167"/>
      <c r="U147" s="167"/>
      <c r="W147" s="167"/>
      <c r="X147" s="23"/>
      <c r="Y147" s="23"/>
    </row>
    <row r="148" spans="1:25" ht="12.75" x14ac:dyDescent="0.2">
      <c r="A148" s="167"/>
      <c r="B148" s="167"/>
      <c r="C148" s="167"/>
      <c r="E148" s="244"/>
      <c r="G148" s="245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T148" s="167"/>
      <c r="U148" s="167"/>
      <c r="W148" s="167"/>
      <c r="X148" s="23"/>
      <c r="Y148" s="23"/>
    </row>
    <row r="149" spans="1:25" ht="12.75" x14ac:dyDescent="0.2">
      <c r="A149" s="167"/>
      <c r="B149" s="167"/>
      <c r="C149" s="167"/>
      <c r="E149" s="244"/>
      <c r="G149" s="245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T149" s="167"/>
      <c r="U149" s="167"/>
      <c r="W149" s="167"/>
      <c r="X149" s="23"/>
      <c r="Y149" s="23"/>
    </row>
    <row r="150" spans="1:25" ht="12.75" x14ac:dyDescent="0.2">
      <c r="A150" s="167"/>
      <c r="B150" s="167"/>
      <c r="C150" s="167"/>
      <c r="E150" s="243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T150" s="167"/>
      <c r="U150" s="167"/>
      <c r="W150" s="167"/>
      <c r="X150" s="23"/>
      <c r="Y150" s="23"/>
    </row>
    <row r="151" spans="1:25" ht="12.75" x14ac:dyDescent="0.2">
      <c r="A151" s="167"/>
      <c r="B151" s="167"/>
      <c r="C151" s="167"/>
      <c r="E151" s="244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T151" s="167"/>
      <c r="U151" s="167"/>
      <c r="W151" s="167"/>
      <c r="X151" s="23"/>
      <c r="Y151" s="23"/>
    </row>
    <row r="152" spans="1:25" ht="12.75" x14ac:dyDescent="0.2">
      <c r="A152" s="167"/>
      <c r="B152" s="167"/>
      <c r="C152" s="167"/>
      <c r="E152" s="244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T152" s="167"/>
      <c r="U152" s="167"/>
      <c r="W152" s="167"/>
      <c r="X152" s="23"/>
      <c r="Y152" s="23"/>
    </row>
  </sheetData>
  <autoFilter ref="A3:Y141" xr:uid="{60780FE0-0B37-40BC-9BEF-536BC7524466}"/>
  <pageMargins left="0.2" right="0.2" top="0.5" bottom="0.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CD8B-48E0-442D-892B-426DD427FEA8}">
  <sheetPr codeName="Sheet4"/>
  <dimension ref="A1:K27"/>
  <sheetViews>
    <sheetView showGridLines="0" showZeros="0" workbookViewId="0">
      <selection activeCell="H22" sqref="H22:I22"/>
    </sheetView>
  </sheetViews>
  <sheetFormatPr defaultColWidth="7.140625" defaultRowHeight="12.75" x14ac:dyDescent="0.2"/>
  <cols>
    <col min="1" max="1" width="4.7109375" style="20" customWidth="1"/>
    <col min="2" max="3" width="10.42578125" style="20" customWidth="1"/>
    <col min="4" max="4" width="7.28515625" style="20" customWidth="1"/>
    <col min="5" max="5" width="10" style="20" customWidth="1"/>
    <col min="6" max="6" width="12" style="20" customWidth="1"/>
    <col min="7" max="7" width="8.28515625" style="20" customWidth="1"/>
    <col min="8" max="8" width="13.140625" style="20" customWidth="1"/>
    <col min="9" max="9" width="24.7109375" style="20" customWidth="1"/>
    <col min="10" max="16384" width="7.140625" style="20"/>
  </cols>
  <sheetData>
    <row r="1" spans="1:11" ht="14.25" x14ac:dyDescent="0.2">
      <c r="A1" s="339" t="s">
        <v>1307</v>
      </c>
      <c r="B1" s="339"/>
      <c r="C1" s="339"/>
      <c r="D1" s="339"/>
      <c r="E1" s="339"/>
      <c r="F1" s="340" t="s">
        <v>300</v>
      </c>
      <c r="G1" s="340"/>
      <c r="H1" s="340"/>
      <c r="I1" s="340"/>
      <c r="J1" s="57"/>
      <c r="K1" s="57"/>
    </row>
    <row r="2" spans="1:11" ht="15" x14ac:dyDescent="0.2">
      <c r="A2" s="343" t="s">
        <v>1454</v>
      </c>
      <c r="B2" s="343"/>
      <c r="C2" s="343"/>
      <c r="D2" s="343"/>
      <c r="E2" s="343"/>
      <c r="F2" s="344" t="s">
        <v>1557</v>
      </c>
      <c r="G2" s="344"/>
      <c r="H2" s="344"/>
      <c r="I2" s="344"/>
      <c r="J2" s="58"/>
      <c r="K2" s="58"/>
    </row>
    <row r="3" spans="1:11" ht="15" x14ac:dyDescent="0.2">
      <c r="A3" s="354"/>
      <c r="B3" s="354"/>
      <c r="C3" s="354"/>
      <c r="D3" s="354"/>
      <c r="E3" s="354"/>
      <c r="F3" s="56"/>
      <c r="G3" s="56"/>
      <c r="H3" s="56"/>
      <c r="I3" s="56"/>
      <c r="J3" s="58"/>
      <c r="K3" s="58"/>
    </row>
    <row r="4" spans="1:11" ht="15" x14ac:dyDescent="0.25">
      <c r="A4" s="59"/>
      <c r="B4" s="59"/>
      <c r="C4" s="59"/>
      <c r="D4" s="59"/>
      <c r="E4" s="59"/>
      <c r="F4" s="59"/>
      <c r="G4" s="59"/>
      <c r="H4" s="59"/>
      <c r="I4" s="60" t="str">
        <f>CONCATENATE("Số phiếu: ",VLOOKUP(I6,Data!A:W,1,0))</f>
        <v>Số phiếu: 206</v>
      </c>
    </row>
    <row r="5" spans="1:11" ht="15.75" x14ac:dyDescent="0.25">
      <c r="A5" s="347" t="str">
        <f>CONCATENATE("Kính gửi: ",VLOOKUP(I6,Data!A:W,2,0))</f>
        <v>Kính gửi: Công ty Viettel - Cột D8</v>
      </c>
      <c r="B5" s="348"/>
      <c r="C5" s="348"/>
      <c r="D5" s="348"/>
      <c r="E5" s="348"/>
      <c r="F5" s="348"/>
      <c r="G5" s="348"/>
      <c r="H5" s="348"/>
      <c r="I5" s="348"/>
      <c r="J5" s="61"/>
      <c r="K5" s="61"/>
    </row>
    <row r="6" spans="1:11" ht="14.25" x14ac:dyDescent="0.2">
      <c r="A6" s="62"/>
      <c r="B6" s="60"/>
      <c r="C6" s="62"/>
      <c r="D6" s="62"/>
      <c r="E6" s="62"/>
      <c r="F6" s="62"/>
      <c r="G6" s="62"/>
      <c r="H6" s="62"/>
      <c r="I6" s="63">
        <f>'In phieu thu'!C6</f>
        <v>206</v>
      </c>
      <c r="J6" s="61"/>
      <c r="K6" s="61"/>
    </row>
    <row r="7" spans="1:11" s="59" customFormat="1" ht="15" x14ac:dyDescent="0.25">
      <c r="A7" s="64" t="str">
        <f>CONCATENATE("Địa chỉ hộ tiêu thụ: ",VLOOKUP(I6,Data!A:W,4,0),".")</f>
        <v>Địa chỉ hộ tiêu thụ: BTS tầng mái nhà D8.</v>
      </c>
      <c r="C7" s="65"/>
      <c r="I7" s="66" t="str">
        <f>CONCATENATE("Điện thoại: ",VLOOKUP(I6,Data!A:W,5,0),".")</f>
        <v>Điện thoại: .</v>
      </c>
    </row>
    <row r="8" spans="1:11" s="59" customFormat="1" ht="15" x14ac:dyDescent="0.25">
      <c r="A8" s="64" t="str">
        <f>CONCATENATE("Đại diện: ",VLOOKUP(I6,Data!A:W,6,0),".")</f>
        <v>Đại diện: Phạm Văn Cương.</v>
      </c>
      <c r="C8" s="67"/>
      <c r="I8" s="66" t="str">
        <f>CONCATENATE("Điện thoại: ",VLOOKUP(I6,Data!A:W,7,0),".")</f>
        <v>Điện thoại: 0975715666.</v>
      </c>
    </row>
    <row r="9" spans="1:11" ht="15" x14ac:dyDescent="0.25">
      <c r="A9" s="64"/>
    </row>
    <row r="10" spans="1:11" ht="14.25" customHeight="1" x14ac:dyDescent="0.2">
      <c r="A10" s="341" t="s">
        <v>272</v>
      </c>
      <c r="B10" s="341" t="s">
        <v>268</v>
      </c>
      <c r="C10" s="341" t="s">
        <v>273</v>
      </c>
      <c r="D10" s="341" t="s">
        <v>274</v>
      </c>
      <c r="E10" s="342" t="s">
        <v>1199</v>
      </c>
      <c r="F10" s="341" t="s">
        <v>1198</v>
      </c>
      <c r="G10" s="341" t="s">
        <v>275</v>
      </c>
      <c r="H10" s="341" t="s">
        <v>276</v>
      </c>
      <c r="I10" s="345" t="str">
        <f>CONCATENATE("Số công tơ: ",VLOOKUP(I6,Data!A:W,10,0),".")</f>
        <v>Số công tơ: 3749.</v>
      </c>
      <c r="J10" s="68"/>
      <c r="K10" s="68"/>
    </row>
    <row r="11" spans="1:11" ht="14.25" customHeight="1" x14ac:dyDescent="0.2">
      <c r="A11" s="341"/>
      <c r="B11" s="341"/>
      <c r="C11" s="341"/>
      <c r="D11" s="341"/>
      <c r="E11" s="342"/>
      <c r="F11" s="341"/>
      <c r="G11" s="341"/>
      <c r="H11" s="341"/>
      <c r="I11" s="346"/>
      <c r="J11" s="68"/>
      <c r="K11" s="68"/>
    </row>
    <row r="12" spans="1:11" x14ac:dyDescent="0.2">
      <c r="A12" s="341"/>
      <c r="B12" s="341"/>
      <c r="C12" s="341"/>
      <c r="D12" s="341"/>
      <c r="E12" s="342"/>
      <c r="F12" s="341"/>
      <c r="G12" s="341"/>
      <c r="H12" s="341"/>
      <c r="I12" s="346"/>
      <c r="J12" s="68"/>
      <c r="K12" s="68"/>
    </row>
    <row r="13" spans="1:11" ht="14.25" customHeight="1" x14ac:dyDescent="0.2">
      <c r="A13" s="69">
        <v>1</v>
      </c>
      <c r="B13" s="279">
        <f>VLOOKUP(I6,Data!A:W,15,0)</f>
        <v>10975</v>
      </c>
      <c r="C13" s="279">
        <f>VLOOKUP(I6,Data!A:W,16,0)</f>
        <v>10975</v>
      </c>
      <c r="D13" s="280">
        <f>VLOOKUP(I6,Data!A:W,17,0)</f>
        <v>1</v>
      </c>
      <c r="E13" s="280">
        <f>(B13-C13)*D13</f>
        <v>0</v>
      </c>
      <c r="F13" s="281">
        <f>VLOOKUP(I6,Data!A:W,19,0)</f>
        <v>0</v>
      </c>
      <c r="G13" s="281">
        <f>VLOOKUP(I6,Data!A:W,21,0)</f>
        <v>4169</v>
      </c>
      <c r="H13" s="281">
        <f>IF((E13-F13)&gt;0,(E13-F13)*G13,0)</f>
        <v>0</v>
      </c>
      <c r="I13" s="349" t="str">
        <f>CONCATENATE("Vị trí đặt: ",VLOOKUP(I6,Data!A:W,12,0),".")</f>
        <v>Vị trí đặt: Tầng 11.</v>
      </c>
      <c r="J13" s="17"/>
      <c r="K13" s="17"/>
    </row>
    <row r="14" spans="1:11" ht="15" x14ac:dyDescent="0.2">
      <c r="A14" s="70"/>
      <c r="B14" s="71"/>
      <c r="C14" s="71"/>
      <c r="D14" s="70"/>
      <c r="E14" s="72"/>
      <c r="F14" s="73"/>
      <c r="G14" s="73"/>
      <c r="H14" s="73"/>
      <c r="I14" s="349"/>
      <c r="J14" s="17"/>
      <c r="K14" s="17"/>
    </row>
    <row r="15" spans="1:11" ht="15" x14ac:dyDescent="0.2">
      <c r="A15" s="74"/>
      <c r="B15" s="75"/>
      <c r="C15" s="75"/>
      <c r="D15" s="76"/>
      <c r="E15" s="77"/>
      <c r="F15" s="75"/>
      <c r="G15" s="78"/>
      <c r="H15" s="78"/>
      <c r="I15" s="79" t="str">
        <f>CONCATENATE("TBA: ",VLOOKUP(I6,Data!A:W,13,0),".")</f>
        <v>TBA: BK2.</v>
      </c>
      <c r="J15" s="17"/>
      <c r="K15" s="17"/>
    </row>
    <row r="16" spans="1:11" ht="15" x14ac:dyDescent="0.2">
      <c r="A16" s="74"/>
      <c r="B16" s="75"/>
      <c r="C16" s="75"/>
      <c r="D16" s="76"/>
      <c r="E16" s="77"/>
      <c r="F16" s="80"/>
      <c r="G16" s="78"/>
      <c r="H16" s="78"/>
      <c r="I16" s="79" t="str">
        <f>CONCATENATE("Mã sổ: ",VLOOKUP(I6,Data!A:W,8,0),".")</f>
        <v>Mã sổ: D8.</v>
      </c>
      <c r="J16" s="17"/>
      <c r="K16" s="17"/>
    </row>
    <row r="17" spans="1:11" ht="15" x14ac:dyDescent="0.2">
      <c r="A17" s="74"/>
      <c r="B17" s="75"/>
      <c r="C17" s="76"/>
      <c r="D17" s="76"/>
      <c r="E17" s="77"/>
      <c r="F17" s="80"/>
      <c r="G17" s="81"/>
      <c r="H17" s="78"/>
      <c r="I17" s="79" t="str">
        <f>CONCATENATE("Trang: ",VLOOKUP(I6,Data!A:W,9,0),".")</f>
        <v>Trang: .</v>
      </c>
      <c r="J17" s="17"/>
      <c r="K17" s="17"/>
    </row>
    <row r="18" spans="1:11" ht="14.25" x14ac:dyDescent="0.2">
      <c r="A18" s="82"/>
      <c r="B18" s="83"/>
      <c r="C18" s="84"/>
      <c r="D18" s="84"/>
      <c r="E18" s="85"/>
      <c r="F18" s="86"/>
      <c r="G18" s="87" t="s">
        <v>277</v>
      </c>
      <c r="H18" s="88">
        <f>SUM(H13:H17)</f>
        <v>0</v>
      </c>
      <c r="I18" s="89" t="s">
        <v>1455</v>
      </c>
      <c r="J18" s="17"/>
      <c r="K18" s="17"/>
    </row>
    <row r="19" spans="1:11" ht="14.25" x14ac:dyDescent="0.2">
      <c r="A19" s="355" t="str">
        <f>CONCATENATE("Bằng chữ: ",doi_font(doichu(H18)),"./.")</f>
        <v>Bằng chữ: Không đồng./.</v>
      </c>
      <c r="B19" s="356"/>
      <c r="C19" s="356"/>
      <c r="D19" s="356"/>
      <c r="E19" s="356"/>
      <c r="F19" s="356"/>
      <c r="G19" s="356"/>
      <c r="H19" s="357"/>
      <c r="I19" s="90" t="s">
        <v>1200</v>
      </c>
      <c r="J19" s="17"/>
      <c r="K19" s="17"/>
    </row>
    <row r="20" spans="1:11" ht="6.75" customHeight="1" x14ac:dyDescent="0.2">
      <c r="A20" s="91"/>
      <c r="C20" s="18"/>
    </row>
    <row r="21" spans="1:11" s="17" customFormat="1" ht="15.75" x14ac:dyDescent="0.2">
      <c r="A21" s="353"/>
      <c r="B21" s="353"/>
      <c r="C21" s="353"/>
      <c r="D21" s="353"/>
      <c r="E21" s="353"/>
      <c r="F21" s="248"/>
      <c r="G21" s="248"/>
      <c r="H21" s="352" t="s">
        <v>1558</v>
      </c>
      <c r="I21" s="352"/>
    </row>
    <row r="22" spans="1:11" s="92" customFormat="1" ht="15" x14ac:dyDescent="0.2">
      <c r="A22" s="353" t="s">
        <v>1454</v>
      </c>
      <c r="B22" s="353"/>
      <c r="C22" s="353"/>
      <c r="D22" s="353"/>
      <c r="E22" s="353"/>
      <c r="F22" s="249"/>
      <c r="G22" s="249"/>
      <c r="H22" s="353" t="s">
        <v>278</v>
      </c>
      <c r="I22" s="353"/>
      <c r="J22" s="19"/>
      <c r="K22" s="19"/>
    </row>
    <row r="23" spans="1:11" x14ac:dyDescent="0.2">
      <c r="A23" s="25"/>
      <c r="B23" s="25"/>
      <c r="C23" s="250"/>
      <c r="D23" s="25"/>
      <c r="E23" s="25"/>
      <c r="F23" s="25"/>
      <c r="G23" s="25"/>
      <c r="H23" s="25"/>
      <c r="I23" s="25"/>
    </row>
    <row r="24" spans="1:11" ht="12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</row>
    <row r="25" spans="1:11" x14ac:dyDescent="0.2">
      <c r="A25" s="25"/>
      <c r="B25" s="25"/>
      <c r="C25" s="25"/>
      <c r="D25" s="25"/>
      <c r="E25" s="25"/>
      <c r="F25" s="25"/>
      <c r="G25" s="25"/>
      <c r="H25" s="25"/>
      <c r="I25" s="25"/>
    </row>
    <row r="26" spans="1:11" x14ac:dyDescent="0.2">
      <c r="A26" s="25"/>
      <c r="B26" s="25"/>
      <c r="C26" s="25"/>
      <c r="D26" s="25"/>
      <c r="E26" s="25"/>
      <c r="F26" s="25"/>
      <c r="G26" s="25"/>
      <c r="H26" s="25"/>
      <c r="I26" s="25"/>
    </row>
    <row r="27" spans="1:11" ht="15.75" x14ac:dyDescent="0.25">
      <c r="A27" s="350"/>
      <c r="B27" s="350"/>
      <c r="C27" s="350"/>
      <c r="D27" s="350"/>
      <c r="E27" s="350"/>
      <c r="F27" s="25"/>
      <c r="G27" s="25"/>
      <c r="H27" s="351" t="s">
        <v>1293</v>
      </c>
      <c r="I27" s="351"/>
    </row>
  </sheetData>
  <sheetCalcPr fullCalcOnLoad="1"/>
  <sheetProtection formatCells="0" formatColumns="0" formatRows="0" insertColumns="0" insertRows="0" insertHyperlinks="0" deleteColumns="0" deleteRows="0" sort="0" autoFilter="0" pivotTables="0"/>
  <mergeCells count="23">
    <mergeCell ref="A3:E3"/>
    <mergeCell ref="A19:H19"/>
    <mergeCell ref="B10:B12"/>
    <mergeCell ref="A21:E21"/>
    <mergeCell ref="A22:E22"/>
    <mergeCell ref="A10:A12"/>
    <mergeCell ref="H10:H12"/>
    <mergeCell ref="I13:I14"/>
    <mergeCell ref="A27:E27"/>
    <mergeCell ref="H27:I27"/>
    <mergeCell ref="G10:G12"/>
    <mergeCell ref="H21:I21"/>
    <mergeCell ref="H22:I22"/>
    <mergeCell ref="A1:E1"/>
    <mergeCell ref="F1:I1"/>
    <mergeCell ref="C10:C12"/>
    <mergeCell ref="E10:E12"/>
    <mergeCell ref="A2:E2"/>
    <mergeCell ref="F2:I2"/>
    <mergeCell ref="F10:F12"/>
    <mergeCell ref="D10:D12"/>
    <mergeCell ref="I10:I12"/>
    <mergeCell ref="A5:I5"/>
  </mergeCells>
  <phoneticPr fontId="3" type="noConversion"/>
  <printOptions horizontalCentered="1"/>
  <pageMargins left="0.2" right="0.2" top="0.25" bottom="0.25" header="0" footer="0"/>
  <pageSetup paperSize="1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E0D0-A946-4F7C-BD7A-5B903EE137B9}">
  <sheetPr codeName="Sheet5"/>
  <dimension ref="A1:R9486"/>
  <sheetViews>
    <sheetView showGridLines="0" showZeros="0" zoomScaleNormal="100" workbookViewId="0">
      <selection activeCell="A7" sqref="A7:H7"/>
    </sheetView>
  </sheetViews>
  <sheetFormatPr defaultRowHeight="14.45" customHeight="1" x14ac:dyDescent="0.2"/>
  <cols>
    <col min="1" max="1" width="3.42578125" customWidth="1"/>
    <col min="2" max="3" width="10.42578125" customWidth="1"/>
    <col min="4" max="4" width="5.7109375" customWidth="1"/>
    <col min="5" max="5" width="10.42578125" customWidth="1"/>
    <col min="6" max="6" width="11.42578125" customWidth="1"/>
    <col min="7" max="7" width="8.42578125" customWidth="1"/>
    <col min="8" max="8" width="15.85546875" customWidth="1"/>
    <col min="9" max="9" width="25" customWidth="1"/>
    <col min="10" max="10" width="14.42578125" customWidth="1"/>
    <col min="11" max="16384" width="9.140625" style="20"/>
  </cols>
  <sheetData>
    <row r="1" spans="1:11" ht="14.25" x14ac:dyDescent="0.2">
      <c r="A1" s="339" t="s">
        <v>1307</v>
      </c>
      <c r="B1" s="339"/>
      <c r="C1" s="339"/>
      <c r="D1" s="339"/>
      <c r="E1" s="339"/>
      <c r="F1" s="340" t="s">
        <v>300</v>
      </c>
      <c r="G1" s="340"/>
      <c r="H1" s="340"/>
      <c r="I1" s="340"/>
      <c r="J1" s="57"/>
      <c r="K1" s="57"/>
    </row>
    <row r="2" spans="1:11" ht="15" x14ac:dyDescent="0.2">
      <c r="A2" s="343" t="s">
        <v>1454</v>
      </c>
      <c r="B2" s="343"/>
      <c r="C2" s="343"/>
      <c r="D2" s="343"/>
      <c r="E2" s="343"/>
      <c r="F2" s="344" t="s">
        <v>1557</v>
      </c>
      <c r="G2" s="344"/>
      <c r="H2" s="344"/>
      <c r="I2" s="344"/>
      <c r="J2" s="58"/>
      <c r="K2" s="58"/>
    </row>
    <row r="3" spans="1:11" ht="15" x14ac:dyDescent="0.2">
      <c r="A3" s="354"/>
      <c r="B3" s="354"/>
      <c r="C3" s="354"/>
      <c r="D3" s="354"/>
      <c r="E3" s="354"/>
      <c r="F3" s="56"/>
      <c r="G3" s="56"/>
      <c r="H3" s="56"/>
      <c r="I3" s="56"/>
      <c r="J3" s="58"/>
      <c r="K3" s="58"/>
    </row>
    <row r="4" spans="1:11" ht="15" x14ac:dyDescent="0.25">
      <c r="A4" s="59"/>
      <c r="B4" s="59"/>
      <c r="C4" s="59"/>
      <c r="D4" s="59"/>
      <c r="E4" s="59"/>
      <c r="F4" s="59"/>
      <c r="G4" s="59"/>
      <c r="H4" s="59"/>
      <c r="I4" s="60" t="s">
        <v>1560</v>
      </c>
      <c r="J4" s="20"/>
    </row>
    <row r="5" spans="1:11" ht="15.75" x14ac:dyDescent="0.25">
      <c r="A5" s="347" t="s">
        <v>1561</v>
      </c>
      <c r="B5" s="348"/>
      <c r="C5" s="348"/>
      <c r="D5" s="348"/>
      <c r="E5" s="348"/>
      <c r="F5" s="348"/>
      <c r="G5" s="348"/>
      <c r="H5" s="348"/>
      <c r="I5" s="348"/>
      <c r="J5" s="61"/>
      <c r="K5" s="61"/>
    </row>
    <row r="6" spans="1:11" ht="14.25" x14ac:dyDescent="0.2">
      <c r="A6" s="62"/>
      <c r="B6" s="60"/>
      <c r="C6" s="62"/>
      <c r="D6" s="62"/>
      <c r="E6" s="62"/>
      <c r="F6" s="62"/>
      <c r="G6" s="62"/>
      <c r="H6" s="62"/>
      <c r="I6" s="63">
        <v>206</v>
      </c>
      <c r="J6" s="61"/>
      <c r="K6" s="61"/>
    </row>
    <row r="7" spans="1:11" s="59" customFormat="1" ht="27" customHeight="1" x14ac:dyDescent="0.25">
      <c r="A7" s="358" t="s">
        <v>1569</v>
      </c>
      <c r="B7" s="358"/>
      <c r="C7" s="358"/>
      <c r="D7" s="358"/>
      <c r="E7" s="358"/>
      <c r="F7" s="358"/>
      <c r="G7" s="358"/>
      <c r="H7" s="358"/>
      <c r="I7" s="66" t="s">
        <v>1318</v>
      </c>
    </row>
    <row r="8" spans="1:11" s="59" customFormat="1" ht="15" x14ac:dyDescent="0.25">
      <c r="A8" s="64" t="s">
        <v>1562</v>
      </c>
      <c r="C8" s="67"/>
      <c r="I8" s="66" t="s">
        <v>1563</v>
      </c>
    </row>
    <row r="9" spans="1:11" ht="15" x14ac:dyDescent="0.25">
      <c r="A9" s="64"/>
      <c r="B9" s="20"/>
      <c r="C9" s="20"/>
      <c r="D9" s="20"/>
      <c r="E9" s="20"/>
      <c r="F9" s="20"/>
      <c r="G9" s="20"/>
      <c r="H9" s="20"/>
      <c r="I9" s="20"/>
      <c r="J9" s="20"/>
    </row>
    <row r="10" spans="1:11" ht="14.25" customHeight="1" x14ac:dyDescent="0.2">
      <c r="A10" s="341" t="s">
        <v>272</v>
      </c>
      <c r="B10" s="341" t="s">
        <v>268</v>
      </c>
      <c r="C10" s="341" t="s">
        <v>273</v>
      </c>
      <c r="D10" s="341" t="s">
        <v>274</v>
      </c>
      <c r="E10" s="342" t="s">
        <v>1199</v>
      </c>
      <c r="F10" s="341" t="s">
        <v>1198</v>
      </c>
      <c r="G10" s="341" t="s">
        <v>275</v>
      </c>
      <c r="H10" s="341" t="s">
        <v>276</v>
      </c>
      <c r="I10" s="345" t="s">
        <v>1564</v>
      </c>
      <c r="J10" s="68"/>
      <c r="K10" s="68"/>
    </row>
    <row r="11" spans="1:11" ht="14.25" customHeight="1" x14ac:dyDescent="0.2">
      <c r="A11" s="341"/>
      <c r="B11" s="341"/>
      <c r="C11" s="341"/>
      <c r="D11" s="341"/>
      <c r="E11" s="342"/>
      <c r="F11" s="341"/>
      <c r="G11" s="341"/>
      <c r="H11" s="341"/>
      <c r="I11" s="346"/>
      <c r="J11" s="68"/>
      <c r="K11" s="68"/>
    </row>
    <row r="12" spans="1:11" ht="12.75" x14ac:dyDescent="0.2">
      <c r="A12" s="341"/>
      <c r="B12" s="341"/>
      <c r="C12" s="341"/>
      <c r="D12" s="341"/>
      <c r="E12" s="342"/>
      <c r="F12" s="341"/>
      <c r="G12" s="341"/>
      <c r="H12" s="341"/>
      <c r="I12" s="346"/>
      <c r="J12" s="68"/>
      <c r="K12" s="68"/>
    </row>
    <row r="13" spans="1:11" ht="14.25" customHeight="1" x14ac:dyDescent="0.2">
      <c r="A13" s="69">
        <v>1</v>
      </c>
      <c r="B13" s="279">
        <v>65470</v>
      </c>
      <c r="C13" s="279">
        <v>64262</v>
      </c>
      <c r="D13" s="280">
        <v>1</v>
      </c>
      <c r="E13" s="280">
        <v>1208</v>
      </c>
      <c r="F13" s="281">
        <v>0</v>
      </c>
      <c r="G13" s="281">
        <v>4169</v>
      </c>
      <c r="H13" s="281">
        <v>5036152</v>
      </c>
      <c r="I13" s="349" t="s">
        <v>1565</v>
      </c>
      <c r="J13" s="17"/>
      <c r="K13" s="17"/>
    </row>
    <row r="14" spans="1:11" ht="15" x14ac:dyDescent="0.2">
      <c r="A14" s="70"/>
      <c r="B14" s="71"/>
      <c r="C14" s="71"/>
      <c r="D14" s="70"/>
      <c r="E14" s="72"/>
      <c r="F14" s="73"/>
      <c r="G14" s="73"/>
      <c r="H14" s="73"/>
      <c r="I14" s="349"/>
      <c r="J14" s="17"/>
      <c r="K14" s="17"/>
    </row>
    <row r="15" spans="1:11" ht="15" x14ac:dyDescent="0.2">
      <c r="A15" s="74"/>
      <c r="B15" s="75"/>
      <c r="C15" s="75"/>
      <c r="D15" s="76"/>
      <c r="E15" s="77"/>
      <c r="F15" s="75"/>
      <c r="G15" s="78"/>
      <c r="H15" s="78"/>
      <c r="I15" s="79" t="s">
        <v>1559</v>
      </c>
      <c r="J15" s="17"/>
      <c r="K15" s="17"/>
    </row>
    <row r="16" spans="1:11" ht="15" x14ac:dyDescent="0.2">
      <c r="A16" s="74"/>
      <c r="B16" s="75"/>
      <c r="C16" s="75"/>
      <c r="D16" s="76"/>
      <c r="E16" s="77"/>
      <c r="F16" s="80"/>
      <c r="G16" s="78"/>
      <c r="H16" s="78"/>
      <c r="I16" s="79" t="s">
        <v>1566</v>
      </c>
      <c r="J16" s="17"/>
      <c r="K16" s="17"/>
    </row>
    <row r="17" spans="1:11" ht="15" x14ac:dyDescent="0.2">
      <c r="A17" s="74"/>
      <c r="B17" s="75"/>
      <c r="C17" s="76"/>
      <c r="D17" s="76"/>
      <c r="E17" s="77"/>
      <c r="F17" s="80"/>
      <c r="G17" s="81"/>
      <c r="H17" s="78"/>
      <c r="I17" s="79" t="s">
        <v>825</v>
      </c>
      <c r="J17" s="17"/>
      <c r="K17" s="17"/>
    </row>
    <row r="18" spans="1:11" ht="14.25" x14ac:dyDescent="0.2">
      <c r="A18" s="82"/>
      <c r="B18" s="83"/>
      <c r="C18" s="84"/>
      <c r="D18" s="84"/>
      <c r="E18" s="85"/>
      <c r="F18" s="86"/>
      <c r="G18" s="87" t="s">
        <v>277</v>
      </c>
      <c r="H18" s="88">
        <v>5036152</v>
      </c>
      <c r="I18" s="89" t="s">
        <v>1455</v>
      </c>
      <c r="J18" s="17"/>
      <c r="K18" s="17"/>
    </row>
    <row r="19" spans="1:11" ht="14.25" x14ac:dyDescent="0.2">
      <c r="A19" s="355" t="s">
        <v>1567</v>
      </c>
      <c r="B19" s="356"/>
      <c r="C19" s="356"/>
      <c r="D19" s="356"/>
      <c r="E19" s="356"/>
      <c r="F19" s="356"/>
      <c r="G19" s="356"/>
      <c r="H19" s="357"/>
      <c r="I19" s="90" t="s">
        <v>1200</v>
      </c>
      <c r="J19" s="17"/>
      <c r="K19" s="17"/>
    </row>
    <row r="20" spans="1:11" ht="6.75" customHeight="1" x14ac:dyDescent="0.2">
      <c r="A20" s="91"/>
      <c r="B20" s="20"/>
      <c r="C20" s="18"/>
      <c r="D20" s="20"/>
      <c r="E20" s="20"/>
      <c r="F20" s="20"/>
      <c r="G20" s="20"/>
      <c r="H20" s="20"/>
      <c r="I20" s="20"/>
      <c r="J20" s="20"/>
    </row>
    <row r="21" spans="1:11" s="17" customFormat="1" ht="15.75" x14ac:dyDescent="0.2">
      <c r="A21" s="353"/>
      <c r="B21" s="353"/>
      <c r="C21" s="353"/>
      <c r="D21" s="353"/>
      <c r="E21" s="353"/>
      <c r="F21" s="248"/>
      <c r="G21" s="248"/>
      <c r="H21" s="352" t="s">
        <v>1558</v>
      </c>
      <c r="I21" s="352"/>
    </row>
    <row r="22" spans="1:11" s="92" customFormat="1" ht="15" x14ac:dyDescent="0.2">
      <c r="A22" s="353" t="s">
        <v>1454</v>
      </c>
      <c r="B22" s="353"/>
      <c r="C22" s="353"/>
      <c r="D22" s="353"/>
      <c r="E22" s="353"/>
      <c r="F22" s="249"/>
      <c r="G22" s="249"/>
      <c r="H22" s="353" t="s">
        <v>278</v>
      </c>
      <c r="I22" s="353"/>
      <c r="J22" s="19"/>
      <c r="K22" s="19"/>
    </row>
    <row r="23" spans="1:11" ht="12.75" x14ac:dyDescent="0.2">
      <c r="A23" s="25"/>
      <c r="B23" s="25"/>
      <c r="C23" s="250"/>
      <c r="D23" s="25"/>
      <c r="E23" s="25"/>
      <c r="F23" s="25"/>
      <c r="G23" s="25"/>
      <c r="H23" s="25"/>
      <c r="I23" s="25"/>
      <c r="J23" s="20"/>
    </row>
    <row r="24" spans="1:11" ht="12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0"/>
    </row>
    <row r="25" spans="1:11" ht="12.75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0"/>
    </row>
    <row r="26" spans="1:11" ht="12.75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0"/>
    </row>
    <row r="27" spans="1:11" ht="15.75" x14ac:dyDescent="0.25">
      <c r="A27" s="350"/>
      <c r="B27" s="350"/>
      <c r="C27" s="350"/>
      <c r="D27" s="350"/>
      <c r="E27" s="350"/>
      <c r="F27" s="25"/>
      <c r="G27" s="25"/>
      <c r="H27" s="351" t="s">
        <v>1293</v>
      </c>
      <c r="I27" s="351"/>
      <c r="J27" s="20"/>
    </row>
    <row r="28" spans="1:11" ht="12.75" x14ac:dyDescent="0.2">
      <c r="K28" s="57"/>
    </row>
    <row r="29" spans="1:11" ht="12.75" x14ac:dyDescent="0.2">
      <c r="K29" s="58"/>
    </row>
    <row r="30" spans="1:11" ht="12.75" x14ac:dyDescent="0.2">
      <c r="K30" s="58"/>
    </row>
    <row r="31" spans="1:11" ht="12.75" x14ac:dyDescent="0.2"/>
    <row r="32" spans="1:11" ht="12.75" x14ac:dyDescent="0.2">
      <c r="K32" s="61"/>
    </row>
    <row r="33" spans="1:11" ht="12.75" x14ac:dyDescent="0.2">
      <c r="K33" s="61"/>
    </row>
    <row r="34" spans="1:11" s="59" customFormat="1" ht="15" x14ac:dyDescent="0.25">
      <c r="A34"/>
      <c r="B34"/>
      <c r="C34"/>
      <c r="D34"/>
      <c r="E34"/>
      <c r="F34"/>
      <c r="G34"/>
      <c r="H34"/>
      <c r="I34"/>
      <c r="J34"/>
    </row>
    <row r="35" spans="1:11" s="59" customFormat="1" ht="15" x14ac:dyDescent="0.25">
      <c r="A35"/>
      <c r="B35"/>
      <c r="C35"/>
      <c r="D35"/>
      <c r="E35"/>
      <c r="F35"/>
      <c r="G35"/>
      <c r="H35"/>
      <c r="I35"/>
      <c r="J35"/>
    </row>
    <row r="36" spans="1:11" ht="12.75" x14ac:dyDescent="0.2"/>
    <row r="37" spans="1:11" ht="14.25" customHeight="1" x14ac:dyDescent="0.2">
      <c r="K37" s="68"/>
    </row>
    <row r="38" spans="1:11" ht="14.25" customHeight="1" x14ac:dyDescent="0.2">
      <c r="K38" s="68"/>
    </row>
    <row r="39" spans="1:11" ht="12.75" x14ac:dyDescent="0.2">
      <c r="K39" s="68"/>
    </row>
    <row r="40" spans="1:11" ht="14.25" customHeight="1" x14ac:dyDescent="0.2">
      <c r="K40" s="17"/>
    </row>
    <row r="41" spans="1:11" ht="12.75" x14ac:dyDescent="0.2">
      <c r="K41" s="17"/>
    </row>
    <row r="42" spans="1:11" ht="12.75" x14ac:dyDescent="0.2">
      <c r="K42" s="17"/>
    </row>
    <row r="43" spans="1:11" ht="12.75" x14ac:dyDescent="0.2">
      <c r="K43" s="17"/>
    </row>
    <row r="44" spans="1:11" ht="12.75" x14ac:dyDescent="0.2">
      <c r="K44" s="17"/>
    </row>
    <row r="45" spans="1:11" ht="12.75" x14ac:dyDescent="0.2">
      <c r="K45" s="17"/>
    </row>
    <row r="46" spans="1:11" ht="12.75" x14ac:dyDescent="0.2">
      <c r="K46" s="17"/>
    </row>
    <row r="47" spans="1:11" ht="6.75" customHeight="1" x14ac:dyDescent="0.2"/>
    <row r="48" spans="1:11" s="17" customFormat="1" ht="12.75" x14ac:dyDescent="0.2">
      <c r="A48"/>
      <c r="B48"/>
      <c r="C48"/>
      <c r="D48"/>
      <c r="E48"/>
      <c r="F48"/>
      <c r="G48"/>
      <c r="H48"/>
      <c r="I48"/>
      <c r="J48"/>
    </row>
    <row r="49" spans="1:11" s="92" customFormat="1" ht="15" x14ac:dyDescent="0.2">
      <c r="A49"/>
      <c r="B49"/>
      <c r="C49"/>
      <c r="D49"/>
      <c r="E49"/>
      <c r="F49"/>
      <c r="G49"/>
      <c r="H49"/>
      <c r="I49"/>
      <c r="J49"/>
      <c r="K49" s="19"/>
    </row>
    <row r="50" spans="1:11" ht="12.75" x14ac:dyDescent="0.2"/>
    <row r="51" spans="1:11" ht="12" customHeight="1" x14ac:dyDescent="0.2"/>
    <row r="52" spans="1:11" ht="12.75" x14ac:dyDescent="0.2"/>
    <row r="53" spans="1:11" ht="12.75" x14ac:dyDescent="0.2"/>
    <row r="54" spans="1:11" ht="12.75" x14ac:dyDescent="0.2"/>
    <row r="55" spans="1:11" ht="12.75" x14ac:dyDescent="0.2">
      <c r="K55" s="57"/>
    </row>
    <row r="56" spans="1:11" ht="12.75" x14ac:dyDescent="0.2">
      <c r="K56" s="58"/>
    </row>
    <row r="57" spans="1:11" ht="12.75" x14ac:dyDescent="0.2">
      <c r="K57" s="58"/>
    </row>
    <row r="58" spans="1:11" ht="12.75" x14ac:dyDescent="0.2"/>
    <row r="59" spans="1:11" ht="12.75" x14ac:dyDescent="0.2">
      <c r="K59" s="61"/>
    </row>
    <row r="60" spans="1:11" ht="12.75" x14ac:dyDescent="0.2">
      <c r="K60" s="61"/>
    </row>
    <row r="61" spans="1:11" s="59" customFormat="1" ht="15" x14ac:dyDescent="0.25">
      <c r="A61"/>
      <c r="B61"/>
      <c r="C61"/>
      <c r="D61"/>
      <c r="E61"/>
      <c r="F61"/>
      <c r="G61"/>
      <c r="H61"/>
      <c r="I61"/>
      <c r="J61"/>
    </row>
    <row r="62" spans="1:11" s="59" customFormat="1" ht="15" x14ac:dyDescent="0.25">
      <c r="A62"/>
      <c r="B62"/>
      <c r="C62"/>
      <c r="D62"/>
      <c r="E62"/>
      <c r="F62"/>
      <c r="G62"/>
      <c r="H62"/>
      <c r="I62"/>
      <c r="J62"/>
    </row>
    <row r="63" spans="1:11" ht="12.75" x14ac:dyDescent="0.2"/>
    <row r="64" spans="1:11" ht="14.25" customHeight="1" x14ac:dyDescent="0.2">
      <c r="K64" s="68"/>
    </row>
    <row r="65" spans="1:11" ht="14.25" customHeight="1" x14ac:dyDescent="0.2">
      <c r="K65" s="68"/>
    </row>
    <row r="66" spans="1:11" ht="12.75" x14ac:dyDescent="0.2">
      <c r="K66" s="68"/>
    </row>
    <row r="67" spans="1:11" ht="14.25" customHeight="1" x14ac:dyDescent="0.2">
      <c r="K67" s="17"/>
    </row>
    <row r="68" spans="1:11" ht="12.75" x14ac:dyDescent="0.2">
      <c r="K68" s="17"/>
    </row>
    <row r="69" spans="1:11" ht="12.75" x14ac:dyDescent="0.2">
      <c r="K69" s="17"/>
    </row>
    <row r="70" spans="1:11" ht="12.75" x14ac:dyDescent="0.2">
      <c r="K70" s="17"/>
    </row>
    <row r="71" spans="1:11" ht="12.75" x14ac:dyDescent="0.2">
      <c r="K71" s="17"/>
    </row>
    <row r="72" spans="1:11" ht="12.75" x14ac:dyDescent="0.2">
      <c r="K72" s="17"/>
    </row>
    <row r="73" spans="1:11" ht="12.75" x14ac:dyDescent="0.2">
      <c r="K73" s="17"/>
    </row>
    <row r="74" spans="1:11" ht="6.75" customHeight="1" x14ac:dyDescent="0.2"/>
    <row r="75" spans="1:11" s="17" customFormat="1" ht="12.75" x14ac:dyDescent="0.2">
      <c r="A75"/>
      <c r="B75"/>
      <c r="C75"/>
      <c r="D75"/>
      <c r="E75"/>
      <c r="F75"/>
      <c r="G75"/>
      <c r="H75"/>
      <c r="I75"/>
      <c r="J75"/>
    </row>
    <row r="76" spans="1:11" s="92" customFormat="1" ht="15" x14ac:dyDescent="0.2">
      <c r="A76"/>
      <c r="B76"/>
      <c r="C76"/>
      <c r="D76"/>
      <c r="E76"/>
      <c r="F76"/>
      <c r="G76"/>
      <c r="H76"/>
      <c r="I76"/>
      <c r="J76"/>
      <c r="K76" s="19"/>
    </row>
    <row r="77" spans="1:11" ht="12.75" x14ac:dyDescent="0.2"/>
    <row r="78" spans="1:11" ht="12" customHeight="1" x14ac:dyDescent="0.2"/>
    <row r="79" spans="1:11" ht="12.75" x14ac:dyDescent="0.2"/>
    <row r="80" spans="1:11" ht="12.75" x14ac:dyDescent="0.2"/>
    <row r="81" spans="1:11" ht="12.75" x14ac:dyDescent="0.2"/>
    <row r="82" spans="1:11" ht="12.75" x14ac:dyDescent="0.2">
      <c r="K82" s="57"/>
    </row>
    <row r="83" spans="1:11" ht="12.75" x14ac:dyDescent="0.2">
      <c r="K83" s="58"/>
    </row>
    <row r="84" spans="1:11" ht="12.75" x14ac:dyDescent="0.2">
      <c r="K84" s="58"/>
    </row>
    <row r="85" spans="1:11" ht="12.75" x14ac:dyDescent="0.2"/>
    <row r="86" spans="1:11" ht="12.75" x14ac:dyDescent="0.2">
      <c r="K86" s="61"/>
    </row>
    <row r="87" spans="1:11" ht="12.75" x14ac:dyDescent="0.2">
      <c r="K87" s="61"/>
    </row>
    <row r="88" spans="1:11" s="59" customFormat="1" ht="15" x14ac:dyDescent="0.25">
      <c r="A88"/>
      <c r="B88"/>
      <c r="C88"/>
      <c r="D88"/>
      <c r="E88"/>
      <c r="F88"/>
      <c r="G88"/>
      <c r="H88"/>
      <c r="I88"/>
      <c r="J88"/>
    </row>
    <row r="89" spans="1:11" s="59" customFormat="1" ht="15" x14ac:dyDescent="0.25">
      <c r="A89"/>
      <c r="B89"/>
      <c r="C89"/>
      <c r="D89"/>
      <c r="E89"/>
      <c r="F89"/>
      <c r="G89"/>
      <c r="H89"/>
      <c r="I89"/>
      <c r="J89"/>
    </row>
    <row r="90" spans="1:11" ht="12.75" x14ac:dyDescent="0.2"/>
    <row r="91" spans="1:11" ht="14.25" customHeight="1" x14ac:dyDescent="0.2">
      <c r="K91" s="68"/>
    </row>
    <row r="92" spans="1:11" ht="14.25" customHeight="1" x14ac:dyDescent="0.2">
      <c r="K92" s="68"/>
    </row>
    <row r="93" spans="1:11" ht="12.75" x14ac:dyDescent="0.2">
      <c r="K93" s="68"/>
    </row>
    <row r="94" spans="1:11" ht="14.25" customHeight="1" x14ac:dyDescent="0.2">
      <c r="K94" s="17"/>
    </row>
    <row r="95" spans="1:11" ht="12.75" x14ac:dyDescent="0.2">
      <c r="K95" s="17"/>
    </row>
    <row r="96" spans="1:11" ht="12.75" x14ac:dyDescent="0.2">
      <c r="K96" s="17"/>
    </row>
    <row r="97" spans="1:11" ht="12.75" x14ac:dyDescent="0.2">
      <c r="K97" s="17"/>
    </row>
    <row r="98" spans="1:11" ht="12.75" x14ac:dyDescent="0.2">
      <c r="K98" s="17"/>
    </row>
    <row r="99" spans="1:11" ht="12.75" x14ac:dyDescent="0.2">
      <c r="K99" s="17"/>
    </row>
    <row r="100" spans="1:11" ht="12.75" x14ac:dyDescent="0.2">
      <c r="K100" s="17"/>
    </row>
    <row r="101" spans="1:11" ht="6.75" customHeight="1" x14ac:dyDescent="0.2"/>
    <row r="102" spans="1:11" s="17" customFormat="1" ht="12.75" x14ac:dyDescent="0.2">
      <c r="A102"/>
      <c r="B102"/>
      <c r="C102"/>
      <c r="D102"/>
      <c r="E102"/>
      <c r="F102"/>
      <c r="G102"/>
      <c r="H102"/>
      <c r="I102"/>
      <c r="J102"/>
    </row>
    <row r="103" spans="1:11" s="92" customFormat="1" ht="15" x14ac:dyDescent="0.2">
      <c r="A103"/>
      <c r="B103"/>
      <c r="C103"/>
      <c r="D103"/>
      <c r="E103"/>
      <c r="F103"/>
      <c r="G103"/>
      <c r="H103"/>
      <c r="I103"/>
      <c r="J103"/>
      <c r="K103" s="19"/>
    </row>
    <row r="104" spans="1:11" ht="12.75" x14ac:dyDescent="0.2"/>
    <row r="105" spans="1:11" ht="12" customHeight="1" x14ac:dyDescent="0.2"/>
    <row r="106" spans="1:11" ht="12.75" x14ac:dyDescent="0.2"/>
    <row r="107" spans="1:11" ht="12.75" x14ac:dyDescent="0.2"/>
    <row r="108" spans="1:11" ht="12.75" x14ac:dyDescent="0.2"/>
    <row r="109" spans="1:11" ht="12.75" x14ac:dyDescent="0.2">
      <c r="K109" s="57"/>
    </row>
    <row r="110" spans="1:11" ht="12.75" x14ac:dyDescent="0.2">
      <c r="K110" s="58"/>
    </row>
    <row r="111" spans="1:11" ht="12.75" x14ac:dyDescent="0.2">
      <c r="K111" s="58"/>
    </row>
    <row r="112" spans="1:11" ht="12.75" x14ac:dyDescent="0.2"/>
    <row r="113" spans="1:11" ht="12.75" x14ac:dyDescent="0.2">
      <c r="K113" s="61"/>
    </row>
    <row r="114" spans="1:11" ht="12.75" x14ac:dyDescent="0.2">
      <c r="K114" s="61"/>
    </row>
    <row r="115" spans="1:11" s="59" customFormat="1" ht="15" x14ac:dyDescent="0.25">
      <c r="A115"/>
      <c r="B115"/>
      <c r="C115"/>
      <c r="D115"/>
      <c r="E115"/>
      <c r="F115"/>
      <c r="G115"/>
      <c r="H115"/>
      <c r="I115"/>
      <c r="J115"/>
    </row>
    <row r="116" spans="1:11" s="59" customFormat="1" ht="15" x14ac:dyDescent="0.25">
      <c r="A116"/>
      <c r="B116"/>
      <c r="C116"/>
      <c r="D116"/>
      <c r="E116"/>
      <c r="F116"/>
      <c r="G116"/>
      <c r="H116"/>
      <c r="I116"/>
      <c r="J116"/>
    </row>
    <row r="117" spans="1:11" ht="12.75" x14ac:dyDescent="0.2"/>
    <row r="118" spans="1:11" ht="14.25" customHeight="1" x14ac:dyDescent="0.2">
      <c r="K118" s="68"/>
    </row>
    <row r="119" spans="1:11" ht="14.25" customHeight="1" x14ac:dyDescent="0.2">
      <c r="K119" s="68"/>
    </row>
    <row r="120" spans="1:11" ht="12.75" x14ac:dyDescent="0.2">
      <c r="K120" s="68"/>
    </row>
    <row r="121" spans="1:11" ht="14.25" customHeight="1" x14ac:dyDescent="0.2">
      <c r="K121" s="17"/>
    </row>
    <row r="122" spans="1:11" ht="12.75" x14ac:dyDescent="0.2">
      <c r="K122" s="17"/>
    </row>
    <row r="123" spans="1:11" ht="12.75" x14ac:dyDescent="0.2">
      <c r="K123" s="17"/>
    </row>
    <row r="124" spans="1:11" ht="12.75" x14ac:dyDescent="0.2">
      <c r="K124" s="17"/>
    </row>
    <row r="125" spans="1:11" ht="12.75" x14ac:dyDescent="0.2">
      <c r="K125" s="17"/>
    </row>
    <row r="126" spans="1:11" ht="12.75" x14ac:dyDescent="0.2">
      <c r="K126" s="17"/>
    </row>
    <row r="127" spans="1:11" ht="12.75" x14ac:dyDescent="0.2">
      <c r="K127" s="17"/>
    </row>
    <row r="128" spans="1:11" ht="6.75" customHeight="1" x14ac:dyDescent="0.2"/>
    <row r="129" spans="1:11" s="17" customFormat="1" ht="12.75" x14ac:dyDescent="0.2">
      <c r="A129"/>
      <c r="B129"/>
      <c r="C129"/>
      <c r="D129"/>
      <c r="E129"/>
      <c r="F129"/>
      <c r="G129"/>
      <c r="H129"/>
      <c r="I129"/>
      <c r="J129"/>
    </row>
    <row r="130" spans="1:11" s="92" customFormat="1" ht="15" x14ac:dyDescent="0.2">
      <c r="A130"/>
      <c r="B130"/>
      <c r="C130"/>
      <c r="D130"/>
      <c r="E130"/>
      <c r="F130"/>
      <c r="G130"/>
      <c r="H130"/>
      <c r="I130"/>
      <c r="J130"/>
      <c r="K130" s="19"/>
    </row>
    <row r="131" spans="1:11" ht="12.75" x14ac:dyDescent="0.2"/>
    <row r="132" spans="1:11" ht="12" customHeight="1" x14ac:dyDescent="0.2"/>
    <row r="133" spans="1:11" ht="12.75" x14ac:dyDescent="0.2"/>
    <row r="134" spans="1:11" ht="12.75" x14ac:dyDescent="0.2"/>
    <row r="135" spans="1:11" ht="12.75" x14ac:dyDescent="0.2"/>
    <row r="136" spans="1:11" ht="12.75" x14ac:dyDescent="0.2">
      <c r="K136" s="57"/>
    </row>
    <row r="137" spans="1:11" ht="12.75" x14ac:dyDescent="0.2">
      <c r="K137" s="58"/>
    </row>
    <row r="138" spans="1:11" ht="12.75" x14ac:dyDescent="0.2">
      <c r="K138" s="58"/>
    </row>
    <row r="139" spans="1:11" ht="12.75" x14ac:dyDescent="0.2"/>
    <row r="140" spans="1:11" ht="12.75" x14ac:dyDescent="0.2">
      <c r="K140" s="61"/>
    </row>
    <row r="141" spans="1:11" ht="12.75" x14ac:dyDescent="0.2">
      <c r="K141" s="61"/>
    </row>
    <row r="142" spans="1:11" s="59" customFormat="1" ht="15" x14ac:dyDescent="0.25">
      <c r="A142"/>
      <c r="B142"/>
      <c r="C142"/>
      <c r="D142"/>
      <c r="E142"/>
      <c r="F142"/>
      <c r="G142"/>
      <c r="H142"/>
      <c r="I142"/>
      <c r="J142"/>
    </row>
    <row r="143" spans="1:11" s="59" customFormat="1" ht="15" x14ac:dyDescent="0.25">
      <c r="A143"/>
      <c r="B143"/>
      <c r="C143"/>
      <c r="D143"/>
      <c r="E143"/>
      <c r="F143"/>
      <c r="G143"/>
      <c r="H143"/>
      <c r="I143"/>
      <c r="J143"/>
    </row>
    <row r="144" spans="1:11" ht="12.75" x14ac:dyDescent="0.2"/>
    <row r="145" spans="1:11" ht="14.25" customHeight="1" x14ac:dyDescent="0.2">
      <c r="K145" s="68"/>
    </row>
    <row r="146" spans="1:11" ht="14.25" customHeight="1" x14ac:dyDescent="0.2">
      <c r="K146" s="68"/>
    </row>
    <row r="147" spans="1:11" ht="12.75" x14ac:dyDescent="0.2">
      <c r="K147" s="68"/>
    </row>
    <row r="148" spans="1:11" ht="14.25" customHeight="1" x14ac:dyDescent="0.2">
      <c r="K148" s="17"/>
    </row>
    <row r="149" spans="1:11" ht="12.75" x14ac:dyDescent="0.2">
      <c r="K149" s="17"/>
    </row>
    <row r="150" spans="1:11" ht="12.75" x14ac:dyDescent="0.2">
      <c r="K150" s="17"/>
    </row>
    <row r="151" spans="1:11" ht="12.75" x14ac:dyDescent="0.2">
      <c r="K151" s="17"/>
    </row>
    <row r="152" spans="1:11" ht="12.75" x14ac:dyDescent="0.2">
      <c r="K152" s="17"/>
    </row>
    <row r="153" spans="1:11" ht="12.75" x14ac:dyDescent="0.2">
      <c r="K153" s="17"/>
    </row>
    <row r="154" spans="1:11" ht="12.75" x14ac:dyDescent="0.2">
      <c r="K154" s="17"/>
    </row>
    <row r="155" spans="1:11" ht="6.75" customHeight="1" x14ac:dyDescent="0.2"/>
    <row r="156" spans="1:11" s="17" customFormat="1" ht="12.75" x14ac:dyDescent="0.2">
      <c r="A156"/>
      <c r="B156"/>
      <c r="C156"/>
      <c r="D156"/>
      <c r="E156"/>
      <c r="F156"/>
      <c r="G156"/>
      <c r="H156"/>
      <c r="I156"/>
      <c r="J156"/>
    </row>
    <row r="157" spans="1:11" s="92" customFormat="1" ht="15" x14ac:dyDescent="0.2">
      <c r="A157"/>
      <c r="B157"/>
      <c r="C157"/>
      <c r="D157"/>
      <c r="E157"/>
      <c r="F157"/>
      <c r="G157"/>
      <c r="H157"/>
      <c r="I157"/>
      <c r="J157"/>
      <c r="K157" s="19"/>
    </row>
    <row r="158" spans="1:11" ht="12.75" x14ac:dyDescent="0.2"/>
    <row r="159" spans="1:11" ht="12" customHeight="1" x14ac:dyDescent="0.2"/>
    <row r="160" spans="1:11" ht="12.75" x14ac:dyDescent="0.2"/>
    <row r="161" spans="1:11" ht="12.75" x14ac:dyDescent="0.2"/>
    <row r="162" spans="1:11" ht="12.75" x14ac:dyDescent="0.2"/>
    <row r="163" spans="1:11" ht="12.75" x14ac:dyDescent="0.2">
      <c r="K163" s="57"/>
    </row>
    <row r="164" spans="1:11" ht="12.75" x14ac:dyDescent="0.2">
      <c r="K164" s="58"/>
    </row>
    <row r="165" spans="1:11" ht="12.75" x14ac:dyDescent="0.2">
      <c r="K165" s="58"/>
    </row>
    <row r="166" spans="1:11" ht="12.75" x14ac:dyDescent="0.2"/>
    <row r="167" spans="1:11" ht="12.75" x14ac:dyDescent="0.2">
      <c r="K167" s="61"/>
    </row>
    <row r="168" spans="1:11" ht="12.75" x14ac:dyDescent="0.2">
      <c r="K168" s="61"/>
    </row>
    <row r="169" spans="1:11" s="59" customFormat="1" ht="15" x14ac:dyDescent="0.25">
      <c r="A169"/>
      <c r="B169"/>
      <c r="C169"/>
      <c r="D169"/>
      <c r="E169"/>
      <c r="F169"/>
      <c r="G169"/>
      <c r="H169"/>
      <c r="I169"/>
      <c r="J169"/>
    </row>
    <row r="170" spans="1:11" s="59" customFormat="1" ht="15" x14ac:dyDescent="0.25">
      <c r="A170"/>
      <c r="B170"/>
      <c r="C170"/>
      <c r="D170"/>
      <c r="E170"/>
      <c r="F170"/>
      <c r="G170"/>
      <c r="H170"/>
      <c r="I170"/>
      <c r="J170"/>
    </row>
    <row r="171" spans="1:11" ht="12.75" x14ac:dyDescent="0.2"/>
    <row r="172" spans="1:11" ht="14.25" customHeight="1" x14ac:dyDescent="0.2">
      <c r="K172" s="68"/>
    </row>
    <row r="173" spans="1:11" ht="14.25" customHeight="1" x14ac:dyDescent="0.2">
      <c r="K173" s="68"/>
    </row>
    <row r="174" spans="1:11" ht="12.75" x14ac:dyDescent="0.2">
      <c r="K174" s="68"/>
    </row>
    <row r="175" spans="1:11" ht="14.25" customHeight="1" x14ac:dyDescent="0.2">
      <c r="K175" s="17"/>
    </row>
    <row r="176" spans="1:11" ht="12.75" x14ac:dyDescent="0.2">
      <c r="K176" s="17"/>
    </row>
    <row r="177" spans="1:11" ht="12.75" x14ac:dyDescent="0.2">
      <c r="K177" s="17"/>
    </row>
    <row r="178" spans="1:11" ht="12.75" x14ac:dyDescent="0.2">
      <c r="K178" s="17"/>
    </row>
    <row r="179" spans="1:11" ht="12.75" x14ac:dyDescent="0.2">
      <c r="K179" s="17"/>
    </row>
    <row r="180" spans="1:11" ht="12.75" x14ac:dyDescent="0.2">
      <c r="K180" s="17"/>
    </row>
    <row r="181" spans="1:11" ht="12.75" x14ac:dyDescent="0.2">
      <c r="K181" s="17"/>
    </row>
    <row r="182" spans="1:11" ht="6.75" customHeight="1" x14ac:dyDescent="0.2"/>
    <row r="183" spans="1:11" s="17" customFormat="1" ht="12.75" x14ac:dyDescent="0.2">
      <c r="A183"/>
      <c r="B183"/>
      <c r="C183"/>
      <c r="D183"/>
      <c r="E183"/>
      <c r="F183"/>
      <c r="G183"/>
      <c r="H183"/>
      <c r="I183"/>
      <c r="J183"/>
    </row>
    <row r="184" spans="1:11" s="92" customFormat="1" ht="15" x14ac:dyDescent="0.2">
      <c r="A184"/>
      <c r="B184"/>
      <c r="C184"/>
      <c r="D184"/>
      <c r="E184"/>
      <c r="F184"/>
      <c r="G184"/>
      <c r="H184"/>
      <c r="I184"/>
      <c r="J184"/>
      <c r="K184" s="19"/>
    </row>
    <row r="185" spans="1:11" ht="12.75" x14ac:dyDescent="0.2"/>
    <row r="186" spans="1:11" ht="12" customHeight="1" x14ac:dyDescent="0.2"/>
    <row r="187" spans="1:11" ht="12.75" x14ac:dyDescent="0.2"/>
    <row r="188" spans="1:11" ht="12.75" x14ac:dyDescent="0.2"/>
    <row r="189" spans="1:11" ht="12.75" x14ac:dyDescent="0.2"/>
    <row r="190" spans="1:11" ht="12.75" x14ac:dyDescent="0.2">
      <c r="K190" s="57"/>
    </row>
    <row r="191" spans="1:11" ht="12.75" x14ac:dyDescent="0.2">
      <c r="K191" s="58"/>
    </row>
    <row r="192" spans="1:11" ht="12.75" x14ac:dyDescent="0.2">
      <c r="K192" s="58"/>
    </row>
    <row r="193" spans="1:11" ht="12.75" x14ac:dyDescent="0.2"/>
    <row r="194" spans="1:11" ht="12.75" x14ac:dyDescent="0.2">
      <c r="K194" s="61"/>
    </row>
    <row r="195" spans="1:11" ht="12.75" x14ac:dyDescent="0.2">
      <c r="K195" s="61"/>
    </row>
    <row r="196" spans="1:11" s="59" customFormat="1" ht="15" x14ac:dyDescent="0.25">
      <c r="A196"/>
      <c r="B196"/>
      <c r="C196"/>
      <c r="D196"/>
      <c r="E196"/>
      <c r="F196"/>
      <c r="G196"/>
      <c r="H196"/>
      <c r="I196"/>
      <c r="J196"/>
    </row>
    <row r="197" spans="1:11" s="59" customFormat="1" ht="15" x14ac:dyDescent="0.25">
      <c r="A197"/>
      <c r="B197"/>
      <c r="C197"/>
      <c r="D197"/>
      <c r="E197"/>
      <c r="F197"/>
      <c r="G197"/>
      <c r="H197"/>
      <c r="I197"/>
      <c r="J197"/>
    </row>
    <row r="198" spans="1:11" ht="12.75" x14ac:dyDescent="0.2"/>
    <row r="199" spans="1:11" ht="14.25" customHeight="1" x14ac:dyDescent="0.2">
      <c r="K199" s="68"/>
    </row>
    <row r="200" spans="1:11" ht="14.25" customHeight="1" x14ac:dyDescent="0.2">
      <c r="K200" s="68"/>
    </row>
    <row r="201" spans="1:11" ht="12.75" x14ac:dyDescent="0.2">
      <c r="K201" s="68"/>
    </row>
    <row r="202" spans="1:11" ht="14.25" customHeight="1" x14ac:dyDescent="0.2">
      <c r="K202" s="17"/>
    </row>
    <row r="203" spans="1:11" ht="12.75" x14ac:dyDescent="0.2">
      <c r="K203" s="17"/>
    </row>
    <row r="204" spans="1:11" ht="12.75" x14ac:dyDescent="0.2">
      <c r="K204" s="17"/>
    </row>
    <row r="205" spans="1:11" ht="12.75" x14ac:dyDescent="0.2">
      <c r="K205" s="17"/>
    </row>
    <row r="206" spans="1:11" ht="12.75" x14ac:dyDescent="0.2">
      <c r="K206" s="17"/>
    </row>
    <row r="207" spans="1:11" ht="12.75" x14ac:dyDescent="0.2">
      <c r="K207" s="17"/>
    </row>
    <row r="208" spans="1:11" ht="12.75" x14ac:dyDescent="0.2">
      <c r="K208" s="17"/>
    </row>
    <row r="209" spans="1:11" ht="6.75" customHeight="1" x14ac:dyDescent="0.2"/>
    <row r="210" spans="1:11" s="17" customFormat="1" ht="12.75" x14ac:dyDescent="0.2">
      <c r="A210"/>
      <c r="B210"/>
      <c r="C210"/>
      <c r="D210"/>
      <c r="E210"/>
      <c r="F210"/>
      <c r="G210"/>
      <c r="H210"/>
      <c r="I210"/>
      <c r="J210"/>
    </row>
    <row r="211" spans="1:11" s="92" customFormat="1" ht="15" x14ac:dyDescent="0.2">
      <c r="A211"/>
      <c r="B211"/>
      <c r="C211"/>
      <c r="D211"/>
      <c r="E211"/>
      <c r="F211"/>
      <c r="G211"/>
      <c r="H211"/>
      <c r="I211"/>
      <c r="J211"/>
      <c r="K211" s="19"/>
    </row>
    <row r="212" spans="1:11" ht="12.75" x14ac:dyDescent="0.2"/>
    <row r="213" spans="1:11" ht="12" customHeight="1" x14ac:dyDescent="0.2"/>
    <row r="214" spans="1:11" ht="12.75" x14ac:dyDescent="0.2"/>
    <row r="215" spans="1:11" ht="12.75" x14ac:dyDescent="0.2"/>
    <row r="216" spans="1:11" ht="12.75" x14ac:dyDescent="0.2"/>
    <row r="217" spans="1:11" ht="12.75" x14ac:dyDescent="0.2">
      <c r="K217" s="57"/>
    </row>
    <row r="218" spans="1:11" ht="12.75" x14ac:dyDescent="0.2">
      <c r="K218" s="58"/>
    </row>
    <row r="219" spans="1:11" ht="12.75" x14ac:dyDescent="0.2">
      <c r="K219" s="58"/>
    </row>
    <row r="220" spans="1:11" ht="12.75" x14ac:dyDescent="0.2"/>
    <row r="221" spans="1:11" ht="12.75" x14ac:dyDescent="0.2">
      <c r="K221" s="61"/>
    </row>
    <row r="222" spans="1:11" ht="12.75" x14ac:dyDescent="0.2">
      <c r="K222" s="61"/>
    </row>
    <row r="223" spans="1:11" s="59" customFormat="1" ht="15" x14ac:dyDescent="0.25">
      <c r="A223"/>
      <c r="B223"/>
      <c r="C223"/>
      <c r="D223"/>
      <c r="E223"/>
      <c r="F223"/>
      <c r="G223"/>
      <c r="H223"/>
      <c r="I223"/>
      <c r="J223"/>
    </row>
    <row r="224" spans="1:11" s="59" customFormat="1" ht="15" x14ac:dyDescent="0.25">
      <c r="A224"/>
      <c r="B224"/>
      <c r="C224"/>
      <c r="D224"/>
      <c r="E224"/>
      <c r="F224"/>
      <c r="G224"/>
      <c r="H224"/>
      <c r="I224"/>
      <c r="J224"/>
    </row>
    <row r="225" spans="1:11" ht="12.75" x14ac:dyDescent="0.2"/>
    <row r="226" spans="1:11" ht="14.25" customHeight="1" x14ac:dyDescent="0.2">
      <c r="K226" s="68"/>
    </row>
    <row r="227" spans="1:11" ht="14.25" customHeight="1" x14ac:dyDescent="0.2">
      <c r="K227" s="68"/>
    </row>
    <row r="228" spans="1:11" ht="12.75" x14ac:dyDescent="0.2">
      <c r="K228" s="68"/>
    </row>
    <row r="229" spans="1:11" ht="14.25" customHeight="1" x14ac:dyDescent="0.2">
      <c r="K229" s="17"/>
    </row>
    <row r="230" spans="1:11" ht="12.75" x14ac:dyDescent="0.2">
      <c r="K230" s="17"/>
    </row>
    <row r="231" spans="1:11" ht="12.75" x14ac:dyDescent="0.2">
      <c r="K231" s="17"/>
    </row>
    <row r="232" spans="1:11" ht="12.75" x14ac:dyDescent="0.2">
      <c r="K232" s="17"/>
    </row>
    <row r="233" spans="1:11" ht="12.75" x14ac:dyDescent="0.2">
      <c r="K233" s="17"/>
    </row>
    <row r="234" spans="1:11" ht="12.75" x14ac:dyDescent="0.2">
      <c r="K234" s="17"/>
    </row>
    <row r="235" spans="1:11" ht="12.75" x14ac:dyDescent="0.2">
      <c r="K235" s="17"/>
    </row>
    <row r="236" spans="1:11" ht="6.75" customHeight="1" x14ac:dyDescent="0.2"/>
    <row r="237" spans="1:11" s="17" customFormat="1" ht="12.75" x14ac:dyDescent="0.2">
      <c r="A237"/>
      <c r="B237"/>
      <c r="C237"/>
      <c r="D237"/>
      <c r="E237"/>
      <c r="F237"/>
      <c r="G237"/>
      <c r="H237"/>
      <c r="I237"/>
      <c r="J237"/>
    </row>
    <row r="238" spans="1:11" s="92" customFormat="1" ht="15" x14ac:dyDescent="0.2">
      <c r="A238"/>
      <c r="B238"/>
      <c r="C238"/>
      <c r="D238"/>
      <c r="E238"/>
      <c r="F238"/>
      <c r="G238"/>
      <c r="H238"/>
      <c r="I238"/>
      <c r="J238"/>
      <c r="K238" s="19"/>
    </row>
    <row r="239" spans="1:11" ht="12.75" x14ac:dyDescent="0.2"/>
    <row r="240" spans="1:11" ht="12" customHeight="1" x14ac:dyDescent="0.2"/>
    <row r="241" spans="1:11" ht="12.75" x14ac:dyDescent="0.2"/>
    <row r="242" spans="1:11" ht="12.75" x14ac:dyDescent="0.2"/>
    <row r="243" spans="1:11" ht="12.75" x14ac:dyDescent="0.2"/>
    <row r="244" spans="1:11" ht="12.75" x14ac:dyDescent="0.2">
      <c r="K244" s="57"/>
    </row>
    <row r="245" spans="1:11" ht="12.75" x14ac:dyDescent="0.2">
      <c r="K245" s="58"/>
    </row>
    <row r="246" spans="1:11" ht="12.75" x14ac:dyDescent="0.2">
      <c r="K246" s="58"/>
    </row>
    <row r="247" spans="1:11" ht="12.75" x14ac:dyDescent="0.2"/>
    <row r="248" spans="1:11" ht="12.75" x14ac:dyDescent="0.2">
      <c r="K248" s="61"/>
    </row>
    <row r="249" spans="1:11" ht="12.75" x14ac:dyDescent="0.2">
      <c r="K249" s="61"/>
    </row>
    <row r="250" spans="1:11" s="59" customFormat="1" ht="15" x14ac:dyDescent="0.25">
      <c r="A250"/>
      <c r="B250"/>
      <c r="C250"/>
      <c r="D250"/>
      <c r="E250"/>
      <c r="F250"/>
      <c r="G250"/>
      <c r="H250"/>
      <c r="I250"/>
      <c r="J250"/>
    </row>
    <row r="251" spans="1:11" s="59" customFormat="1" ht="15" x14ac:dyDescent="0.25">
      <c r="A251"/>
      <c r="B251"/>
      <c r="C251"/>
      <c r="D251"/>
      <c r="E251"/>
      <c r="F251"/>
      <c r="G251"/>
      <c r="H251"/>
      <c r="I251"/>
      <c r="J251"/>
    </row>
    <row r="252" spans="1:11" ht="12.75" x14ac:dyDescent="0.2"/>
    <row r="253" spans="1:11" ht="14.25" customHeight="1" x14ac:dyDescent="0.2">
      <c r="K253" s="68"/>
    </row>
    <row r="254" spans="1:11" ht="14.25" customHeight="1" x14ac:dyDescent="0.2">
      <c r="K254" s="68"/>
    </row>
    <row r="255" spans="1:11" ht="12.75" x14ac:dyDescent="0.2">
      <c r="K255" s="68"/>
    </row>
    <row r="256" spans="1:11" ht="14.25" customHeight="1" x14ac:dyDescent="0.2">
      <c r="K256" s="17"/>
    </row>
    <row r="257" spans="1:11" ht="12.75" x14ac:dyDescent="0.2">
      <c r="K257" s="17"/>
    </row>
    <row r="258" spans="1:11" ht="12.75" x14ac:dyDescent="0.2">
      <c r="K258" s="17"/>
    </row>
    <row r="259" spans="1:11" ht="12.75" x14ac:dyDescent="0.2">
      <c r="K259" s="17"/>
    </row>
    <row r="260" spans="1:11" ht="12.75" x14ac:dyDescent="0.2">
      <c r="K260" s="17"/>
    </row>
    <row r="261" spans="1:11" ht="12.75" x14ac:dyDescent="0.2">
      <c r="K261" s="17"/>
    </row>
    <row r="262" spans="1:11" ht="12.75" x14ac:dyDescent="0.2">
      <c r="K262" s="17"/>
    </row>
    <row r="263" spans="1:11" ht="6.75" customHeight="1" x14ac:dyDescent="0.2"/>
    <row r="264" spans="1:11" s="17" customFormat="1" ht="12.75" x14ac:dyDescent="0.2">
      <c r="A264"/>
      <c r="B264"/>
      <c r="C264"/>
      <c r="D264"/>
      <c r="E264"/>
      <c r="F264"/>
      <c r="G264"/>
      <c r="H264"/>
      <c r="I264"/>
      <c r="J264"/>
    </row>
    <row r="265" spans="1:11" s="92" customFormat="1" ht="15" x14ac:dyDescent="0.2">
      <c r="A265"/>
      <c r="B265"/>
      <c r="C265"/>
      <c r="D265"/>
      <c r="E265"/>
      <c r="F265"/>
      <c r="G265"/>
      <c r="H265"/>
      <c r="I265"/>
      <c r="J265"/>
      <c r="K265" s="19"/>
    </row>
    <row r="266" spans="1:11" ht="12.75" x14ac:dyDescent="0.2"/>
    <row r="267" spans="1:11" ht="12" customHeight="1" x14ac:dyDescent="0.2"/>
    <row r="268" spans="1:11" ht="12.75" x14ac:dyDescent="0.2"/>
    <row r="269" spans="1:11" ht="12.75" x14ac:dyDescent="0.2"/>
    <row r="270" spans="1:11" ht="12.75" x14ac:dyDescent="0.2"/>
    <row r="271" spans="1:11" ht="12.75" x14ac:dyDescent="0.2">
      <c r="K271" s="57"/>
    </row>
    <row r="272" spans="1:11" ht="12.75" x14ac:dyDescent="0.2">
      <c r="K272" s="58"/>
    </row>
    <row r="273" spans="1:11" ht="12.75" x14ac:dyDescent="0.2">
      <c r="K273" s="58"/>
    </row>
    <row r="274" spans="1:11" ht="12.75" x14ac:dyDescent="0.2"/>
    <row r="275" spans="1:11" ht="12.75" x14ac:dyDescent="0.2">
      <c r="K275" s="61"/>
    </row>
    <row r="276" spans="1:11" ht="12.75" x14ac:dyDescent="0.2">
      <c r="K276" s="61"/>
    </row>
    <row r="277" spans="1:11" s="59" customFormat="1" ht="15" x14ac:dyDescent="0.25">
      <c r="A277"/>
      <c r="B277"/>
      <c r="C277"/>
      <c r="D277"/>
      <c r="E277"/>
      <c r="F277"/>
      <c r="G277"/>
      <c r="H277"/>
      <c r="I277"/>
      <c r="J277"/>
    </row>
    <row r="278" spans="1:11" s="59" customFormat="1" ht="15" x14ac:dyDescent="0.25">
      <c r="A278"/>
      <c r="B278"/>
      <c r="C278"/>
      <c r="D278"/>
      <c r="E278"/>
      <c r="F278"/>
      <c r="G278"/>
      <c r="H278"/>
      <c r="I278"/>
      <c r="J278"/>
    </row>
    <row r="279" spans="1:11" ht="12.75" x14ac:dyDescent="0.2"/>
    <row r="280" spans="1:11" ht="14.25" customHeight="1" x14ac:dyDescent="0.2">
      <c r="K280" s="68"/>
    </row>
    <row r="281" spans="1:11" ht="14.25" customHeight="1" x14ac:dyDescent="0.2">
      <c r="K281" s="68"/>
    </row>
    <row r="282" spans="1:11" ht="12.75" x14ac:dyDescent="0.2">
      <c r="K282" s="68"/>
    </row>
    <row r="283" spans="1:11" ht="14.25" customHeight="1" x14ac:dyDescent="0.2">
      <c r="K283" s="17"/>
    </row>
    <row r="284" spans="1:11" ht="12.75" x14ac:dyDescent="0.2">
      <c r="K284" s="17"/>
    </row>
    <row r="285" spans="1:11" ht="12.75" x14ac:dyDescent="0.2">
      <c r="K285" s="17"/>
    </row>
    <row r="286" spans="1:11" ht="12.75" x14ac:dyDescent="0.2">
      <c r="K286" s="17"/>
    </row>
    <row r="287" spans="1:11" ht="12.75" x14ac:dyDescent="0.2">
      <c r="K287" s="17"/>
    </row>
    <row r="288" spans="1:11" ht="12.75" x14ac:dyDescent="0.2">
      <c r="K288" s="17"/>
    </row>
    <row r="289" spans="1:11" ht="12.75" x14ac:dyDescent="0.2">
      <c r="K289" s="17"/>
    </row>
    <row r="290" spans="1:11" ht="6.75" customHeight="1" x14ac:dyDescent="0.2"/>
    <row r="291" spans="1:11" s="17" customFormat="1" ht="12.75" x14ac:dyDescent="0.2">
      <c r="A291"/>
      <c r="B291"/>
      <c r="C291"/>
      <c r="D291"/>
      <c r="E291"/>
      <c r="F291"/>
      <c r="G291"/>
      <c r="H291"/>
      <c r="I291"/>
      <c r="J291"/>
    </row>
    <row r="292" spans="1:11" s="92" customFormat="1" ht="15" x14ac:dyDescent="0.2">
      <c r="A292"/>
      <c r="B292"/>
      <c r="C292"/>
      <c r="D292"/>
      <c r="E292"/>
      <c r="F292"/>
      <c r="G292"/>
      <c r="H292"/>
      <c r="I292"/>
      <c r="J292"/>
      <c r="K292" s="19"/>
    </row>
    <row r="293" spans="1:11" ht="12.75" x14ac:dyDescent="0.2"/>
    <row r="294" spans="1:11" ht="12" customHeight="1" x14ac:dyDescent="0.2"/>
    <row r="295" spans="1:11" ht="12.75" x14ac:dyDescent="0.2"/>
    <row r="296" spans="1:11" ht="12.75" x14ac:dyDescent="0.2"/>
    <row r="297" spans="1:11" ht="12.75" x14ac:dyDescent="0.2"/>
    <row r="298" spans="1:11" ht="12.75" x14ac:dyDescent="0.2">
      <c r="K298" s="57"/>
    </row>
    <row r="299" spans="1:11" ht="12.75" x14ac:dyDescent="0.2">
      <c r="K299" s="58"/>
    </row>
    <row r="300" spans="1:11" ht="12.75" x14ac:dyDescent="0.2">
      <c r="K300" s="58"/>
    </row>
    <row r="301" spans="1:11" ht="12.75" x14ac:dyDescent="0.2"/>
    <row r="302" spans="1:11" ht="12.75" x14ac:dyDescent="0.2">
      <c r="K302" s="61"/>
    </row>
    <row r="303" spans="1:11" ht="12.75" x14ac:dyDescent="0.2">
      <c r="K303" s="61"/>
    </row>
    <row r="304" spans="1:11" s="59" customFormat="1" ht="15" x14ac:dyDescent="0.25">
      <c r="A304"/>
      <c r="B304"/>
      <c r="C304"/>
      <c r="D304"/>
      <c r="E304"/>
      <c r="F304"/>
      <c r="G304"/>
      <c r="H304"/>
      <c r="I304"/>
      <c r="J304"/>
    </row>
    <row r="305" spans="1:11" s="59" customFormat="1" ht="15" x14ac:dyDescent="0.25">
      <c r="A305"/>
      <c r="B305"/>
      <c r="C305"/>
      <c r="D305"/>
      <c r="E305"/>
      <c r="F305"/>
      <c r="G305"/>
      <c r="H305"/>
      <c r="I305"/>
      <c r="J305"/>
    </row>
    <row r="306" spans="1:11" ht="12.75" x14ac:dyDescent="0.2"/>
    <row r="307" spans="1:11" ht="14.25" customHeight="1" x14ac:dyDescent="0.2">
      <c r="K307" s="68"/>
    </row>
    <row r="308" spans="1:11" ht="14.25" customHeight="1" x14ac:dyDescent="0.2">
      <c r="K308" s="68"/>
    </row>
    <row r="309" spans="1:11" ht="12.75" x14ac:dyDescent="0.2">
      <c r="K309" s="68"/>
    </row>
    <row r="310" spans="1:11" ht="14.25" customHeight="1" x14ac:dyDescent="0.2">
      <c r="K310" s="17"/>
    </row>
    <row r="311" spans="1:11" ht="12.75" x14ac:dyDescent="0.2">
      <c r="K311" s="17"/>
    </row>
    <row r="312" spans="1:11" ht="12.75" x14ac:dyDescent="0.2">
      <c r="K312" s="17"/>
    </row>
    <row r="313" spans="1:11" ht="12.75" x14ac:dyDescent="0.2">
      <c r="K313" s="17"/>
    </row>
    <row r="314" spans="1:11" ht="12.75" x14ac:dyDescent="0.2">
      <c r="K314" s="17"/>
    </row>
    <row r="315" spans="1:11" ht="12.75" x14ac:dyDescent="0.2">
      <c r="K315" s="17"/>
    </row>
    <row r="316" spans="1:11" ht="12.75" x14ac:dyDescent="0.2">
      <c r="K316" s="17"/>
    </row>
    <row r="317" spans="1:11" ht="6.75" customHeight="1" x14ac:dyDescent="0.2"/>
    <row r="318" spans="1:11" s="17" customFormat="1" ht="12.75" x14ac:dyDescent="0.2">
      <c r="A318"/>
      <c r="B318"/>
      <c r="C318"/>
      <c r="D318"/>
      <c r="E318"/>
      <c r="F318"/>
      <c r="G318"/>
      <c r="H318"/>
      <c r="I318"/>
      <c r="J318"/>
    </row>
    <row r="319" spans="1:11" s="92" customFormat="1" ht="15" x14ac:dyDescent="0.2">
      <c r="A319"/>
      <c r="B319"/>
      <c r="C319"/>
      <c r="D319"/>
      <c r="E319"/>
      <c r="F319"/>
      <c r="G319"/>
      <c r="H319"/>
      <c r="I319"/>
      <c r="J319"/>
      <c r="K319" s="19"/>
    </row>
    <row r="320" spans="1:11" ht="12.75" x14ac:dyDescent="0.2"/>
    <row r="321" spans="1:11" ht="12" customHeight="1" x14ac:dyDescent="0.2"/>
    <row r="322" spans="1:11" ht="12.75" x14ac:dyDescent="0.2"/>
    <row r="323" spans="1:11" ht="12.75" x14ac:dyDescent="0.2"/>
    <row r="324" spans="1:11" ht="12.75" x14ac:dyDescent="0.2"/>
    <row r="325" spans="1:11" ht="12.75" x14ac:dyDescent="0.2">
      <c r="K325" s="57"/>
    </row>
    <row r="326" spans="1:11" ht="12.75" x14ac:dyDescent="0.2">
      <c r="K326" s="58"/>
    </row>
    <row r="327" spans="1:11" ht="12.75" x14ac:dyDescent="0.2">
      <c r="K327" s="58"/>
    </row>
    <row r="328" spans="1:11" ht="12.75" x14ac:dyDescent="0.2"/>
    <row r="329" spans="1:11" ht="12.75" x14ac:dyDescent="0.2">
      <c r="K329" s="61"/>
    </row>
    <row r="330" spans="1:11" ht="12.75" x14ac:dyDescent="0.2">
      <c r="K330" s="61"/>
    </row>
    <row r="331" spans="1:11" s="59" customFormat="1" ht="15" x14ac:dyDescent="0.25">
      <c r="A331"/>
      <c r="B331"/>
      <c r="C331"/>
      <c r="D331"/>
      <c r="E331"/>
      <c r="F331"/>
      <c r="G331"/>
      <c r="H331"/>
      <c r="I331"/>
      <c r="J331"/>
    </row>
    <row r="332" spans="1:11" s="59" customFormat="1" ht="15" x14ac:dyDescent="0.25">
      <c r="A332"/>
      <c r="B332"/>
      <c r="C332"/>
      <c r="D332"/>
      <c r="E332"/>
      <c r="F332"/>
      <c r="G332"/>
      <c r="H332"/>
      <c r="I332"/>
      <c r="J332"/>
    </row>
    <row r="333" spans="1:11" ht="12.75" x14ac:dyDescent="0.2"/>
    <row r="334" spans="1:11" ht="14.25" customHeight="1" x14ac:dyDescent="0.2">
      <c r="K334" s="68"/>
    </row>
    <row r="335" spans="1:11" ht="14.25" customHeight="1" x14ac:dyDescent="0.2">
      <c r="K335" s="68"/>
    </row>
    <row r="336" spans="1:11" ht="12.75" x14ac:dyDescent="0.2">
      <c r="K336" s="68"/>
    </row>
    <row r="337" spans="1:11" ht="14.25" customHeight="1" x14ac:dyDescent="0.2">
      <c r="K337" s="17"/>
    </row>
    <row r="338" spans="1:11" ht="12.75" x14ac:dyDescent="0.2">
      <c r="K338" s="17"/>
    </row>
    <row r="339" spans="1:11" ht="12.75" x14ac:dyDescent="0.2">
      <c r="K339" s="17"/>
    </row>
    <row r="340" spans="1:11" ht="12.75" x14ac:dyDescent="0.2">
      <c r="K340" s="17"/>
    </row>
    <row r="341" spans="1:11" ht="12.75" x14ac:dyDescent="0.2">
      <c r="K341" s="17"/>
    </row>
    <row r="342" spans="1:11" ht="12.75" x14ac:dyDescent="0.2">
      <c r="K342" s="17"/>
    </row>
    <row r="343" spans="1:11" ht="12.75" x14ac:dyDescent="0.2">
      <c r="K343" s="17"/>
    </row>
    <row r="344" spans="1:11" ht="6.75" customHeight="1" x14ac:dyDescent="0.2"/>
    <row r="345" spans="1:11" s="17" customFormat="1" ht="12.75" x14ac:dyDescent="0.2">
      <c r="A345"/>
      <c r="B345"/>
      <c r="C345"/>
      <c r="D345"/>
      <c r="E345"/>
      <c r="F345"/>
      <c r="G345"/>
      <c r="H345"/>
      <c r="I345"/>
      <c r="J345"/>
    </row>
    <row r="346" spans="1:11" s="92" customFormat="1" ht="15" x14ac:dyDescent="0.2">
      <c r="A346"/>
      <c r="B346"/>
      <c r="C346"/>
      <c r="D346"/>
      <c r="E346"/>
      <c r="F346"/>
      <c r="G346"/>
      <c r="H346"/>
      <c r="I346"/>
      <c r="J346"/>
      <c r="K346" s="19"/>
    </row>
    <row r="347" spans="1:11" ht="12.75" x14ac:dyDescent="0.2"/>
    <row r="348" spans="1:11" ht="12" customHeight="1" x14ac:dyDescent="0.2"/>
    <row r="349" spans="1:11" ht="12.75" x14ac:dyDescent="0.2"/>
    <row r="350" spans="1:11" ht="12.75" x14ac:dyDescent="0.2"/>
    <row r="351" spans="1:11" ht="12.75" x14ac:dyDescent="0.2"/>
    <row r="352" spans="1:11" ht="12.75" x14ac:dyDescent="0.2">
      <c r="K352" s="57"/>
    </row>
    <row r="353" spans="1:11" ht="12.75" x14ac:dyDescent="0.2">
      <c r="K353" s="58"/>
    </row>
    <row r="354" spans="1:11" ht="12.75" x14ac:dyDescent="0.2">
      <c r="K354" s="58"/>
    </row>
    <row r="355" spans="1:11" ht="12.75" x14ac:dyDescent="0.2"/>
    <row r="356" spans="1:11" ht="12.75" x14ac:dyDescent="0.2">
      <c r="K356" s="61"/>
    </row>
    <row r="357" spans="1:11" ht="12.75" x14ac:dyDescent="0.2">
      <c r="K357" s="61"/>
    </row>
    <row r="358" spans="1:11" s="59" customFormat="1" ht="15" x14ac:dyDescent="0.25">
      <c r="A358"/>
      <c r="B358"/>
      <c r="C358"/>
      <c r="D358"/>
      <c r="E358"/>
      <c r="F358"/>
      <c r="G358"/>
      <c r="H358"/>
      <c r="I358"/>
      <c r="J358"/>
    </row>
    <row r="359" spans="1:11" s="59" customFormat="1" ht="15" x14ac:dyDescent="0.25">
      <c r="A359"/>
      <c r="B359"/>
      <c r="C359"/>
      <c r="D359"/>
      <c r="E359"/>
      <c r="F359"/>
      <c r="G359"/>
      <c r="H359"/>
      <c r="I359"/>
      <c r="J359"/>
    </row>
    <row r="360" spans="1:11" ht="12.75" x14ac:dyDescent="0.2"/>
    <row r="361" spans="1:11" ht="14.25" customHeight="1" x14ac:dyDescent="0.2">
      <c r="K361" s="68"/>
    </row>
    <row r="362" spans="1:11" ht="14.25" customHeight="1" x14ac:dyDescent="0.2">
      <c r="K362" s="68"/>
    </row>
    <row r="363" spans="1:11" ht="12.75" x14ac:dyDescent="0.2">
      <c r="K363" s="68"/>
    </row>
    <row r="364" spans="1:11" ht="14.25" customHeight="1" x14ac:dyDescent="0.2">
      <c r="K364" s="17"/>
    </row>
    <row r="365" spans="1:11" ht="12.75" x14ac:dyDescent="0.2">
      <c r="K365" s="17"/>
    </row>
    <row r="366" spans="1:11" ht="12.75" x14ac:dyDescent="0.2">
      <c r="K366" s="17"/>
    </row>
    <row r="367" spans="1:11" ht="12.75" x14ac:dyDescent="0.2">
      <c r="K367" s="17"/>
    </row>
    <row r="368" spans="1:11" ht="12.75" x14ac:dyDescent="0.2">
      <c r="K368" s="17"/>
    </row>
    <row r="369" spans="1:11" ht="12.75" x14ac:dyDescent="0.2">
      <c r="K369" s="17"/>
    </row>
    <row r="370" spans="1:11" ht="12.75" x14ac:dyDescent="0.2">
      <c r="K370" s="17"/>
    </row>
    <row r="371" spans="1:11" ht="6.75" customHeight="1" x14ac:dyDescent="0.2"/>
    <row r="372" spans="1:11" s="17" customFormat="1" ht="12.75" x14ac:dyDescent="0.2">
      <c r="A372"/>
      <c r="B372"/>
      <c r="C372"/>
      <c r="D372"/>
      <c r="E372"/>
      <c r="F372"/>
      <c r="G372"/>
      <c r="H372"/>
      <c r="I372"/>
      <c r="J372"/>
    </row>
    <row r="373" spans="1:11" s="92" customFormat="1" ht="15" x14ac:dyDescent="0.2">
      <c r="A373"/>
      <c r="B373"/>
      <c r="C373"/>
      <c r="D373"/>
      <c r="E373"/>
      <c r="F373"/>
      <c r="G373"/>
      <c r="H373"/>
      <c r="I373"/>
      <c r="J373"/>
      <c r="K373" s="19"/>
    </row>
    <row r="374" spans="1:11" ht="12.75" x14ac:dyDescent="0.2"/>
    <row r="375" spans="1:11" ht="12" customHeight="1" x14ac:dyDescent="0.2"/>
    <row r="376" spans="1:11" ht="12.75" x14ac:dyDescent="0.2"/>
    <row r="377" spans="1:11" ht="12.75" x14ac:dyDescent="0.2"/>
    <row r="378" spans="1:11" ht="12.75" x14ac:dyDescent="0.2"/>
    <row r="379" spans="1:11" ht="12.75" x14ac:dyDescent="0.2">
      <c r="K379" s="57"/>
    </row>
    <row r="380" spans="1:11" ht="12.75" x14ac:dyDescent="0.2">
      <c r="K380" s="58"/>
    </row>
    <row r="381" spans="1:11" ht="12.75" x14ac:dyDescent="0.2">
      <c r="K381" s="58"/>
    </row>
    <row r="382" spans="1:11" ht="12.75" x14ac:dyDescent="0.2"/>
    <row r="383" spans="1:11" ht="12.75" x14ac:dyDescent="0.2">
      <c r="K383" s="61"/>
    </row>
    <row r="384" spans="1:11" ht="12.75" x14ac:dyDescent="0.2">
      <c r="K384" s="61"/>
    </row>
    <row r="385" spans="1:11" s="59" customFormat="1" ht="15" x14ac:dyDescent="0.25">
      <c r="A385"/>
      <c r="B385"/>
      <c r="C385"/>
      <c r="D385"/>
      <c r="E385"/>
      <c r="F385"/>
      <c r="G385"/>
      <c r="H385"/>
      <c r="I385"/>
      <c r="J385"/>
    </row>
    <row r="386" spans="1:11" s="59" customFormat="1" ht="15" x14ac:dyDescent="0.25">
      <c r="A386"/>
      <c r="B386"/>
      <c r="C386"/>
      <c r="D386"/>
      <c r="E386"/>
      <c r="F386"/>
      <c r="G386"/>
      <c r="H386"/>
      <c r="I386"/>
      <c r="J386"/>
    </row>
    <row r="387" spans="1:11" ht="12.75" x14ac:dyDescent="0.2"/>
    <row r="388" spans="1:11" ht="14.25" customHeight="1" x14ac:dyDescent="0.2">
      <c r="K388" s="68"/>
    </row>
    <row r="389" spans="1:11" ht="14.25" customHeight="1" x14ac:dyDescent="0.2">
      <c r="K389" s="68"/>
    </row>
    <row r="390" spans="1:11" ht="12.75" x14ac:dyDescent="0.2">
      <c r="K390" s="68"/>
    </row>
    <row r="391" spans="1:11" ht="14.25" customHeight="1" x14ac:dyDescent="0.2">
      <c r="K391" s="17"/>
    </row>
    <row r="392" spans="1:11" ht="12.75" x14ac:dyDescent="0.2">
      <c r="K392" s="17"/>
    </row>
    <row r="393" spans="1:11" ht="12.75" x14ac:dyDescent="0.2">
      <c r="K393" s="17"/>
    </row>
    <row r="394" spans="1:11" ht="12.75" x14ac:dyDescent="0.2">
      <c r="K394" s="17"/>
    </row>
    <row r="395" spans="1:11" ht="12.75" x14ac:dyDescent="0.2">
      <c r="K395" s="17"/>
    </row>
    <row r="396" spans="1:11" ht="12.75" x14ac:dyDescent="0.2">
      <c r="K396" s="17"/>
    </row>
    <row r="397" spans="1:11" ht="12.75" x14ac:dyDescent="0.2">
      <c r="K397" s="17"/>
    </row>
    <row r="398" spans="1:11" ht="6.75" customHeight="1" x14ac:dyDescent="0.2"/>
    <row r="399" spans="1:11" s="17" customFormat="1" ht="12.75" x14ac:dyDescent="0.2">
      <c r="A399"/>
      <c r="B399"/>
      <c r="C399"/>
      <c r="D399"/>
      <c r="E399"/>
      <c r="F399"/>
      <c r="G399"/>
      <c r="H399"/>
      <c r="I399"/>
      <c r="J399"/>
    </row>
    <row r="400" spans="1:11" s="92" customFormat="1" ht="15" x14ac:dyDescent="0.2">
      <c r="A400"/>
      <c r="B400"/>
      <c r="C400"/>
      <c r="D400"/>
      <c r="E400"/>
      <c r="F400"/>
      <c r="G400"/>
      <c r="H400"/>
      <c r="I400"/>
      <c r="J400"/>
      <c r="K400" s="19"/>
    </row>
    <row r="401" spans="1:11" ht="12.75" x14ac:dyDescent="0.2"/>
    <row r="402" spans="1:11" ht="12" customHeight="1" x14ac:dyDescent="0.2"/>
    <row r="403" spans="1:11" ht="12.75" x14ac:dyDescent="0.2"/>
    <row r="404" spans="1:11" ht="12.75" x14ac:dyDescent="0.2"/>
    <row r="405" spans="1:11" ht="12.75" x14ac:dyDescent="0.2"/>
    <row r="406" spans="1:11" ht="12.75" x14ac:dyDescent="0.2">
      <c r="K406" s="57"/>
    </row>
    <row r="407" spans="1:11" ht="12.75" x14ac:dyDescent="0.2">
      <c r="K407" s="58"/>
    </row>
    <row r="408" spans="1:11" ht="12.75" x14ac:dyDescent="0.2">
      <c r="K408" s="58"/>
    </row>
    <row r="409" spans="1:11" ht="12.75" x14ac:dyDescent="0.2"/>
    <row r="410" spans="1:11" ht="12.75" x14ac:dyDescent="0.2">
      <c r="K410" s="61"/>
    </row>
    <row r="411" spans="1:11" ht="12.75" x14ac:dyDescent="0.2">
      <c r="K411" s="61"/>
    </row>
    <row r="412" spans="1:11" s="59" customFormat="1" ht="15" x14ac:dyDescent="0.25">
      <c r="A412"/>
      <c r="B412"/>
      <c r="C412"/>
      <c r="D412"/>
      <c r="E412"/>
      <c r="F412"/>
      <c r="G412"/>
      <c r="H412"/>
      <c r="I412"/>
      <c r="J412"/>
    </row>
    <row r="413" spans="1:11" s="59" customFormat="1" ht="15" x14ac:dyDescent="0.25">
      <c r="A413"/>
      <c r="B413"/>
      <c r="C413"/>
      <c r="D413"/>
      <c r="E413"/>
      <c r="F413"/>
      <c r="G413"/>
      <c r="H413"/>
      <c r="I413"/>
      <c r="J413"/>
    </row>
    <row r="414" spans="1:11" ht="12.75" x14ac:dyDescent="0.2"/>
    <row r="415" spans="1:11" ht="14.25" customHeight="1" x14ac:dyDescent="0.2">
      <c r="K415" s="68"/>
    </row>
    <row r="416" spans="1:11" ht="14.25" customHeight="1" x14ac:dyDescent="0.2">
      <c r="K416" s="68"/>
    </row>
    <row r="417" spans="1:11" ht="12.75" x14ac:dyDescent="0.2">
      <c r="K417" s="68"/>
    </row>
    <row r="418" spans="1:11" ht="14.25" customHeight="1" x14ac:dyDescent="0.2">
      <c r="K418" s="17"/>
    </row>
    <row r="419" spans="1:11" ht="12.75" x14ac:dyDescent="0.2">
      <c r="K419" s="17"/>
    </row>
    <row r="420" spans="1:11" ht="12.75" x14ac:dyDescent="0.2">
      <c r="K420" s="17"/>
    </row>
    <row r="421" spans="1:11" ht="12.75" x14ac:dyDescent="0.2">
      <c r="K421" s="17"/>
    </row>
    <row r="422" spans="1:11" ht="12.75" x14ac:dyDescent="0.2">
      <c r="K422" s="17"/>
    </row>
    <row r="423" spans="1:11" ht="12.75" x14ac:dyDescent="0.2">
      <c r="K423" s="17"/>
    </row>
    <row r="424" spans="1:11" ht="12.75" x14ac:dyDescent="0.2">
      <c r="K424" s="17"/>
    </row>
    <row r="425" spans="1:11" ht="6.75" customHeight="1" x14ac:dyDescent="0.2"/>
    <row r="426" spans="1:11" s="17" customFormat="1" ht="12.75" x14ac:dyDescent="0.2">
      <c r="A426"/>
      <c r="B426"/>
      <c r="C426"/>
      <c r="D426"/>
      <c r="E426"/>
      <c r="F426"/>
      <c r="G426"/>
      <c r="H426"/>
      <c r="I426"/>
      <c r="J426"/>
    </row>
    <row r="427" spans="1:11" s="92" customFormat="1" ht="15" x14ac:dyDescent="0.2">
      <c r="A427"/>
      <c r="B427"/>
      <c r="C427"/>
      <c r="D427"/>
      <c r="E427"/>
      <c r="F427"/>
      <c r="G427"/>
      <c r="H427"/>
      <c r="I427"/>
      <c r="J427"/>
      <c r="K427" s="19"/>
    </row>
    <row r="428" spans="1:11" ht="12.75" x14ac:dyDescent="0.2"/>
    <row r="429" spans="1:11" ht="12" customHeight="1" x14ac:dyDescent="0.2"/>
    <row r="430" spans="1:11" ht="12.75" x14ac:dyDescent="0.2"/>
    <row r="431" spans="1:11" ht="12.75" x14ac:dyDescent="0.2"/>
    <row r="432" spans="1:11" ht="12.75" x14ac:dyDescent="0.2"/>
    <row r="433" spans="1:11" ht="12.75" x14ac:dyDescent="0.2">
      <c r="K433" s="57"/>
    </row>
    <row r="434" spans="1:11" ht="12.75" x14ac:dyDescent="0.2">
      <c r="K434" s="58"/>
    </row>
    <row r="435" spans="1:11" ht="12.75" x14ac:dyDescent="0.2">
      <c r="K435" s="58"/>
    </row>
    <row r="436" spans="1:11" ht="12.75" x14ac:dyDescent="0.2"/>
    <row r="437" spans="1:11" ht="12.75" x14ac:dyDescent="0.2">
      <c r="K437" s="61"/>
    </row>
    <row r="438" spans="1:11" ht="12.75" x14ac:dyDescent="0.2">
      <c r="K438" s="61"/>
    </row>
    <row r="439" spans="1:11" s="59" customFormat="1" ht="15" x14ac:dyDescent="0.25">
      <c r="A439"/>
      <c r="B439"/>
      <c r="C439"/>
      <c r="D439"/>
      <c r="E439"/>
      <c r="F439"/>
      <c r="G439"/>
      <c r="H439"/>
      <c r="I439"/>
      <c r="J439"/>
    </row>
    <row r="440" spans="1:11" s="59" customFormat="1" ht="15" x14ac:dyDescent="0.25">
      <c r="A440"/>
      <c r="B440"/>
      <c r="C440"/>
      <c r="D440"/>
      <c r="E440"/>
      <c r="F440"/>
      <c r="G440"/>
      <c r="H440"/>
      <c r="I440"/>
      <c r="J440"/>
    </row>
    <row r="441" spans="1:11" ht="12.75" x14ac:dyDescent="0.2"/>
    <row r="442" spans="1:11" ht="14.25" customHeight="1" x14ac:dyDescent="0.2">
      <c r="K442" s="68"/>
    </row>
    <row r="443" spans="1:11" ht="14.25" customHeight="1" x14ac:dyDescent="0.2">
      <c r="K443" s="68"/>
    </row>
    <row r="444" spans="1:11" ht="12.75" x14ac:dyDescent="0.2">
      <c r="K444" s="68"/>
    </row>
    <row r="445" spans="1:11" ht="14.25" customHeight="1" x14ac:dyDescent="0.2">
      <c r="K445" s="17"/>
    </row>
    <row r="446" spans="1:11" ht="12.75" x14ac:dyDescent="0.2">
      <c r="K446" s="17"/>
    </row>
    <row r="447" spans="1:11" ht="12.75" x14ac:dyDescent="0.2">
      <c r="K447" s="17"/>
    </row>
    <row r="448" spans="1:11" ht="12.75" x14ac:dyDescent="0.2">
      <c r="K448" s="17"/>
    </row>
    <row r="449" spans="1:11" ht="12.75" x14ac:dyDescent="0.2">
      <c r="K449" s="17"/>
    </row>
    <row r="450" spans="1:11" ht="12.75" x14ac:dyDescent="0.2">
      <c r="K450" s="17"/>
    </row>
    <row r="451" spans="1:11" ht="12.75" x14ac:dyDescent="0.2">
      <c r="K451" s="17"/>
    </row>
    <row r="452" spans="1:11" ht="6.75" customHeight="1" x14ac:dyDescent="0.2"/>
    <row r="453" spans="1:11" s="17" customFormat="1" ht="12.75" x14ac:dyDescent="0.2">
      <c r="A453"/>
      <c r="B453"/>
      <c r="C453"/>
      <c r="D453"/>
      <c r="E453"/>
      <c r="F453"/>
      <c r="G453"/>
      <c r="H453"/>
      <c r="I453"/>
      <c r="J453"/>
    </row>
    <row r="454" spans="1:11" s="92" customFormat="1" ht="15" x14ac:dyDescent="0.2">
      <c r="A454"/>
      <c r="B454"/>
      <c r="C454"/>
      <c r="D454"/>
      <c r="E454"/>
      <c r="F454"/>
      <c r="G454"/>
      <c r="H454"/>
      <c r="I454"/>
      <c r="J454"/>
      <c r="K454" s="19"/>
    </row>
    <row r="455" spans="1:11" ht="12.75" x14ac:dyDescent="0.2"/>
    <row r="456" spans="1:11" ht="12" customHeight="1" x14ac:dyDescent="0.2"/>
    <row r="457" spans="1:11" ht="12.75" x14ac:dyDescent="0.2"/>
    <row r="458" spans="1:11" ht="12.75" x14ac:dyDescent="0.2"/>
    <row r="459" spans="1:11" ht="12.75" x14ac:dyDescent="0.2"/>
    <row r="460" spans="1:11" ht="12.75" x14ac:dyDescent="0.2">
      <c r="K460" s="57"/>
    </row>
    <row r="461" spans="1:11" ht="12.75" x14ac:dyDescent="0.2">
      <c r="K461" s="58"/>
    </row>
    <row r="462" spans="1:11" ht="12.75" x14ac:dyDescent="0.2">
      <c r="K462" s="58"/>
    </row>
    <row r="463" spans="1:11" ht="12.75" x14ac:dyDescent="0.2"/>
    <row r="464" spans="1:11" ht="12.75" x14ac:dyDescent="0.2">
      <c r="K464" s="61"/>
    </row>
    <row r="465" spans="1:11" ht="12.75" x14ac:dyDescent="0.2">
      <c r="K465" s="61"/>
    </row>
    <row r="466" spans="1:11" s="59" customFormat="1" ht="15" x14ac:dyDescent="0.25">
      <c r="A466"/>
      <c r="B466"/>
      <c r="C466"/>
      <c r="D466"/>
      <c r="E466"/>
      <c r="F466"/>
      <c r="G466"/>
      <c r="H466"/>
      <c r="I466"/>
      <c r="J466"/>
    </row>
    <row r="467" spans="1:11" s="59" customFormat="1" ht="15" x14ac:dyDescent="0.25">
      <c r="A467"/>
      <c r="B467"/>
      <c r="C467"/>
      <c r="D467"/>
      <c r="E467"/>
      <c r="F467"/>
      <c r="G467"/>
      <c r="H467"/>
      <c r="I467"/>
      <c r="J467"/>
    </row>
    <row r="468" spans="1:11" ht="12.75" x14ac:dyDescent="0.2"/>
    <row r="469" spans="1:11" ht="14.25" customHeight="1" x14ac:dyDescent="0.2">
      <c r="K469" s="68"/>
    </row>
    <row r="470" spans="1:11" ht="14.25" customHeight="1" x14ac:dyDescent="0.2">
      <c r="K470" s="68"/>
    </row>
    <row r="471" spans="1:11" ht="12.75" x14ac:dyDescent="0.2">
      <c r="K471" s="68"/>
    </row>
    <row r="472" spans="1:11" ht="14.25" customHeight="1" x14ac:dyDescent="0.2">
      <c r="K472" s="17"/>
    </row>
    <row r="473" spans="1:11" ht="12.75" x14ac:dyDescent="0.2">
      <c r="K473" s="17"/>
    </row>
    <row r="474" spans="1:11" ht="12.75" x14ac:dyDescent="0.2">
      <c r="K474" s="17"/>
    </row>
    <row r="475" spans="1:11" ht="12.75" x14ac:dyDescent="0.2">
      <c r="K475" s="17"/>
    </row>
    <row r="476" spans="1:11" ht="12.75" x14ac:dyDescent="0.2">
      <c r="K476" s="17"/>
    </row>
    <row r="477" spans="1:11" ht="12.75" x14ac:dyDescent="0.2">
      <c r="K477" s="17"/>
    </row>
    <row r="478" spans="1:11" ht="12.75" x14ac:dyDescent="0.2">
      <c r="K478" s="17"/>
    </row>
    <row r="479" spans="1:11" ht="6.75" customHeight="1" x14ac:dyDescent="0.2"/>
    <row r="480" spans="1:11" s="17" customFormat="1" ht="12.75" x14ac:dyDescent="0.2">
      <c r="A480"/>
      <c r="B480"/>
      <c r="C480"/>
      <c r="D480"/>
      <c r="E480"/>
      <c r="F480"/>
      <c r="G480"/>
      <c r="H480"/>
      <c r="I480"/>
      <c r="J480"/>
    </row>
    <row r="481" spans="1:11" s="92" customFormat="1" ht="15" x14ac:dyDescent="0.2">
      <c r="A481"/>
      <c r="B481"/>
      <c r="C481"/>
      <c r="D481"/>
      <c r="E481"/>
      <c r="F481"/>
      <c r="G481"/>
      <c r="H481"/>
      <c r="I481"/>
      <c r="J481"/>
      <c r="K481" s="19"/>
    </row>
    <row r="482" spans="1:11" ht="12.75" x14ac:dyDescent="0.2"/>
    <row r="483" spans="1:11" ht="12" customHeight="1" x14ac:dyDescent="0.2"/>
    <row r="484" spans="1:11" ht="12.75" x14ac:dyDescent="0.2"/>
    <row r="485" spans="1:11" ht="12.75" x14ac:dyDescent="0.2"/>
    <row r="486" spans="1:11" ht="12.75" x14ac:dyDescent="0.2"/>
    <row r="487" spans="1:11" ht="12.75" x14ac:dyDescent="0.2">
      <c r="K487" s="57"/>
    </row>
    <row r="488" spans="1:11" ht="12.75" x14ac:dyDescent="0.2">
      <c r="K488" s="58"/>
    </row>
    <row r="489" spans="1:11" ht="12.75" x14ac:dyDescent="0.2">
      <c r="K489" s="58"/>
    </row>
    <row r="490" spans="1:11" ht="12.75" x14ac:dyDescent="0.2"/>
    <row r="491" spans="1:11" ht="12.75" x14ac:dyDescent="0.2">
      <c r="K491" s="61"/>
    </row>
    <row r="492" spans="1:11" ht="12.75" x14ac:dyDescent="0.2">
      <c r="K492" s="61"/>
    </row>
    <row r="493" spans="1:11" s="59" customFormat="1" ht="15" x14ac:dyDescent="0.25">
      <c r="A493"/>
      <c r="B493"/>
      <c r="C493"/>
      <c r="D493"/>
      <c r="E493"/>
      <c r="F493"/>
      <c r="G493"/>
      <c r="H493"/>
      <c r="I493"/>
      <c r="J493"/>
    </row>
    <row r="494" spans="1:11" s="59" customFormat="1" ht="15" x14ac:dyDescent="0.25">
      <c r="A494"/>
      <c r="B494"/>
      <c r="C494"/>
      <c r="D494"/>
      <c r="E494"/>
      <c r="F494"/>
      <c r="G494"/>
      <c r="H494"/>
      <c r="I494"/>
      <c r="J494"/>
    </row>
    <row r="495" spans="1:11" ht="12.75" x14ac:dyDescent="0.2"/>
    <row r="496" spans="1:11" ht="14.25" customHeight="1" x14ac:dyDescent="0.2">
      <c r="K496" s="68"/>
    </row>
    <row r="497" spans="1:11" ht="14.25" customHeight="1" x14ac:dyDescent="0.2">
      <c r="K497" s="68"/>
    </row>
    <row r="498" spans="1:11" ht="12.75" x14ac:dyDescent="0.2">
      <c r="K498" s="68"/>
    </row>
    <row r="499" spans="1:11" ht="14.25" customHeight="1" x14ac:dyDescent="0.2">
      <c r="K499" s="17"/>
    </row>
    <row r="500" spans="1:11" ht="12.75" x14ac:dyDescent="0.2">
      <c r="K500" s="17"/>
    </row>
    <row r="501" spans="1:11" ht="12.75" x14ac:dyDescent="0.2">
      <c r="K501" s="17"/>
    </row>
    <row r="502" spans="1:11" ht="12.75" x14ac:dyDescent="0.2">
      <c r="K502" s="17"/>
    </row>
    <row r="503" spans="1:11" ht="12.75" x14ac:dyDescent="0.2">
      <c r="K503" s="17"/>
    </row>
    <row r="504" spans="1:11" ht="12.75" x14ac:dyDescent="0.2">
      <c r="K504" s="17"/>
    </row>
    <row r="505" spans="1:11" ht="12.75" x14ac:dyDescent="0.2">
      <c r="K505" s="17"/>
    </row>
    <row r="506" spans="1:11" ht="6.75" customHeight="1" x14ac:dyDescent="0.2"/>
    <row r="507" spans="1:11" s="17" customFormat="1" ht="12.75" x14ac:dyDescent="0.2">
      <c r="A507"/>
      <c r="B507"/>
      <c r="C507"/>
      <c r="D507"/>
      <c r="E507"/>
      <c r="F507"/>
      <c r="G507"/>
      <c r="H507"/>
      <c r="I507"/>
      <c r="J507"/>
    </row>
    <row r="508" spans="1:11" s="92" customFormat="1" ht="15" x14ac:dyDescent="0.2">
      <c r="A508"/>
      <c r="B508"/>
      <c r="C508"/>
      <c r="D508"/>
      <c r="E508"/>
      <c r="F508"/>
      <c r="G508"/>
      <c r="H508"/>
      <c r="I508"/>
      <c r="J508"/>
      <c r="K508" s="19"/>
    </row>
    <row r="509" spans="1:11" ht="12.75" x14ac:dyDescent="0.2"/>
    <row r="510" spans="1:11" ht="12" customHeight="1" x14ac:dyDescent="0.2"/>
    <row r="511" spans="1:11" ht="12.75" x14ac:dyDescent="0.2"/>
    <row r="512" spans="1:11" ht="12.75" x14ac:dyDescent="0.2"/>
    <row r="513" spans="1:11" ht="12.75" x14ac:dyDescent="0.2"/>
    <row r="514" spans="1:11" ht="12.75" x14ac:dyDescent="0.2">
      <c r="K514" s="57"/>
    </row>
    <row r="515" spans="1:11" ht="12.75" x14ac:dyDescent="0.2">
      <c r="K515" s="58"/>
    </row>
    <row r="516" spans="1:11" ht="12.75" x14ac:dyDescent="0.2">
      <c r="K516" s="58"/>
    </row>
    <row r="517" spans="1:11" ht="12.75" x14ac:dyDescent="0.2"/>
    <row r="518" spans="1:11" ht="12.75" x14ac:dyDescent="0.2">
      <c r="K518" s="61"/>
    </row>
    <row r="519" spans="1:11" ht="12.75" x14ac:dyDescent="0.2">
      <c r="K519" s="61"/>
    </row>
    <row r="520" spans="1:11" s="59" customFormat="1" ht="15" x14ac:dyDescent="0.25">
      <c r="A520"/>
      <c r="B520"/>
      <c r="C520"/>
      <c r="D520"/>
      <c r="E520"/>
      <c r="F520"/>
      <c r="G520"/>
      <c r="H520"/>
      <c r="I520"/>
      <c r="J520"/>
    </row>
    <row r="521" spans="1:11" s="59" customFormat="1" ht="15" x14ac:dyDescent="0.25">
      <c r="A521"/>
      <c r="B521"/>
      <c r="C521"/>
      <c r="D521"/>
      <c r="E521"/>
      <c r="F521"/>
      <c r="G521"/>
      <c r="H521"/>
      <c r="I521"/>
      <c r="J521"/>
    </row>
    <row r="522" spans="1:11" ht="12.75" x14ac:dyDescent="0.2"/>
    <row r="523" spans="1:11" ht="14.25" customHeight="1" x14ac:dyDescent="0.2">
      <c r="K523" s="68"/>
    </row>
    <row r="524" spans="1:11" ht="14.25" customHeight="1" x14ac:dyDescent="0.2">
      <c r="K524" s="68"/>
    </row>
    <row r="525" spans="1:11" ht="12.75" x14ac:dyDescent="0.2">
      <c r="K525" s="68"/>
    </row>
    <row r="526" spans="1:11" ht="14.25" customHeight="1" x14ac:dyDescent="0.2">
      <c r="K526" s="17"/>
    </row>
    <row r="527" spans="1:11" ht="12.75" x14ac:dyDescent="0.2">
      <c r="K527" s="17"/>
    </row>
    <row r="528" spans="1:11" ht="12.75" x14ac:dyDescent="0.2">
      <c r="K528" s="17"/>
    </row>
    <row r="529" spans="1:11" ht="12.75" x14ac:dyDescent="0.2">
      <c r="K529" s="17"/>
    </row>
    <row r="530" spans="1:11" ht="12.75" x14ac:dyDescent="0.2">
      <c r="K530" s="17"/>
    </row>
    <row r="531" spans="1:11" ht="12.75" x14ac:dyDescent="0.2">
      <c r="K531" s="17"/>
    </row>
    <row r="532" spans="1:11" ht="12.75" x14ac:dyDescent="0.2">
      <c r="K532" s="17"/>
    </row>
    <row r="533" spans="1:11" ht="6.75" customHeight="1" x14ac:dyDescent="0.2"/>
    <row r="534" spans="1:11" s="17" customFormat="1" ht="12.75" x14ac:dyDescent="0.2">
      <c r="A534"/>
      <c r="B534"/>
      <c r="C534"/>
      <c r="D534"/>
      <c r="E534"/>
      <c r="F534"/>
      <c r="G534"/>
      <c r="H534"/>
      <c r="I534"/>
      <c r="J534"/>
    </row>
    <row r="535" spans="1:11" s="92" customFormat="1" ht="15" x14ac:dyDescent="0.2">
      <c r="A535"/>
      <c r="B535"/>
      <c r="C535"/>
      <c r="D535"/>
      <c r="E535"/>
      <c r="F535"/>
      <c r="G535"/>
      <c r="H535"/>
      <c r="I535"/>
      <c r="J535"/>
      <c r="K535" s="19"/>
    </row>
    <row r="536" spans="1:11" ht="12.75" x14ac:dyDescent="0.2"/>
    <row r="537" spans="1:11" ht="12" customHeight="1" x14ac:dyDescent="0.2"/>
    <row r="538" spans="1:11" ht="12.75" x14ac:dyDescent="0.2"/>
    <row r="539" spans="1:11" ht="12.75" x14ac:dyDescent="0.2"/>
    <row r="540" spans="1:11" ht="12.75" x14ac:dyDescent="0.2"/>
    <row r="541" spans="1:11" ht="12.75" x14ac:dyDescent="0.2">
      <c r="K541" s="57"/>
    </row>
    <row r="542" spans="1:11" ht="12.75" x14ac:dyDescent="0.2">
      <c r="K542" s="58"/>
    </row>
    <row r="543" spans="1:11" ht="12.75" x14ac:dyDescent="0.2">
      <c r="K543" s="58"/>
    </row>
    <row r="544" spans="1:11" ht="12.75" x14ac:dyDescent="0.2"/>
    <row r="545" spans="1:11" ht="12.75" x14ac:dyDescent="0.2">
      <c r="K545" s="61"/>
    </row>
    <row r="546" spans="1:11" ht="12.75" x14ac:dyDescent="0.2">
      <c r="K546" s="61"/>
    </row>
    <row r="547" spans="1:11" s="59" customFormat="1" ht="15" x14ac:dyDescent="0.25">
      <c r="A547"/>
      <c r="B547"/>
      <c r="C547"/>
      <c r="D547"/>
      <c r="E547"/>
      <c r="F547"/>
      <c r="G547"/>
      <c r="H547"/>
      <c r="I547"/>
      <c r="J547"/>
    </row>
    <row r="548" spans="1:11" s="59" customFormat="1" ht="15" x14ac:dyDescent="0.25">
      <c r="A548"/>
      <c r="B548"/>
      <c r="C548"/>
      <c r="D548"/>
      <c r="E548"/>
      <c r="F548"/>
      <c r="G548"/>
      <c r="H548"/>
      <c r="I548"/>
      <c r="J548"/>
    </row>
    <row r="549" spans="1:11" ht="12.75" x14ac:dyDescent="0.2"/>
    <row r="550" spans="1:11" ht="14.25" customHeight="1" x14ac:dyDescent="0.2">
      <c r="K550" s="68"/>
    </row>
    <row r="551" spans="1:11" ht="14.25" customHeight="1" x14ac:dyDescent="0.2">
      <c r="K551" s="68"/>
    </row>
    <row r="552" spans="1:11" ht="12.75" x14ac:dyDescent="0.2">
      <c r="K552" s="68"/>
    </row>
    <row r="553" spans="1:11" ht="14.25" customHeight="1" x14ac:dyDescent="0.2">
      <c r="K553" s="17"/>
    </row>
    <row r="554" spans="1:11" ht="12.75" x14ac:dyDescent="0.2">
      <c r="K554" s="17"/>
    </row>
    <row r="555" spans="1:11" ht="12.75" x14ac:dyDescent="0.2">
      <c r="K555" s="17"/>
    </row>
    <row r="556" spans="1:11" ht="12.75" x14ac:dyDescent="0.2">
      <c r="K556" s="17"/>
    </row>
    <row r="557" spans="1:11" ht="12.75" x14ac:dyDescent="0.2">
      <c r="K557" s="17"/>
    </row>
    <row r="558" spans="1:11" ht="12.75" x14ac:dyDescent="0.2">
      <c r="K558" s="17"/>
    </row>
    <row r="559" spans="1:11" ht="12.75" x14ac:dyDescent="0.2">
      <c r="K559" s="17"/>
    </row>
    <row r="560" spans="1:11" ht="6.75" customHeight="1" x14ac:dyDescent="0.2"/>
    <row r="561" spans="1:11" s="17" customFormat="1" ht="12.75" x14ac:dyDescent="0.2">
      <c r="A561"/>
      <c r="B561"/>
      <c r="C561"/>
      <c r="D561"/>
      <c r="E561"/>
      <c r="F561"/>
      <c r="G561"/>
      <c r="H561"/>
      <c r="I561"/>
      <c r="J561"/>
    </row>
    <row r="562" spans="1:11" s="92" customFormat="1" ht="15" x14ac:dyDescent="0.2">
      <c r="A562"/>
      <c r="B562"/>
      <c r="C562"/>
      <c r="D562"/>
      <c r="E562"/>
      <c r="F562"/>
      <c r="G562"/>
      <c r="H562"/>
      <c r="I562"/>
      <c r="J562"/>
      <c r="K562" s="19"/>
    </row>
    <row r="563" spans="1:11" ht="12.75" x14ac:dyDescent="0.2"/>
    <row r="564" spans="1:11" ht="12" customHeight="1" x14ac:dyDescent="0.2"/>
    <row r="565" spans="1:11" ht="12.75" x14ac:dyDescent="0.2"/>
    <row r="566" spans="1:11" ht="12.75" x14ac:dyDescent="0.2"/>
    <row r="567" spans="1:11" ht="12.75" x14ac:dyDescent="0.2"/>
    <row r="568" spans="1:11" ht="12.75" x14ac:dyDescent="0.2">
      <c r="K568" s="57"/>
    </row>
    <row r="569" spans="1:11" ht="12.75" x14ac:dyDescent="0.2">
      <c r="K569" s="58"/>
    </row>
    <row r="570" spans="1:11" ht="12.75" x14ac:dyDescent="0.2">
      <c r="K570" s="58"/>
    </row>
    <row r="571" spans="1:11" ht="12.75" x14ac:dyDescent="0.2"/>
    <row r="572" spans="1:11" ht="12.75" x14ac:dyDescent="0.2">
      <c r="K572" s="61"/>
    </row>
    <row r="573" spans="1:11" ht="12.75" x14ac:dyDescent="0.2">
      <c r="K573" s="61"/>
    </row>
    <row r="574" spans="1:11" s="59" customFormat="1" ht="15" x14ac:dyDescent="0.25">
      <c r="A574"/>
      <c r="B574"/>
      <c r="C574"/>
      <c r="D574"/>
      <c r="E574"/>
      <c r="F574"/>
      <c r="G574"/>
      <c r="H574"/>
      <c r="I574"/>
      <c r="J574"/>
    </row>
    <row r="575" spans="1:11" s="59" customFormat="1" ht="15" x14ac:dyDescent="0.25">
      <c r="A575"/>
      <c r="B575"/>
      <c r="C575"/>
      <c r="D575"/>
      <c r="E575"/>
      <c r="F575"/>
      <c r="G575"/>
      <c r="H575"/>
      <c r="I575"/>
      <c r="J575"/>
    </row>
    <row r="576" spans="1:11" ht="12.75" x14ac:dyDescent="0.2"/>
    <row r="577" spans="1:11" ht="14.25" customHeight="1" x14ac:dyDescent="0.2">
      <c r="K577" s="68"/>
    </row>
    <row r="578" spans="1:11" ht="14.25" customHeight="1" x14ac:dyDescent="0.2">
      <c r="K578" s="68"/>
    </row>
    <row r="579" spans="1:11" ht="12.75" x14ac:dyDescent="0.2">
      <c r="K579" s="68"/>
    </row>
    <row r="580" spans="1:11" ht="14.25" customHeight="1" x14ac:dyDescent="0.2">
      <c r="K580" s="17"/>
    </row>
    <row r="581" spans="1:11" ht="12.75" x14ac:dyDescent="0.2">
      <c r="K581" s="17"/>
    </row>
    <row r="582" spans="1:11" ht="12.75" x14ac:dyDescent="0.2">
      <c r="K582" s="17"/>
    </row>
    <row r="583" spans="1:11" ht="12.75" x14ac:dyDescent="0.2">
      <c r="K583" s="17"/>
    </row>
    <row r="584" spans="1:11" ht="12.75" x14ac:dyDescent="0.2">
      <c r="K584" s="17"/>
    </row>
    <row r="585" spans="1:11" ht="12.75" x14ac:dyDescent="0.2">
      <c r="K585" s="17"/>
    </row>
    <row r="586" spans="1:11" ht="12.75" x14ac:dyDescent="0.2">
      <c r="K586" s="17"/>
    </row>
    <row r="587" spans="1:11" ht="6.75" customHeight="1" x14ac:dyDescent="0.2"/>
    <row r="588" spans="1:11" s="17" customFormat="1" ht="12.75" x14ac:dyDescent="0.2">
      <c r="A588"/>
      <c r="B588"/>
      <c r="C588"/>
      <c r="D588"/>
      <c r="E588"/>
      <c r="F588"/>
      <c r="G588"/>
      <c r="H588"/>
      <c r="I588"/>
      <c r="J588"/>
    </row>
    <row r="589" spans="1:11" s="92" customFormat="1" ht="15" x14ac:dyDescent="0.2">
      <c r="A589"/>
      <c r="B589"/>
      <c r="C589"/>
      <c r="D589"/>
      <c r="E589"/>
      <c r="F589"/>
      <c r="G589"/>
      <c r="H589"/>
      <c r="I589"/>
      <c r="J589"/>
      <c r="K589" s="19"/>
    </row>
    <row r="590" spans="1:11" ht="12.75" x14ac:dyDescent="0.2"/>
    <row r="591" spans="1:11" ht="12" customHeight="1" x14ac:dyDescent="0.2"/>
    <row r="592" spans="1:11" ht="12.75" x14ac:dyDescent="0.2"/>
    <row r="593" spans="1:11" ht="12.75" x14ac:dyDescent="0.2"/>
    <row r="594" spans="1:11" ht="12.75" x14ac:dyDescent="0.2"/>
    <row r="595" spans="1:11" ht="12.75" x14ac:dyDescent="0.2">
      <c r="K595" s="57"/>
    </row>
    <row r="596" spans="1:11" ht="12.75" x14ac:dyDescent="0.2">
      <c r="K596" s="58"/>
    </row>
    <row r="597" spans="1:11" ht="12.75" x14ac:dyDescent="0.2">
      <c r="K597" s="58"/>
    </row>
    <row r="598" spans="1:11" ht="12.75" x14ac:dyDescent="0.2"/>
    <row r="599" spans="1:11" ht="12.75" x14ac:dyDescent="0.2">
      <c r="K599" s="61"/>
    </row>
    <row r="600" spans="1:11" ht="12.75" x14ac:dyDescent="0.2">
      <c r="K600" s="61"/>
    </row>
    <row r="601" spans="1:11" s="59" customFormat="1" ht="15" x14ac:dyDescent="0.25">
      <c r="A601"/>
      <c r="B601"/>
      <c r="C601"/>
      <c r="D601"/>
      <c r="E601"/>
      <c r="F601"/>
      <c r="G601"/>
      <c r="H601"/>
      <c r="I601"/>
      <c r="J601"/>
    </row>
    <row r="602" spans="1:11" s="59" customFormat="1" ht="15" x14ac:dyDescent="0.25">
      <c r="A602"/>
      <c r="B602"/>
      <c r="C602"/>
      <c r="D602"/>
      <c r="E602"/>
      <c r="F602"/>
      <c r="G602"/>
      <c r="H602"/>
      <c r="I602"/>
      <c r="J602"/>
    </row>
    <row r="603" spans="1:11" ht="12.75" x14ac:dyDescent="0.2"/>
    <row r="604" spans="1:11" ht="14.25" customHeight="1" x14ac:dyDescent="0.2">
      <c r="K604" s="68"/>
    </row>
    <row r="605" spans="1:11" ht="14.25" customHeight="1" x14ac:dyDescent="0.2">
      <c r="K605" s="68"/>
    </row>
    <row r="606" spans="1:11" ht="12.75" x14ac:dyDescent="0.2">
      <c r="K606" s="68"/>
    </row>
    <row r="607" spans="1:11" ht="14.25" customHeight="1" x14ac:dyDescent="0.2">
      <c r="K607" s="17"/>
    </row>
    <row r="608" spans="1:11" ht="12.75" x14ac:dyDescent="0.2">
      <c r="K608" s="17"/>
    </row>
    <row r="609" spans="1:11" ht="12.75" x14ac:dyDescent="0.2">
      <c r="K609" s="17"/>
    </row>
    <row r="610" spans="1:11" ht="12.75" x14ac:dyDescent="0.2">
      <c r="K610" s="17"/>
    </row>
    <row r="611" spans="1:11" ht="12.75" x14ac:dyDescent="0.2">
      <c r="K611" s="17"/>
    </row>
    <row r="612" spans="1:11" ht="12.75" x14ac:dyDescent="0.2">
      <c r="K612" s="17"/>
    </row>
    <row r="613" spans="1:11" ht="12.75" x14ac:dyDescent="0.2">
      <c r="K613" s="17"/>
    </row>
    <row r="614" spans="1:11" ht="6.75" customHeight="1" x14ac:dyDescent="0.2"/>
    <row r="615" spans="1:11" s="17" customFormat="1" ht="12.75" x14ac:dyDescent="0.2">
      <c r="A615"/>
      <c r="B615"/>
      <c r="C615"/>
      <c r="D615"/>
      <c r="E615"/>
      <c r="F615"/>
      <c r="G615"/>
      <c r="H615"/>
      <c r="I615"/>
      <c r="J615"/>
    </row>
    <row r="616" spans="1:11" s="92" customFormat="1" ht="15" x14ac:dyDescent="0.2">
      <c r="A616"/>
      <c r="B616"/>
      <c r="C616"/>
      <c r="D616"/>
      <c r="E616"/>
      <c r="F616"/>
      <c r="G616"/>
      <c r="H616"/>
      <c r="I616"/>
      <c r="J616"/>
      <c r="K616" s="19"/>
    </row>
    <row r="617" spans="1:11" ht="12.75" x14ac:dyDescent="0.2"/>
    <row r="618" spans="1:11" ht="12" customHeight="1" x14ac:dyDescent="0.2"/>
    <row r="619" spans="1:11" ht="12.75" x14ac:dyDescent="0.2"/>
    <row r="620" spans="1:11" ht="12.75" x14ac:dyDescent="0.2"/>
    <row r="621" spans="1:11" ht="12.75" x14ac:dyDescent="0.2"/>
    <row r="622" spans="1:11" ht="12.75" x14ac:dyDescent="0.2">
      <c r="K622" s="57"/>
    </row>
    <row r="623" spans="1:11" ht="12.75" x14ac:dyDescent="0.2">
      <c r="K623" s="58"/>
    </row>
    <row r="624" spans="1:11" ht="12.75" x14ac:dyDescent="0.2">
      <c r="K624" s="58"/>
    </row>
    <row r="625" spans="1:11" ht="12.75" x14ac:dyDescent="0.2"/>
    <row r="626" spans="1:11" ht="12.75" x14ac:dyDescent="0.2">
      <c r="K626" s="61"/>
    </row>
    <row r="627" spans="1:11" ht="12.75" x14ac:dyDescent="0.2">
      <c r="K627" s="61"/>
    </row>
    <row r="628" spans="1:11" s="59" customFormat="1" ht="15" x14ac:dyDescent="0.25">
      <c r="A628"/>
      <c r="B628"/>
      <c r="C628"/>
      <c r="D628"/>
      <c r="E628"/>
      <c r="F628"/>
      <c r="G628"/>
      <c r="H628"/>
      <c r="I628"/>
      <c r="J628"/>
    </row>
    <row r="629" spans="1:11" s="59" customFormat="1" ht="15" x14ac:dyDescent="0.25">
      <c r="A629"/>
      <c r="B629"/>
      <c r="C629"/>
      <c r="D629"/>
      <c r="E629"/>
      <c r="F629"/>
      <c r="G629"/>
      <c r="H629"/>
      <c r="I629"/>
      <c r="J629"/>
    </row>
    <row r="630" spans="1:11" ht="12.75" x14ac:dyDescent="0.2"/>
    <row r="631" spans="1:11" ht="14.25" customHeight="1" x14ac:dyDescent="0.2">
      <c r="K631" s="68"/>
    </row>
    <row r="632" spans="1:11" ht="14.25" customHeight="1" x14ac:dyDescent="0.2">
      <c r="K632" s="68"/>
    </row>
    <row r="633" spans="1:11" ht="12.75" x14ac:dyDescent="0.2">
      <c r="K633" s="68"/>
    </row>
    <row r="634" spans="1:11" ht="14.25" customHeight="1" x14ac:dyDescent="0.2">
      <c r="K634" s="17"/>
    </row>
    <row r="635" spans="1:11" ht="12.75" x14ac:dyDescent="0.2">
      <c r="K635" s="17"/>
    </row>
    <row r="636" spans="1:11" ht="12.75" x14ac:dyDescent="0.2">
      <c r="K636" s="17"/>
    </row>
    <row r="637" spans="1:11" ht="12.75" x14ac:dyDescent="0.2">
      <c r="K637" s="17"/>
    </row>
    <row r="638" spans="1:11" ht="12.75" x14ac:dyDescent="0.2">
      <c r="K638" s="17"/>
    </row>
    <row r="639" spans="1:11" ht="12.75" x14ac:dyDescent="0.2">
      <c r="K639" s="17"/>
    </row>
    <row r="640" spans="1:11" ht="12.75" x14ac:dyDescent="0.2">
      <c r="K640" s="17"/>
    </row>
    <row r="641" spans="1:11" ht="6.75" customHeight="1" x14ac:dyDescent="0.2"/>
    <row r="642" spans="1:11" s="17" customFormat="1" ht="12.75" x14ac:dyDescent="0.2">
      <c r="A642"/>
      <c r="B642"/>
      <c r="C642"/>
      <c r="D642"/>
      <c r="E642"/>
      <c r="F642"/>
      <c r="G642"/>
      <c r="H642"/>
      <c r="I642"/>
      <c r="J642"/>
    </row>
    <row r="643" spans="1:11" s="92" customFormat="1" ht="15" x14ac:dyDescent="0.2">
      <c r="A643"/>
      <c r="B643"/>
      <c r="C643"/>
      <c r="D643"/>
      <c r="E643"/>
      <c r="F643"/>
      <c r="G643"/>
      <c r="H643"/>
      <c r="I643"/>
      <c r="J643"/>
      <c r="K643" s="19"/>
    </row>
    <row r="644" spans="1:11" ht="12.75" x14ac:dyDescent="0.2"/>
    <row r="645" spans="1:11" ht="12" customHeight="1" x14ac:dyDescent="0.2"/>
    <row r="646" spans="1:11" ht="12.75" x14ac:dyDescent="0.2"/>
    <row r="647" spans="1:11" ht="12.75" x14ac:dyDescent="0.2"/>
    <row r="648" spans="1:11" ht="12.75" x14ac:dyDescent="0.2"/>
    <row r="649" spans="1:11" ht="12.75" x14ac:dyDescent="0.2">
      <c r="K649" s="57"/>
    </row>
    <row r="650" spans="1:11" ht="12.75" x14ac:dyDescent="0.2">
      <c r="K650" s="58"/>
    </row>
    <row r="651" spans="1:11" ht="12.75" x14ac:dyDescent="0.2">
      <c r="K651" s="58"/>
    </row>
    <row r="652" spans="1:11" ht="12.75" x14ac:dyDescent="0.2"/>
    <row r="653" spans="1:11" ht="12.75" x14ac:dyDescent="0.2">
      <c r="K653" s="61"/>
    </row>
    <row r="654" spans="1:11" ht="12.75" x14ac:dyDescent="0.2">
      <c r="K654" s="61"/>
    </row>
    <row r="655" spans="1:11" s="59" customFormat="1" ht="15" x14ac:dyDescent="0.25">
      <c r="A655"/>
      <c r="B655"/>
      <c r="C655"/>
      <c r="D655"/>
      <c r="E655"/>
      <c r="F655"/>
      <c r="G655"/>
      <c r="H655"/>
      <c r="I655"/>
      <c r="J655"/>
    </row>
    <row r="656" spans="1:11" s="59" customFormat="1" ht="15" x14ac:dyDescent="0.25">
      <c r="A656"/>
      <c r="B656"/>
      <c r="C656"/>
      <c r="D656"/>
      <c r="E656"/>
      <c r="F656"/>
      <c r="G656"/>
      <c r="H656"/>
      <c r="I656"/>
      <c r="J656"/>
    </row>
    <row r="657" spans="1:11" ht="12.75" x14ac:dyDescent="0.2"/>
    <row r="658" spans="1:11" ht="14.25" customHeight="1" x14ac:dyDescent="0.2">
      <c r="K658" s="68"/>
    </row>
    <row r="659" spans="1:11" ht="14.25" customHeight="1" x14ac:dyDescent="0.2">
      <c r="K659" s="68"/>
    </row>
    <row r="660" spans="1:11" ht="12.75" x14ac:dyDescent="0.2">
      <c r="K660" s="68"/>
    </row>
    <row r="661" spans="1:11" ht="14.25" customHeight="1" x14ac:dyDescent="0.2">
      <c r="K661" s="17"/>
    </row>
    <row r="662" spans="1:11" ht="12.75" x14ac:dyDescent="0.2">
      <c r="K662" s="17"/>
    </row>
    <row r="663" spans="1:11" ht="12.75" x14ac:dyDescent="0.2">
      <c r="K663" s="17"/>
    </row>
    <row r="664" spans="1:11" ht="12.75" x14ac:dyDescent="0.2">
      <c r="K664" s="17"/>
    </row>
    <row r="665" spans="1:11" ht="12.75" x14ac:dyDescent="0.2">
      <c r="K665" s="17"/>
    </row>
    <row r="666" spans="1:11" ht="12.75" x14ac:dyDescent="0.2">
      <c r="K666" s="17"/>
    </row>
    <row r="667" spans="1:11" ht="12.75" x14ac:dyDescent="0.2">
      <c r="K667" s="17"/>
    </row>
    <row r="668" spans="1:11" ht="6.75" customHeight="1" x14ac:dyDescent="0.2"/>
    <row r="669" spans="1:11" s="17" customFormat="1" ht="12.75" x14ac:dyDescent="0.2">
      <c r="A669"/>
      <c r="B669"/>
      <c r="C669"/>
      <c r="D669"/>
      <c r="E669"/>
      <c r="F669"/>
      <c r="G669"/>
      <c r="H669"/>
      <c r="I669"/>
      <c r="J669"/>
    </row>
    <row r="670" spans="1:11" s="92" customFormat="1" ht="15" x14ac:dyDescent="0.2">
      <c r="A670"/>
      <c r="B670"/>
      <c r="C670"/>
      <c r="D670"/>
      <c r="E670"/>
      <c r="F670"/>
      <c r="G670"/>
      <c r="H670"/>
      <c r="I670"/>
      <c r="J670"/>
      <c r="K670" s="19"/>
    </row>
    <row r="671" spans="1:11" ht="12.75" x14ac:dyDescent="0.2"/>
    <row r="672" spans="1:11" ht="12" customHeight="1" x14ac:dyDescent="0.2"/>
    <row r="673" spans="1:11" ht="12.75" x14ac:dyDescent="0.2"/>
    <row r="674" spans="1:11" ht="12.75" x14ac:dyDescent="0.2"/>
    <row r="675" spans="1:11" ht="12.75" x14ac:dyDescent="0.2"/>
    <row r="676" spans="1:11" ht="12.75" x14ac:dyDescent="0.2">
      <c r="K676" s="57"/>
    </row>
    <row r="677" spans="1:11" ht="12.75" x14ac:dyDescent="0.2">
      <c r="K677" s="58"/>
    </row>
    <row r="678" spans="1:11" ht="12.75" x14ac:dyDescent="0.2">
      <c r="K678" s="58"/>
    </row>
    <row r="679" spans="1:11" ht="12.75" x14ac:dyDescent="0.2"/>
    <row r="680" spans="1:11" ht="12.75" x14ac:dyDescent="0.2">
      <c r="K680" s="61"/>
    </row>
    <row r="681" spans="1:11" ht="12.75" x14ac:dyDescent="0.2">
      <c r="K681" s="61"/>
    </row>
    <row r="682" spans="1:11" s="59" customFormat="1" ht="15" x14ac:dyDescent="0.25">
      <c r="A682"/>
      <c r="B682"/>
      <c r="C682"/>
      <c r="D682"/>
      <c r="E682"/>
      <c r="F682"/>
      <c r="G682"/>
      <c r="H682"/>
      <c r="I682"/>
      <c r="J682"/>
    </row>
    <row r="683" spans="1:11" s="59" customFormat="1" ht="15" x14ac:dyDescent="0.25">
      <c r="A683"/>
      <c r="B683"/>
      <c r="C683"/>
      <c r="D683"/>
      <c r="E683"/>
      <c r="F683"/>
      <c r="G683"/>
      <c r="H683"/>
      <c r="I683"/>
      <c r="J683"/>
    </row>
    <row r="684" spans="1:11" ht="12.75" x14ac:dyDescent="0.2"/>
    <row r="685" spans="1:11" ht="14.25" customHeight="1" x14ac:dyDescent="0.2">
      <c r="K685" s="68"/>
    </row>
    <row r="686" spans="1:11" ht="14.25" customHeight="1" x14ac:dyDescent="0.2">
      <c r="K686" s="68"/>
    </row>
    <row r="687" spans="1:11" ht="12.75" x14ac:dyDescent="0.2">
      <c r="K687" s="68"/>
    </row>
    <row r="688" spans="1:11" ht="14.25" customHeight="1" x14ac:dyDescent="0.2">
      <c r="K688" s="17"/>
    </row>
    <row r="689" spans="1:11" ht="12.75" x14ac:dyDescent="0.2">
      <c r="K689" s="17"/>
    </row>
    <row r="690" spans="1:11" ht="12.75" x14ac:dyDescent="0.2">
      <c r="K690" s="17"/>
    </row>
    <row r="691" spans="1:11" ht="12.75" x14ac:dyDescent="0.2">
      <c r="K691" s="17"/>
    </row>
    <row r="692" spans="1:11" ht="12.75" x14ac:dyDescent="0.2">
      <c r="K692" s="17"/>
    </row>
    <row r="693" spans="1:11" ht="12.75" x14ac:dyDescent="0.2">
      <c r="K693" s="17"/>
    </row>
    <row r="694" spans="1:11" ht="12.75" x14ac:dyDescent="0.2">
      <c r="K694" s="17"/>
    </row>
    <row r="695" spans="1:11" ht="6.75" customHeight="1" x14ac:dyDescent="0.2"/>
    <row r="696" spans="1:11" s="17" customFormat="1" ht="12.75" x14ac:dyDescent="0.2">
      <c r="A696"/>
      <c r="B696"/>
      <c r="C696"/>
      <c r="D696"/>
      <c r="E696"/>
      <c r="F696"/>
      <c r="G696"/>
      <c r="H696"/>
      <c r="I696"/>
      <c r="J696"/>
    </row>
    <row r="697" spans="1:11" s="92" customFormat="1" ht="15" x14ac:dyDescent="0.2">
      <c r="A697"/>
      <c r="B697"/>
      <c r="C697"/>
      <c r="D697"/>
      <c r="E697"/>
      <c r="F697"/>
      <c r="G697"/>
      <c r="H697"/>
      <c r="I697"/>
      <c r="J697"/>
      <c r="K697" s="19"/>
    </row>
    <row r="698" spans="1:11" ht="12.75" x14ac:dyDescent="0.2"/>
    <row r="699" spans="1:11" ht="12" customHeight="1" x14ac:dyDescent="0.2"/>
    <row r="700" spans="1:11" ht="12.75" x14ac:dyDescent="0.2"/>
    <row r="701" spans="1:11" ht="12.75" x14ac:dyDescent="0.2"/>
    <row r="702" spans="1:11" ht="12.75" x14ac:dyDescent="0.2"/>
    <row r="703" spans="1:11" ht="12.75" x14ac:dyDescent="0.2">
      <c r="K703" s="57"/>
    </row>
    <row r="704" spans="1:11" ht="12.75" x14ac:dyDescent="0.2">
      <c r="K704" s="58"/>
    </row>
    <row r="705" spans="1:11" ht="12.75" x14ac:dyDescent="0.2">
      <c r="K705" s="58"/>
    </row>
    <row r="706" spans="1:11" ht="12.75" x14ac:dyDescent="0.2"/>
    <row r="707" spans="1:11" ht="12.75" x14ac:dyDescent="0.2">
      <c r="K707" s="61"/>
    </row>
    <row r="708" spans="1:11" ht="12.75" x14ac:dyDescent="0.2">
      <c r="K708" s="61"/>
    </row>
    <row r="709" spans="1:11" s="59" customFormat="1" ht="15" x14ac:dyDescent="0.25">
      <c r="A709"/>
      <c r="B709"/>
      <c r="C709"/>
      <c r="D709"/>
      <c r="E709"/>
      <c r="F709"/>
      <c r="G709"/>
      <c r="H709"/>
      <c r="I709"/>
      <c r="J709"/>
    </row>
    <row r="710" spans="1:11" s="59" customFormat="1" ht="15" x14ac:dyDescent="0.25">
      <c r="A710"/>
      <c r="B710"/>
      <c r="C710"/>
      <c r="D710"/>
      <c r="E710"/>
      <c r="F710"/>
      <c r="G710"/>
      <c r="H710"/>
      <c r="I710"/>
      <c r="J710"/>
    </row>
    <row r="711" spans="1:11" ht="12.75" x14ac:dyDescent="0.2"/>
    <row r="712" spans="1:11" ht="14.25" customHeight="1" x14ac:dyDescent="0.2">
      <c r="K712" s="68"/>
    </row>
    <row r="713" spans="1:11" ht="14.25" customHeight="1" x14ac:dyDescent="0.2">
      <c r="K713" s="68"/>
    </row>
    <row r="714" spans="1:11" ht="12.75" x14ac:dyDescent="0.2">
      <c r="K714" s="68"/>
    </row>
    <row r="715" spans="1:11" ht="14.25" customHeight="1" x14ac:dyDescent="0.2">
      <c r="K715" s="17"/>
    </row>
    <row r="716" spans="1:11" ht="12.75" x14ac:dyDescent="0.2">
      <c r="K716" s="17"/>
    </row>
    <row r="717" spans="1:11" ht="12.75" x14ac:dyDescent="0.2">
      <c r="K717" s="17"/>
    </row>
    <row r="718" spans="1:11" ht="12.75" x14ac:dyDescent="0.2">
      <c r="K718" s="17"/>
    </row>
    <row r="719" spans="1:11" ht="12.75" x14ac:dyDescent="0.2">
      <c r="K719" s="17"/>
    </row>
    <row r="720" spans="1:11" ht="12.75" x14ac:dyDescent="0.2">
      <c r="K720" s="17"/>
    </row>
    <row r="721" spans="1:11" ht="12.75" x14ac:dyDescent="0.2">
      <c r="K721" s="17"/>
    </row>
    <row r="722" spans="1:11" ht="6.75" customHeight="1" x14ac:dyDescent="0.2"/>
    <row r="723" spans="1:11" s="17" customFormat="1" ht="12.75" x14ac:dyDescent="0.2">
      <c r="A723"/>
      <c r="B723"/>
      <c r="C723"/>
      <c r="D723"/>
      <c r="E723"/>
      <c r="F723"/>
      <c r="G723"/>
      <c r="H723"/>
      <c r="I723"/>
      <c r="J723"/>
    </row>
    <row r="724" spans="1:11" s="92" customFormat="1" ht="15" x14ac:dyDescent="0.2">
      <c r="A724"/>
      <c r="B724"/>
      <c r="C724"/>
      <c r="D724"/>
      <c r="E724"/>
      <c r="F724"/>
      <c r="G724"/>
      <c r="H724"/>
      <c r="I724"/>
      <c r="J724"/>
      <c r="K724" s="19"/>
    </row>
    <row r="725" spans="1:11" ht="12.75" x14ac:dyDescent="0.2"/>
    <row r="726" spans="1:11" ht="12" customHeight="1" x14ac:dyDescent="0.2"/>
    <row r="727" spans="1:11" ht="12.75" x14ac:dyDescent="0.2"/>
    <row r="728" spans="1:11" ht="12.75" x14ac:dyDescent="0.2"/>
    <row r="729" spans="1:11" ht="12.75" x14ac:dyDescent="0.2"/>
    <row r="730" spans="1:11" ht="12.75" x14ac:dyDescent="0.2">
      <c r="K730" s="57"/>
    </row>
    <row r="731" spans="1:11" ht="12.75" x14ac:dyDescent="0.2">
      <c r="K731" s="58"/>
    </row>
    <row r="732" spans="1:11" ht="12.75" x14ac:dyDescent="0.2">
      <c r="K732" s="58"/>
    </row>
    <row r="733" spans="1:11" ht="12.75" x14ac:dyDescent="0.2"/>
    <row r="734" spans="1:11" ht="12.75" x14ac:dyDescent="0.2">
      <c r="K734" s="61"/>
    </row>
    <row r="735" spans="1:11" ht="12.75" x14ac:dyDescent="0.2">
      <c r="K735" s="61"/>
    </row>
    <row r="736" spans="1:11" s="59" customFormat="1" ht="15" x14ac:dyDescent="0.25">
      <c r="A736"/>
      <c r="B736"/>
      <c r="C736"/>
      <c r="D736"/>
      <c r="E736"/>
      <c r="F736"/>
      <c r="G736"/>
      <c r="H736"/>
      <c r="I736"/>
      <c r="J736"/>
    </row>
    <row r="737" spans="1:11" s="59" customFormat="1" ht="15" x14ac:dyDescent="0.25">
      <c r="A737"/>
      <c r="B737"/>
      <c r="C737"/>
      <c r="D737"/>
      <c r="E737"/>
      <c r="F737"/>
      <c r="G737"/>
      <c r="H737"/>
      <c r="I737"/>
      <c r="J737"/>
    </row>
    <row r="738" spans="1:11" ht="12.75" x14ac:dyDescent="0.2"/>
    <row r="739" spans="1:11" ht="14.25" customHeight="1" x14ac:dyDescent="0.2">
      <c r="K739" s="68"/>
    </row>
    <row r="740" spans="1:11" ht="14.25" customHeight="1" x14ac:dyDescent="0.2">
      <c r="K740" s="68"/>
    </row>
    <row r="741" spans="1:11" ht="12.75" x14ac:dyDescent="0.2">
      <c r="K741" s="68"/>
    </row>
    <row r="742" spans="1:11" ht="14.25" customHeight="1" x14ac:dyDescent="0.2">
      <c r="K742" s="17"/>
    </row>
    <row r="743" spans="1:11" ht="12.75" x14ac:dyDescent="0.2">
      <c r="K743" s="17"/>
    </row>
    <row r="744" spans="1:11" ht="12.75" x14ac:dyDescent="0.2">
      <c r="K744" s="17"/>
    </row>
    <row r="745" spans="1:11" ht="12.75" x14ac:dyDescent="0.2">
      <c r="K745" s="17"/>
    </row>
    <row r="746" spans="1:11" ht="12.75" x14ac:dyDescent="0.2">
      <c r="K746" s="17"/>
    </row>
    <row r="747" spans="1:11" ht="12.75" x14ac:dyDescent="0.2">
      <c r="K747" s="17"/>
    </row>
    <row r="748" spans="1:11" ht="12.75" x14ac:dyDescent="0.2">
      <c r="K748" s="17"/>
    </row>
    <row r="749" spans="1:11" ht="6.75" customHeight="1" x14ac:dyDescent="0.2"/>
    <row r="750" spans="1:11" s="17" customFormat="1" ht="12.75" x14ac:dyDescent="0.2">
      <c r="A750"/>
      <c r="B750"/>
      <c r="C750"/>
      <c r="D750"/>
      <c r="E750"/>
      <c r="F750"/>
      <c r="G750"/>
      <c r="H750"/>
      <c r="I750"/>
      <c r="J750"/>
    </row>
    <row r="751" spans="1:11" s="92" customFormat="1" ht="15" x14ac:dyDescent="0.2">
      <c r="A751"/>
      <c r="B751"/>
      <c r="C751"/>
      <c r="D751"/>
      <c r="E751"/>
      <c r="F751"/>
      <c r="G751"/>
      <c r="H751"/>
      <c r="I751"/>
      <c r="J751"/>
      <c r="K751" s="19"/>
    </row>
    <row r="752" spans="1:11" ht="12.75" x14ac:dyDescent="0.2"/>
    <row r="753" spans="1:11" ht="12" customHeight="1" x14ac:dyDescent="0.2"/>
    <row r="754" spans="1:11" ht="12.75" x14ac:dyDescent="0.2"/>
    <row r="755" spans="1:11" ht="12.75" x14ac:dyDescent="0.2"/>
    <row r="756" spans="1:11" ht="12.75" x14ac:dyDescent="0.2"/>
    <row r="757" spans="1:11" ht="12.75" x14ac:dyDescent="0.2">
      <c r="K757" s="57"/>
    </row>
    <row r="758" spans="1:11" ht="12.75" x14ac:dyDescent="0.2">
      <c r="K758" s="58"/>
    </row>
    <row r="759" spans="1:11" ht="12.75" x14ac:dyDescent="0.2">
      <c r="K759" s="58"/>
    </row>
    <row r="760" spans="1:11" ht="12.75" x14ac:dyDescent="0.2"/>
    <row r="761" spans="1:11" ht="12.75" x14ac:dyDescent="0.2">
      <c r="K761" s="61"/>
    </row>
    <row r="762" spans="1:11" ht="12.75" x14ac:dyDescent="0.2">
      <c r="K762" s="61"/>
    </row>
    <row r="763" spans="1:11" s="59" customFormat="1" ht="15" x14ac:dyDescent="0.25">
      <c r="A763"/>
      <c r="B763"/>
      <c r="C763"/>
      <c r="D763"/>
      <c r="E763"/>
      <c r="F763"/>
      <c r="G763"/>
      <c r="H763"/>
      <c r="I763"/>
      <c r="J763"/>
    </row>
    <row r="764" spans="1:11" s="59" customFormat="1" ht="15" x14ac:dyDescent="0.25">
      <c r="A764"/>
      <c r="B764"/>
      <c r="C764"/>
      <c r="D764"/>
      <c r="E764"/>
      <c r="F764"/>
      <c r="G764"/>
      <c r="H764"/>
      <c r="I764"/>
      <c r="J764"/>
    </row>
    <row r="765" spans="1:11" ht="12.75" x14ac:dyDescent="0.2"/>
    <row r="766" spans="1:11" ht="14.25" customHeight="1" x14ac:dyDescent="0.2">
      <c r="K766" s="68"/>
    </row>
    <row r="767" spans="1:11" ht="14.25" customHeight="1" x14ac:dyDescent="0.2">
      <c r="K767" s="68"/>
    </row>
    <row r="768" spans="1:11" ht="12.75" x14ac:dyDescent="0.2">
      <c r="K768" s="68"/>
    </row>
    <row r="769" spans="1:11" ht="14.25" customHeight="1" x14ac:dyDescent="0.2">
      <c r="K769" s="17"/>
    </row>
    <row r="770" spans="1:11" ht="12.75" x14ac:dyDescent="0.2">
      <c r="K770" s="17"/>
    </row>
    <row r="771" spans="1:11" ht="12.75" x14ac:dyDescent="0.2">
      <c r="K771" s="17"/>
    </row>
    <row r="772" spans="1:11" ht="12.75" x14ac:dyDescent="0.2">
      <c r="K772" s="17"/>
    </row>
    <row r="773" spans="1:11" ht="12.75" x14ac:dyDescent="0.2">
      <c r="K773" s="17"/>
    </row>
    <row r="774" spans="1:11" ht="12.75" x14ac:dyDescent="0.2">
      <c r="K774" s="17"/>
    </row>
    <row r="775" spans="1:11" ht="12.75" x14ac:dyDescent="0.2">
      <c r="K775" s="17"/>
    </row>
    <row r="776" spans="1:11" ht="6.75" customHeight="1" x14ac:dyDescent="0.2"/>
    <row r="777" spans="1:11" s="17" customFormat="1" ht="12.75" x14ac:dyDescent="0.2">
      <c r="A777"/>
      <c r="B777"/>
      <c r="C777"/>
      <c r="D777"/>
      <c r="E777"/>
      <c r="F777"/>
      <c r="G777"/>
      <c r="H777"/>
      <c r="I777"/>
      <c r="J777"/>
    </row>
    <row r="778" spans="1:11" s="92" customFormat="1" ht="15" x14ac:dyDescent="0.2">
      <c r="A778"/>
      <c r="B778"/>
      <c r="C778"/>
      <c r="D778"/>
      <c r="E778"/>
      <c r="F778"/>
      <c r="G778"/>
      <c r="H778"/>
      <c r="I778"/>
      <c r="J778"/>
      <c r="K778" s="19"/>
    </row>
    <row r="779" spans="1:11" ht="12.75" x14ac:dyDescent="0.2"/>
    <row r="780" spans="1:11" ht="12" customHeight="1" x14ac:dyDescent="0.2"/>
    <row r="781" spans="1:11" ht="12.75" x14ac:dyDescent="0.2"/>
    <row r="782" spans="1:11" ht="12.75" x14ac:dyDescent="0.2"/>
    <row r="783" spans="1:11" ht="12.75" x14ac:dyDescent="0.2"/>
    <row r="784" spans="1:11" ht="12.75" x14ac:dyDescent="0.2">
      <c r="K784" s="57"/>
    </row>
    <row r="785" spans="1:11" ht="12.75" x14ac:dyDescent="0.2">
      <c r="K785" s="58"/>
    </row>
    <row r="786" spans="1:11" ht="12.75" x14ac:dyDescent="0.2">
      <c r="K786" s="58"/>
    </row>
    <row r="787" spans="1:11" ht="12.75" x14ac:dyDescent="0.2"/>
    <row r="788" spans="1:11" ht="12.75" x14ac:dyDescent="0.2">
      <c r="K788" s="61"/>
    </row>
    <row r="789" spans="1:11" ht="12.75" x14ac:dyDescent="0.2">
      <c r="K789" s="61"/>
    </row>
    <row r="790" spans="1:11" s="59" customFormat="1" ht="15" x14ac:dyDescent="0.25">
      <c r="A790"/>
      <c r="B790"/>
      <c r="C790"/>
      <c r="D790"/>
      <c r="E790"/>
      <c r="F790"/>
      <c r="G790"/>
      <c r="H790"/>
      <c r="I790"/>
      <c r="J790"/>
    </row>
    <row r="791" spans="1:11" s="59" customFormat="1" ht="15" x14ac:dyDescent="0.25">
      <c r="A791"/>
      <c r="B791"/>
      <c r="C791"/>
      <c r="D791"/>
      <c r="E791"/>
      <c r="F791"/>
      <c r="G791"/>
      <c r="H791"/>
      <c r="I791"/>
      <c r="J791"/>
    </row>
    <row r="792" spans="1:11" ht="12.75" x14ac:dyDescent="0.2"/>
    <row r="793" spans="1:11" ht="14.25" customHeight="1" x14ac:dyDescent="0.2">
      <c r="K793" s="68"/>
    </row>
    <row r="794" spans="1:11" ht="14.25" customHeight="1" x14ac:dyDescent="0.2">
      <c r="K794" s="68"/>
    </row>
    <row r="795" spans="1:11" ht="12.75" x14ac:dyDescent="0.2">
      <c r="K795" s="68"/>
    </row>
    <row r="796" spans="1:11" ht="14.25" customHeight="1" x14ac:dyDescent="0.2">
      <c r="K796" s="17"/>
    </row>
    <row r="797" spans="1:11" ht="12.75" x14ac:dyDescent="0.2">
      <c r="K797" s="17"/>
    </row>
    <row r="798" spans="1:11" ht="12.75" x14ac:dyDescent="0.2">
      <c r="K798" s="17"/>
    </row>
    <row r="799" spans="1:11" ht="12.75" x14ac:dyDescent="0.2">
      <c r="K799" s="17"/>
    </row>
    <row r="800" spans="1:11" ht="12.75" x14ac:dyDescent="0.2">
      <c r="K800" s="17"/>
    </row>
    <row r="801" spans="1:11" ht="12.75" x14ac:dyDescent="0.2">
      <c r="K801" s="17"/>
    </row>
    <row r="802" spans="1:11" ht="12.75" x14ac:dyDescent="0.2">
      <c r="K802" s="17"/>
    </row>
    <row r="803" spans="1:11" ht="6.75" customHeight="1" x14ac:dyDescent="0.2"/>
    <row r="804" spans="1:11" s="17" customFormat="1" ht="12.75" x14ac:dyDescent="0.2">
      <c r="A804"/>
      <c r="B804"/>
      <c r="C804"/>
      <c r="D804"/>
      <c r="E804"/>
      <c r="F804"/>
      <c r="G804"/>
      <c r="H804"/>
      <c r="I804"/>
      <c r="J804"/>
    </row>
    <row r="805" spans="1:11" s="92" customFormat="1" ht="15" x14ac:dyDescent="0.2">
      <c r="A805"/>
      <c r="B805"/>
      <c r="C805"/>
      <c r="D805"/>
      <c r="E805"/>
      <c r="F805"/>
      <c r="G805"/>
      <c r="H805"/>
      <c r="I805"/>
      <c r="J805"/>
      <c r="K805" s="19"/>
    </row>
    <row r="806" spans="1:11" ht="12.75" x14ac:dyDescent="0.2"/>
    <row r="807" spans="1:11" ht="12" customHeight="1" x14ac:dyDescent="0.2"/>
    <row r="808" spans="1:11" ht="12.75" x14ac:dyDescent="0.2"/>
    <row r="809" spans="1:11" ht="12.75" x14ac:dyDescent="0.2"/>
    <row r="810" spans="1:11" ht="12.75" x14ac:dyDescent="0.2"/>
    <row r="811" spans="1:11" ht="12.75" x14ac:dyDescent="0.2">
      <c r="K811" s="57"/>
    </row>
    <row r="812" spans="1:11" ht="12.75" x14ac:dyDescent="0.2">
      <c r="K812" s="58"/>
    </row>
    <row r="813" spans="1:11" ht="12.75" x14ac:dyDescent="0.2">
      <c r="K813" s="58"/>
    </row>
    <row r="814" spans="1:11" ht="12.75" x14ac:dyDescent="0.2"/>
    <row r="815" spans="1:11" ht="12.75" x14ac:dyDescent="0.2">
      <c r="K815" s="61"/>
    </row>
    <row r="816" spans="1:11" ht="12.75" x14ac:dyDescent="0.2">
      <c r="K816" s="61"/>
    </row>
    <row r="817" spans="1:11" s="59" customFormat="1" ht="15" x14ac:dyDescent="0.25">
      <c r="A817"/>
      <c r="B817"/>
      <c r="C817"/>
      <c r="D817"/>
      <c r="E817"/>
      <c r="F817"/>
      <c r="G817"/>
      <c r="H817"/>
      <c r="I817"/>
      <c r="J817"/>
    </row>
    <row r="818" spans="1:11" s="59" customFormat="1" ht="15" x14ac:dyDescent="0.25">
      <c r="A818"/>
      <c r="B818"/>
      <c r="C818"/>
      <c r="D818"/>
      <c r="E818"/>
      <c r="F818"/>
      <c r="G818"/>
      <c r="H818"/>
      <c r="I818"/>
      <c r="J818"/>
    </row>
    <row r="819" spans="1:11" ht="12.75" x14ac:dyDescent="0.2"/>
    <row r="820" spans="1:11" ht="14.25" customHeight="1" x14ac:dyDescent="0.2">
      <c r="K820" s="68"/>
    </row>
    <row r="821" spans="1:11" ht="14.25" customHeight="1" x14ac:dyDescent="0.2">
      <c r="K821" s="68"/>
    </row>
    <row r="822" spans="1:11" ht="12.75" x14ac:dyDescent="0.2">
      <c r="K822" s="68"/>
    </row>
    <row r="823" spans="1:11" ht="14.25" customHeight="1" x14ac:dyDescent="0.2">
      <c r="K823" s="17"/>
    </row>
    <row r="824" spans="1:11" ht="12.75" x14ac:dyDescent="0.2">
      <c r="K824" s="17"/>
    </row>
    <row r="825" spans="1:11" ht="12.75" x14ac:dyDescent="0.2">
      <c r="K825" s="17"/>
    </row>
    <row r="826" spans="1:11" ht="12.75" x14ac:dyDescent="0.2">
      <c r="K826" s="17"/>
    </row>
    <row r="827" spans="1:11" ht="12.75" x14ac:dyDescent="0.2">
      <c r="K827" s="17"/>
    </row>
    <row r="828" spans="1:11" ht="12.75" x14ac:dyDescent="0.2">
      <c r="K828" s="17"/>
    </row>
    <row r="829" spans="1:11" ht="12.75" x14ac:dyDescent="0.2">
      <c r="K829" s="17"/>
    </row>
    <row r="830" spans="1:11" ht="6.75" customHeight="1" x14ac:dyDescent="0.2"/>
    <row r="831" spans="1:11" s="17" customFormat="1" ht="12.75" x14ac:dyDescent="0.2">
      <c r="A831"/>
      <c r="B831"/>
      <c r="C831"/>
      <c r="D831"/>
      <c r="E831"/>
      <c r="F831"/>
      <c r="G831"/>
      <c r="H831"/>
      <c r="I831"/>
      <c r="J831"/>
    </row>
    <row r="832" spans="1:11" s="92" customFormat="1" ht="15" x14ac:dyDescent="0.2">
      <c r="A832"/>
      <c r="B832"/>
      <c r="C832"/>
      <c r="D832"/>
      <c r="E832"/>
      <c r="F832"/>
      <c r="G832"/>
      <c r="H832"/>
      <c r="I832"/>
      <c r="J832"/>
      <c r="K832" s="19"/>
    </row>
    <row r="833" spans="1:11" ht="12.75" x14ac:dyDescent="0.2"/>
    <row r="834" spans="1:11" ht="12" customHeight="1" x14ac:dyDescent="0.2"/>
    <row r="835" spans="1:11" ht="12.75" x14ac:dyDescent="0.2"/>
    <row r="836" spans="1:11" ht="12.75" x14ac:dyDescent="0.2"/>
    <row r="837" spans="1:11" ht="12.75" x14ac:dyDescent="0.2"/>
    <row r="838" spans="1:11" ht="12.75" x14ac:dyDescent="0.2">
      <c r="K838" s="57"/>
    </row>
    <row r="839" spans="1:11" ht="12.75" x14ac:dyDescent="0.2">
      <c r="K839" s="58"/>
    </row>
    <row r="840" spans="1:11" ht="12.75" x14ac:dyDescent="0.2">
      <c r="K840" s="58"/>
    </row>
    <row r="841" spans="1:11" ht="12.75" x14ac:dyDescent="0.2"/>
    <row r="842" spans="1:11" ht="12.75" x14ac:dyDescent="0.2">
      <c r="K842" s="61"/>
    </row>
    <row r="843" spans="1:11" ht="12.75" x14ac:dyDescent="0.2">
      <c r="K843" s="61"/>
    </row>
    <row r="844" spans="1:11" s="59" customFormat="1" ht="15" x14ac:dyDescent="0.25">
      <c r="A844"/>
      <c r="B844"/>
      <c r="C844"/>
      <c r="D844"/>
      <c r="E844"/>
      <c r="F844"/>
      <c r="G844"/>
      <c r="H844"/>
      <c r="I844"/>
      <c r="J844"/>
    </row>
    <row r="845" spans="1:11" s="59" customFormat="1" ht="15" x14ac:dyDescent="0.25">
      <c r="A845"/>
      <c r="B845"/>
      <c r="C845"/>
      <c r="D845"/>
      <c r="E845"/>
      <c r="F845"/>
      <c r="G845"/>
      <c r="H845"/>
      <c r="I845"/>
      <c r="J845"/>
    </row>
    <row r="846" spans="1:11" ht="12.75" x14ac:dyDescent="0.2"/>
    <row r="847" spans="1:11" ht="14.25" customHeight="1" x14ac:dyDescent="0.2">
      <c r="K847" s="68"/>
    </row>
    <row r="848" spans="1:11" ht="14.25" customHeight="1" x14ac:dyDescent="0.2">
      <c r="K848" s="68"/>
    </row>
    <row r="849" spans="1:11" ht="12.75" x14ac:dyDescent="0.2">
      <c r="K849" s="68"/>
    </row>
    <row r="850" spans="1:11" ht="14.25" customHeight="1" x14ac:dyDescent="0.2">
      <c r="K850" s="17"/>
    </row>
    <row r="851" spans="1:11" ht="12.75" x14ac:dyDescent="0.2">
      <c r="K851" s="17"/>
    </row>
    <row r="852" spans="1:11" ht="12.75" x14ac:dyDescent="0.2">
      <c r="K852" s="17"/>
    </row>
    <row r="853" spans="1:11" ht="12.75" x14ac:dyDescent="0.2">
      <c r="K853" s="17"/>
    </row>
    <row r="854" spans="1:11" ht="12.75" x14ac:dyDescent="0.2">
      <c r="K854" s="17"/>
    </row>
    <row r="855" spans="1:11" ht="12.75" x14ac:dyDescent="0.2">
      <c r="K855" s="17"/>
    </row>
    <row r="856" spans="1:11" ht="12.75" x14ac:dyDescent="0.2">
      <c r="K856" s="17"/>
    </row>
    <row r="857" spans="1:11" ht="6.75" customHeight="1" x14ac:dyDescent="0.2"/>
    <row r="858" spans="1:11" s="17" customFormat="1" ht="12.75" x14ac:dyDescent="0.2">
      <c r="A858"/>
      <c r="B858"/>
      <c r="C858"/>
      <c r="D858"/>
      <c r="E858"/>
      <c r="F858"/>
      <c r="G858"/>
      <c r="H858"/>
      <c r="I858"/>
      <c r="J858"/>
    </row>
    <row r="859" spans="1:11" s="92" customFormat="1" ht="15" x14ac:dyDescent="0.2">
      <c r="A859"/>
      <c r="B859"/>
      <c r="C859"/>
      <c r="D859"/>
      <c r="E859"/>
      <c r="F859"/>
      <c r="G859"/>
      <c r="H859"/>
      <c r="I859"/>
      <c r="J859"/>
      <c r="K859" s="19"/>
    </row>
    <row r="860" spans="1:11" ht="12.75" x14ac:dyDescent="0.2"/>
    <row r="861" spans="1:11" ht="12" customHeight="1" x14ac:dyDescent="0.2"/>
    <row r="862" spans="1:11" ht="12.75" x14ac:dyDescent="0.2"/>
    <row r="863" spans="1:11" ht="12.75" x14ac:dyDescent="0.2"/>
    <row r="864" spans="1:11" ht="12.75" x14ac:dyDescent="0.2"/>
    <row r="865" spans="1:11" ht="12.75" x14ac:dyDescent="0.2">
      <c r="K865" s="57"/>
    </row>
    <row r="866" spans="1:11" ht="12.75" x14ac:dyDescent="0.2">
      <c r="K866" s="58"/>
    </row>
    <row r="867" spans="1:11" ht="12.75" x14ac:dyDescent="0.2">
      <c r="K867" s="58"/>
    </row>
    <row r="868" spans="1:11" ht="12.75" x14ac:dyDescent="0.2"/>
    <row r="869" spans="1:11" ht="12.75" x14ac:dyDescent="0.2">
      <c r="K869" s="61"/>
    </row>
    <row r="870" spans="1:11" ht="12.75" x14ac:dyDescent="0.2">
      <c r="K870" s="61"/>
    </row>
    <row r="871" spans="1:11" s="59" customFormat="1" ht="15" x14ac:dyDescent="0.25">
      <c r="A871"/>
      <c r="B871"/>
      <c r="C871"/>
      <c r="D871"/>
      <c r="E871"/>
      <c r="F871"/>
      <c r="G871"/>
      <c r="H871"/>
      <c r="I871"/>
      <c r="J871"/>
    </row>
    <row r="872" spans="1:11" s="59" customFormat="1" ht="15" x14ac:dyDescent="0.25">
      <c r="A872"/>
      <c r="B872"/>
      <c r="C872"/>
      <c r="D872"/>
      <c r="E872"/>
      <c r="F872"/>
      <c r="G872"/>
      <c r="H872"/>
      <c r="I872"/>
      <c r="J872"/>
    </row>
    <row r="873" spans="1:11" ht="12.75" x14ac:dyDescent="0.2"/>
    <row r="874" spans="1:11" ht="14.25" customHeight="1" x14ac:dyDescent="0.2">
      <c r="K874" s="68"/>
    </row>
    <row r="875" spans="1:11" ht="14.25" customHeight="1" x14ac:dyDescent="0.2">
      <c r="K875" s="68"/>
    </row>
    <row r="876" spans="1:11" ht="12.75" x14ac:dyDescent="0.2">
      <c r="K876" s="68"/>
    </row>
    <row r="877" spans="1:11" ht="14.25" customHeight="1" x14ac:dyDescent="0.2">
      <c r="K877" s="17"/>
    </row>
    <row r="878" spans="1:11" ht="12.75" x14ac:dyDescent="0.2">
      <c r="K878" s="17"/>
    </row>
    <row r="879" spans="1:11" ht="12.75" x14ac:dyDescent="0.2">
      <c r="K879" s="17"/>
    </row>
    <row r="880" spans="1:11" ht="12.75" x14ac:dyDescent="0.2">
      <c r="K880" s="17"/>
    </row>
    <row r="881" spans="1:11" ht="12.75" x14ac:dyDescent="0.2">
      <c r="K881" s="17"/>
    </row>
    <row r="882" spans="1:11" ht="12.75" x14ac:dyDescent="0.2">
      <c r="K882" s="17"/>
    </row>
    <row r="883" spans="1:11" ht="12.75" x14ac:dyDescent="0.2">
      <c r="K883" s="17"/>
    </row>
    <row r="884" spans="1:11" ht="6.75" customHeight="1" x14ac:dyDescent="0.2"/>
    <row r="885" spans="1:11" s="17" customFormat="1" ht="12.75" x14ac:dyDescent="0.2">
      <c r="A885"/>
      <c r="B885"/>
      <c r="C885"/>
      <c r="D885"/>
      <c r="E885"/>
      <c r="F885"/>
      <c r="G885"/>
      <c r="H885"/>
      <c r="I885"/>
      <c r="J885"/>
    </row>
    <row r="886" spans="1:11" s="92" customFormat="1" ht="15" x14ac:dyDescent="0.2">
      <c r="A886"/>
      <c r="B886"/>
      <c r="C886"/>
      <c r="D886"/>
      <c r="E886"/>
      <c r="F886"/>
      <c r="G886"/>
      <c r="H886"/>
      <c r="I886"/>
      <c r="J886"/>
      <c r="K886" s="19"/>
    </row>
    <row r="887" spans="1:11" ht="12.75" x14ac:dyDescent="0.2"/>
    <row r="888" spans="1:11" ht="12" customHeight="1" x14ac:dyDescent="0.2"/>
    <row r="889" spans="1:11" ht="12.75" x14ac:dyDescent="0.2"/>
    <row r="890" spans="1:11" ht="12.75" x14ac:dyDescent="0.2"/>
    <row r="891" spans="1:11" ht="12.75" x14ac:dyDescent="0.2"/>
    <row r="892" spans="1:11" ht="12.75" x14ac:dyDescent="0.2">
      <c r="K892" s="57"/>
    </row>
    <row r="893" spans="1:11" ht="12.75" x14ac:dyDescent="0.2">
      <c r="K893" s="58"/>
    </row>
    <row r="894" spans="1:11" ht="12.75" x14ac:dyDescent="0.2">
      <c r="K894" s="58"/>
    </row>
    <row r="895" spans="1:11" ht="12.75" x14ac:dyDescent="0.2"/>
    <row r="896" spans="1:11" ht="12.75" x14ac:dyDescent="0.2">
      <c r="K896" s="61"/>
    </row>
    <row r="897" spans="1:11" ht="12.75" x14ac:dyDescent="0.2">
      <c r="K897" s="61"/>
    </row>
    <row r="898" spans="1:11" s="59" customFormat="1" ht="15" x14ac:dyDescent="0.25">
      <c r="A898"/>
      <c r="B898"/>
      <c r="C898"/>
      <c r="D898"/>
      <c r="E898"/>
      <c r="F898"/>
      <c r="G898"/>
      <c r="H898"/>
      <c r="I898"/>
      <c r="J898"/>
    </row>
    <row r="899" spans="1:11" s="59" customFormat="1" ht="15" x14ac:dyDescent="0.25">
      <c r="A899"/>
      <c r="B899"/>
      <c r="C899"/>
      <c r="D899"/>
      <c r="E899"/>
      <c r="F899"/>
      <c r="G899"/>
      <c r="H899"/>
      <c r="I899"/>
      <c r="J899"/>
    </row>
    <row r="900" spans="1:11" ht="12.75" x14ac:dyDescent="0.2"/>
    <row r="901" spans="1:11" ht="14.25" customHeight="1" x14ac:dyDescent="0.2">
      <c r="K901" s="68"/>
    </row>
    <row r="902" spans="1:11" ht="14.25" customHeight="1" x14ac:dyDescent="0.2">
      <c r="K902" s="68"/>
    </row>
    <row r="903" spans="1:11" ht="12.75" x14ac:dyDescent="0.2">
      <c r="K903" s="68"/>
    </row>
    <row r="904" spans="1:11" ht="14.25" customHeight="1" x14ac:dyDescent="0.2">
      <c r="K904" s="17"/>
    </row>
    <row r="905" spans="1:11" ht="12.75" x14ac:dyDescent="0.2">
      <c r="K905" s="17"/>
    </row>
    <row r="906" spans="1:11" ht="12.75" x14ac:dyDescent="0.2">
      <c r="K906" s="17"/>
    </row>
    <row r="907" spans="1:11" ht="12.75" x14ac:dyDescent="0.2">
      <c r="K907" s="17"/>
    </row>
    <row r="908" spans="1:11" ht="12.75" x14ac:dyDescent="0.2">
      <c r="K908" s="17"/>
    </row>
    <row r="909" spans="1:11" ht="12.75" x14ac:dyDescent="0.2">
      <c r="K909" s="17"/>
    </row>
    <row r="910" spans="1:11" ht="12.75" x14ac:dyDescent="0.2">
      <c r="K910" s="17"/>
    </row>
    <row r="911" spans="1:11" ht="6.75" customHeight="1" x14ac:dyDescent="0.2"/>
    <row r="912" spans="1:11" s="17" customFormat="1" ht="12.75" x14ac:dyDescent="0.2">
      <c r="A912"/>
      <c r="B912"/>
      <c r="C912"/>
      <c r="D912"/>
      <c r="E912"/>
      <c r="F912"/>
      <c r="G912"/>
      <c r="H912"/>
      <c r="I912"/>
      <c r="J912"/>
    </row>
    <row r="913" spans="1:11" s="92" customFormat="1" ht="15" x14ac:dyDescent="0.2">
      <c r="A913"/>
      <c r="B913"/>
      <c r="C913"/>
      <c r="D913"/>
      <c r="E913"/>
      <c r="F913"/>
      <c r="G913"/>
      <c r="H913"/>
      <c r="I913"/>
      <c r="J913"/>
      <c r="K913" s="19"/>
    </row>
    <row r="914" spans="1:11" ht="12.75" x14ac:dyDescent="0.2"/>
    <row r="915" spans="1:11" ht="12" customHeight="1" x14ac:dyDescent="0.2"/>
    <row r="916" spans="1:11" ht="12.75" x14ac:dyDescent="0.2"/>
    <row r="917" spans="1:11" ht="12.75" x14ac:dyDescent="0.2"/>
    <row r="918" spans="1:11" ht="12.75" x14ac:dyDescent="0.2"/>
    <row r="919" spans="1:11" ht="12.75" x14ac:dyDescent="0.2">
      <c r="K919" s="57"/>
    </row>
    <row r="920" spans="1:11" ht="12.75" x14ac:dyDescent="0.2">
      <c r="K920" s="58"/>
    </row>
    <row r="921" spans="1:11" ht="12.75" x14ac:dyDescent="0.2">
      <c r="K921" s="58"/>
    </row>
    <row r="922" spans="1:11" ht="12.75" x14ac:dyDescent="0.2"/>
    <row r="923" spans="1:11" ht="12.75" x14ac:dyDescent="0.2">
      <c r="K923" s="61"/>
    </row>
    <row r="924" spans="1:11" ht="12.75" x14ac:dyDescent="0.2">
      <c r="K924" s="61"/>
    </row>
    <row r="925" spans="1:11" s="59" customFormat="1" ht="15" x14ac:dyDescent="0.25">
      <c r="A925"/>
      <c r="B925"/>
      <c r="C925"/>
      <c r="D925"/>
      <c r="E925"/>
      <c r="F925"/>
      <c r="G925"/>
      <c r="H925"/>
      <c r="I925"/>
      <c r="J925"/>
    </row>
    <row r="926" spans="1:11" s="59" customFormat="1" ht="15" x14ac:dyDescent="0.25">
      <c r="A926"/>
      <c r="B926"/>
      <c r="C926"/>
      <c r="D926"/>
      <c r="E926"/>
      <c r="F926"/>
      <c r="G926"/>
      <c r="H926"/>
      <c r="I926"/>
      <c r="J926"/>
    </row>
    <row r="927" spans="1:11" ht="12.75" x14ac:dyDescent="0.2"/>
    <row r="928" spans="1:11" ht="14.25" customHeight="1" x14ac:dyDescent="0.2">
      <c r="K928" s="68"/>
    </row>
    <row r="929" spans="1:11" ht="14.25" customHeight="1" x14ac:dyDescent="0.2">
      <c r="K929" s="68"/>
    </row>
    <row r="930" spans="1:11" ht="12.75" x14ac:dyDescent="0.2">
      <c r="K930" s="68"/>
    </row>
    <row r="931" spans="1:11" ht="14.25" customHeight="1" x14ac:dyDescent="0.2">
      <c r="K931" s="17"/>
    </row>
    <row r="932" spans="1:11" ht="12.75" x14ac:dyDescent="0.2">
      <c r="K932" s="17"/>
    </row>
    <row r="933" spans="1:11" ht="12.75" x14ac:dyDescent="0.2">
      <c r="K933" s="17"/>
    </row>
    <row r="934" spans="1:11" ht="12.75" x14ac:dyDescent="0.2">
      <c r="K934" s="17"/>
    </row>
    <row r="935" spans="1:11" ht="12.75" x14ac:dyDescent="0.2">
      <c r="K935" s="17"/>
    </row>
    <row r="936" spans="1:11" ht="12.75" x14ac:dyDescent="0.2">
      <c r="K936" s="17"/>
    </row>
    <row r="937" spans="1:11" ht="12.75" x14ac:dyDescent="0.2">
      <c r="K937" s="17"/>
    </row>
    <row r="938" spans="1:11" ht="6.75" customHeight="1" x14ac:dyDescent="0.2"/>
    <row r="939" spans="1:11" s="17" customFormat="1" ht="12.75" x14ac:dyDescent="0.2">
      <c r="A939"/>
      <c r="B939"/>
      <c r="C939"/>
      <c r="D939"/>
      <c r="E939"/>
      <c r="F939"/>
      <c r="G939"/>
      <c r="H939"/>
      <c r="I939"/>
      <c r="J939"/>
    </row>
    <row r="940" spans="1:11" s="92" customFormat="1" ht="15" x14ac:dyDescent="0.2">
      <c r="A940"/>
      <c r="B940"/>
      <c r="C940"/>
      <c r="D940"/>
      <c r="E940"/>
      <c r="F940"/>
      <c r="G940"/>
      <c r="H940"/>
      <c r="I940"/>
      <c r="J940"/>
      <c r="K940" s="19"/>
    </row>
    <row r="941" spans="1:11" ht="12.75" x14ac:dyDescent="0.2"/>
    <row r="942" spans="1:11" ht="12" customHeight="1" x14ac:dyDescent="0.2"/>
    <row r="943" spans="1:11" ht="12.75" x14ac:dyDescent="0.2"/>
    <row r="944" spans="1:11" ht="12.75" x14ac:dyDescent="0.2"/>
    <row r="945" spans="1:11" ht="12.75" x14ac:dyDescent="0.2"/>
    <row r="946" spans="1:11" ht="12.75" x14ac:dyDescent="0.2">
      <c r="K946" s="57"/>
    </row>
    <row r="947" spans="1:11" ht="12.75" x14ac:dyDescent="0.2">
      <c r="K947" s="58"/>
    </row>
    <row r="948" spans="1:11" ht="12.75" x14ac:dyDescent="0.2">
      <c r="K948" s="58"/>
    </row>
    <row r="949" spans="1:11" ht="12.75" x14ac:dyDescent="0.2"/>
    <row r="950" spans="1:11" ht="12.75" x14ac:dyDescent="0.2">
      <c r="K950" s="61"/>
    </row>
    <row r="951" spans="1:11" ht="12.75" x14ac:dyDescent="0.2">
      <c r="K951" s="61"/>
    </row>
    <row r="952" spans="1:11" s="59" customFormat="1" ht="15" x14ac:dyDescent="0.25">
      <c r="A952"/>
      <c r="B952"/>
      <c r="C952"/>
      <c r="D952"/>
      <c r="E952"/>
      <c r="F952"/>
      <c r="G952"/>
      <c r="H952"/>
      <c r="I952"/>
      <c r="J952"/>
    </row>
    <row r="953" spans="1:11" s="59" customFormat="1" ht="15" x14ac:dyDescent="0.25">
      <c r="A953"/>
      <c r="B953"/>
      <c r="C953"/>
      <c r="D953"/>
      <c r="E953"/>
      <c r="F953"/>
      <c r="G953"/>
      <c r="H953"/>
      <c r="I953"/>
      <c r="J953"/>
    </row>
    <row r="954" spans="1:11" ht="12.75" x14ac:dyDescent="0.2"/>
    <row r="955" spans="1:11" ht="14.25" customHeight="1" x14ac:dyDescent="0.2">
      <c r="K955" s="68"/>
    </row>
    <row r="956" spans="1:11" ht="14.25" customHeight="1" x14ac:dyDescent="0.2">
      <c r="K956" s="68"/>
    </row>
    <row r="957" spans="1:11" ht="12.75" x14ac:dyDescent="0.2">
      <c r="K957" s="68"/>
    </row>
    <row r="958" spans="1:11" ht="14.25" customHeight="1" x14ac:dyDescent="0.2">
      <c r="K958" s="17"/>
    </row>
    <row r="959" spans="1:11" ht="12.75" x14ac:dyDescent="0.2">
      <c r="K959" s="17"/>
    </row>
    <row r="960" spans="1:11" ht="12.75" x14ac:dyDescent="0.2">
      <c r="K960" s="17"/>
    </row>
    <row r="961" spans="1:11" ht="12.75" x14ac:dyDescent="0.2">
      <c r="K961" s="17"/>
    </row>
    <row r="962" spans="1:11" ht="12.75" x14ac:dyDescent="0.2">
      <c r="K962" s="17"/>
    </row>
    <row r="963" spans="1:11" ht="12.75" x14ac:dyDescent="0.2">
      <c r="K963" s="17"/>
    </row>
    <row r="964" spans="1:11" ht="12.75" x14ac:dyDescent="0.2">
      <c r="K964" s="17"/>
    </row>
    <row r="965" spans="1:11" ht="6.75" customHeight="1" x14ac:dyDescent="0.2"/>
    <row r="966" spans="1:11" s="17" customFormat="1" ht="12.75" x14ac:dyDescent="0.2">
      <c r="A966"/>
      <c r="B966"/>
      <c r="C966"/>
      <c r="D966"/>
      <c r="E966"/>
      <c r="F966"/>
      <c r="G966"/>
      <c r="H966"/>
      <c r="I966"/>
      <c r="J966"/>
    </row>
    <row r="967" spans="1:11" s="92" customFormat="1" ht="15" x14ac:dyDescent="0.2">
      <c r="A967"/>
      <c r="B967"/>
      <c r="C967"/>
      <c r="D967"/>
      <c r="E967"/>
      <c r="F967"/>
      <c r="G967"/>
      <c r="H967"/>
      <c r="I967"/>
      <c r="J967"/>
      <c r="K967" s="19"/>
    </row>
    <row r="968" spans="1:11" ht="12.75" x14ac:dyDescent="0.2"/>
    <row r="969" spans="1:11" ht="12" customHeight="1" x14ac:dyDescent="0.2"/>
    <row r="970" spans="1:11" ht="12.75" x14ac:dyDescent="0.2"/>
    <row r="971" spans="1:11" ht="12.75" x14ac:dyDescent="0.2"/>
    <row r="972" spans="1:11" ht="12.75" x14ac:dyDescent="0.2"/>
    <row r="973" spans="1:11" ht="12.75" x14ac:dyDescent="0.2">
      <c r="K973" s="57"/>
    </row>
    <row r="974" spans="1:11" ht="12.75" x14ac:dyDescent="0.2">
      <c r="K974" s="58"/>
    </row>
    <row r="975" spans="1:11" ht="12.75" x14ac:dyDescent="0.2">
      <c r="K975" s="58"/>
    </row>
    <row r="976" spans="1:11" ht="12.75" x14ac:dyDescent="0.2"/>
    <row r="977" spans="1:11" ht="12.75" x14ac:dyDescent="0.2">
      <c r="K977" s="61"/>
    </row>
    <row r="978" spans="1:11" ht="12.75" x14ac:dyDescent="0.2">
      <c r="K978" s="61"/>
    </row>
    <row r="979" spans="1:11" s="59" customFormat="1" ht="15" x14ac:dyDescent="0.25">
      <c r="A979"/>
      <c r="B979"/>
      <c r="C979"/>
      <c r="D979"/>
      <c r="E979"/>
      <c r="F979"/>
      <c r="G979"/>
      <c r="H979"/>
      <c r="I979"/>
      <c r="J979"/>
    </row>
    <row r="980" spans="1:11" s="59" customFormat="1" ht="15" x14ac:dyDescent="0.25">
      <c r="A980"/>
      <c r="B980"/>
      <c r="C980"/>
      <c r="D980"/>
      <c r="E980"/>
      <c r="F980"/>
      <c r="G980"/>
      <c r="H980"/>
      <c r="I980"/>
      <c r="J980"/>
    </row>
    <row r="981" spans="1:11" ht="12.75" x14ac:dyDescent="0.2"/>
    <row r="982" spans="1:11" ht="14.25" customHeight="1" x14ac:dyDescent="0.2">
      <c r="K982" s="68"/>
    </row>
    <row r="983" spans="1:11" ht="14.25" customHeight="1" x14ac:dyDescent="0.2">
      <c r="K983" s="68"/>
    </row>
    <row r="984" spans="1:11" ht="12.75" x14ac:dyDescent="0.2">
      <c r="K984" s="68"/>
    </row>
    <row r="985" spans="1:11" ht="14.25" customHeight="1" x14ac:dyDescent="0.2">
      <c r="K985" s="17"/>
    </row>
    <row r="986" spans="1:11" ht="12.75" x14ac:dyDescent="0.2">
      <c r="K986" s="17"/>
    </row>
    <row r="987" spans="1:11" ht="12.75" x14ac:dyDescent="0.2">
      <c r="K987" s="17"/>
    </row>
    <row r="988" spans="1:11" ht="12.75" x14ac:dyDescent="0.2">
      <c r="K988" s="17"/>
    </row>
    <row r="989" spans="1:11" ht="12.75" x14ac:dyDescent="0.2">
      <c r="K989" s="17"/>
    </row>
    <row r="990" spans="1:11" ht="12.75" x14ac:dyDescent="0.2">
      <c r="K990" s="17"/>
    </row>
    <row r="991" spans="1:11" ht="12.75" x14ac:dyDescent="0.2">
      <c r="K991" s="17"/>
    </row>
    <row r="992" spans="1:11" ht="6.75" customHeight="1" x14ac:dyDescent="0.2"/>
    <row r="993" spans="1:11" s="17" customFormat="1" ht="12.75" x14ac:dyDescent="0.2">
      <c r="A993"/>
      <c r="B993"/>
      <c r="C993"/>
      <c r="D993"/>
      <c r="E993"/>
      <c r="F993"/>
      <c r="G993"/>
      <c r="H993"/>
      <c r="I993"/>
      <c r="J993"/>
    </row>
    <row r="994" spans="1:11" s="92" customFormat="1" ht="15" x14ac:dyDescent="0.2">
      <c r="A994"/>
      <c r="B994"/>
      <c r="C994"/>
      <c r="D994"/>
      <c r="E994"/>
      <c r="F994"/>
      <c r="G994"/>
      <c r="H994"/>
      <c r="I994"/>
      <c r="J994"/>
      <c r="K994" s="19"/>
    </row>
    <row r="995" spans="1:11" ht="12.75" x14ac:dyDescent="0.2"/>
    <row r="996" spans="1:11" ht="12" customHeight="1" x14ac:dyDescent="0.2"/>
    <row r="997" spans="1:11" ht="12.75" x14ac:dyDescent="0.2"/>
    <row r="998" spans="1:11" ht="12.75" x14ac:dyDescent="0.2"/>
    <row r="999" spans="1:11" ht="12.75" x14ac:dyDescent="0.2"/>
    <row r="1000" spans="1:11" ht="12.75" x14ac:dyDescent="0.2">
      <c r="K1000" s="57"/>
    </row>
    <row r="1001" spans="1:11" ht="12.75" x14ac:dyDescent="0.2">
      <c r="K1001" s="58"/>
    </row>
    <row r="1002" spans="1:11" ht="12.75" x14ac:dyDescent="0.2">
      <c r="K1002" s="58"/>
    </row>
    <row r="1003" spans="1:11" ht="12.75" x14ac:dyDescent="0.2"/>
    <row r="1004" spans="1:11" ht="12.75" x14ac:dyDescent="0.2">
      <c r="K1004" s="61"/>
    </row>
    <row r="1005" spans="1:11" ht="12.75" x14ac:dyDescent="0.2">
      <c r="K1005" s="61"/>
    </row>
    <row r="1006" spans="1:11" s="59" customFormat="1" ht="15" x14ac:dyDescent="0.25">
      <c r="A1006"/>
      <c r="B1006"/>
      <c r="C1006"/>
      <c r="D1006"/>
      <c r="E1006"/>
      <c r="F1006"/>
      <c r="G1006"/>
      <c r="H1006"/>
      <c r="I1006"/>
      <c r="J1006"/>
    </row>
    <row r="1007" spans="1:11" s="59" customFormat="1" ht="15" x14ac:dyDescent="0.25">
      <c r="A1007"/>
      <c r="B1007"/>
      <c r="C1007"/>
      <c r="D1007"/>
      <c r="E1007"/>
      <c r="F1007"/>
      <c r="G1007"/>
      <c r="H1007"/>
      <c r="I1007"/>
      <c r="J1007"/>
    </row>
    <row r="1008" spans="1:11" ht="12.75" x14ac:dyDescent="0.2"/>
    <row r="1009" spans="1:11" ht="14.25" customHeight="1" x14ac:dyDescent="0.2">
      <c r="K1009" s="68"/>
    </row>
    <row r="1010" spans="1:11" ht="14.25" customHeight="1" x14ac:dyDescent="0.2">
      <c r="K1010" s="68"/>
    </row>
    <row r="1011" spans="1:11" ht="12.75" x14ac:dyDescent="0.2">
      <c r="K1011" s="68"/>
    </row>
    <row r="1012" spans="1:11" ht="14.25" customHeight="1" x14ac:dyDescent="0.2">
      <c r="K1012" s="17"/>
    </row>
    <row r="1013" spans="1:11" ht="12.75" x14ac:dyDescent="0.2">
      <c r="K1013" s="17"/>
    </row>
    <row r="1014" spans="1:11" ht="12.75" x14ac:dyDescent="0.2">
      <c r="K1014" s="17"/>
    </row>
    <row r="1015" spans="1:11" ht="12.75" x14ac:dyDescent="0.2">
      <c r="K1015" s="17"/>
    </row>
    <row r="1016" spans="1:11" ht="12.75" x14ac:dyDescent="0.2">
      <c r="K1016" s="17"/>
    </row>
    <row r="1017" spans="1:11" ht="12.75" x14ac:dyDescent="0.2">
      <c r="K1017" s="17"/>
    </row>
    <row r="1018" spans="1:11" ht="12.75" x14ac:dyDescent="0.2">
      <c r="K1018" s="17"/>
    </row>
    <row r="1019" spans="1:11" ht="6.75" customHeight="1" x14ac:dyDescent="0.2"/>
    <row r="1020" spans="1:11" s="17" customFormat="1" ht="12.75" x14ac:dyDescent="0.2">
      <c r="A1020"/>
      <c r="B1020"/>
      <c r="C1020"/>
      <c r="D1020"/>
      <c r="E1020"/>
      <c r="F1020"/>
      <c r="G1020"/>
      <c r="H1020"/>
      <c r="I1020"/>
      <c r="J1020"/>
    </row>
    <row r="1021" spans="1:11" s="92" customFormat="1" ht="15" x14ac:dyDescent="0.2">
      <c r="A1021"/>
      <c r="B1021"/>
      <c r="C1021"/>
      <c r="D1021"/>
      <c r="E1021"/>
      <c r="F1021"/>
      <c r="G1021"/>
      <c r="H1021"/>
      <c r="I1021"/>
      <c r="J1021"/>
      <c r="K1021" s="19"/>
    </row>
    <row r="1022" spans="1:11" ht="12.75" x14ac:dyDescent="0.2"/>
    <row r="1023" spans="1:11" ht="12" customHeight="1" x14ac:dyDescent="0.2"/>
    <row r="1024" spans="1:11" ht="12.75" x14ac:dyDescent="0.2"/>
    <row r="1025" spans="1:11" ht="12.75" x14ac:dyDescent="0.2"/>
    <row r="1026" spans="1:11" ht="12.75" x14ac:dyDescent="0.2"/>
    <row r="1027" spans="1:11" ht="12.75" x14ac:dyDescent="0.2">
      <c r="K1027" s="57"/>
    </row>
    <row r="1028" spans="1:11" ht="12.75" x14ac:dyDescent="0.2">
      <c r="K1028" s="58"/>
    </row>
    <row r="1029" spans="1:11" ht="12.75" x14ac:dyDescent="0.2">
      <c r="K1029" s="58"/>
    </row>
    <row r="1030" spans="1:11" ht="12.75" x14ac:dyDescent="0.2"/>
    <row r="1031" spans="1:11" ht="12.75" x14ac:dyDescent="0.2">
      <c r="K1031" s="61"/>
    </row>
    <row r="1032" spans="1:11" ht="12.75" x14ac:dyDescent="0.2">
      <c r="K1032" s="61"/>
    </row>
    <row r="1033" spans="1:11" s="59" customFormat="1" ht="15" x14ac:dyDescent="0.25">
      <c r="A1033"/>
      <c r="B1033"/>
      <c r="C1033"/>
      <c r="D1033"/>
      <c r="E1033"/>
      <c r="F1033"/>
      <c r="G1033"/>
      <c r="H1033"/>
      <c r="I1033"/>
      <c r="J1033"/>
    </row>
    <row r="1034" spans="1:11" s="59" customFormat="1" ht="15" x14ac:dyDescent="0.25">
      <c r="A1034"/>
      <c r="B1034"/>
      <c r="C1034"/>
      <c r="D1034"/>
      <c r="E1034"/>
      <c r="F1034"/>
      <c r="G1034"/>
      <c r="H1034"/>
      <c r="I1034"/>
      <c r="J1034"/>
    </row>
    <row r="1035" spans="1:11" ht="12.75" x14ac:dyDescent="0.2"/>
    <row r="1036" spans="1:11" ht="14.25" customHeight="1" x14ac:dyDescent="0.2">
      <c r="K1036" s="68"/>
    </row>
    <row r="1037" spans="1:11" ht="14.25" customHeight="1" x14ac:dyDescent="0.2">
      <c r="K1037" s="68"/>
    </row>
    <row r="1038" spans="1:11" ht="12.75" x14ac:dyDescent="0.2">
      <c r="K1038" s="68"/>
    </row>
    <row r="1039" spans="1:11" ht="14.25" customHeight="1" x14ac:dyDescent="0.2">
      <c r="K1039" s="17"/>
    </row>
    <row r="1040" spans="1:11" ht="12.75" x14ac:dyDescent="0.2">
      <c r="K1040" s="17"/>
    </row>
    <row r="1041" spans="1:11" ht="12.75" x14ac:dyDescent="0.2">
      <c r="K1041" s="17"/>
    </row>
    <row r="1042" spans="1:11" ht="12.75" x14ac:dyDescent="0.2">
      <c r="K1042" s="17"/>
    </row>
    <row r="1043" spans="1:11" ht="12.75" x14ac:dyDescent="0.2">
      <c r="K1043" s="17"/>
    </row>
    <row r="1044" spans="1:11" ht="12.75" x14ac:dyDescent="0.2">
      <c r="K1044" s="17"/>
    </row>
    <row r="1045" spans="1:11" ht="12.75" x14ac:dyDescent="0.2">
      <c r="K1045" s="17"/>
    </row>
    <row r="1046" spans="1:11" ht="6.75" customHeight="1" x14ac:dyDescent="0.2"/>
    <row r="1047" spans="1:11" s="17" customFormat="1" ht="12.75" x14ac:dyDescent="0.2">
      <c r="A1047"/>
      <c r="B1047"/>
      <c r="C1047"/>
      <c r="D1047"/>
      <c r="E1047"/>
      <c r="F1047"/>
      <c r="G1047"/>
      <c r="H1047"/>
      <c r="I1047"/>
      <c r="J1047"/>
    </row>
    <row r="1048" spans="1:11" s="92" customFormat="1" ht="15" x14ac:dyDescent="0.2">
      <c r="A1048"/>
      <c r="B1048"/>
      <c r="C1048"/>
      <c r="D1048"/>
      <c r="E1048"/>
      <c r="F1048"/>
      <c r="G1048"/>
      <c r="H1048"/>
      <c r="I1048"/>
      <c r="J1048"/>
      <c r="K1048" s="19"/>
    </row>
    <row r="1049" spans="1:11" ht="12.75" x14ac:dyDescent="0.2"/>
    <row r="1050" spans="1:11" ht="12" customHeight="1" x14ac:dyDescent="0.2"/>
    <row r="1051" spans="1:11" ht="12.75" x14ac:dyDescent="0.2"/>
    <row r="1052" spans="1:11" ht="12.75" x14ac:dyDescent="0.2"/>
    <row r="1053" spans="1:11" ht="12.75" x14ac:dyDescent="0.2"/>
    <row r="1054" spans="1:11" ht="12.75" x14ac:dyDescent="0.2">
      <c r="K1054" s="57"/>
    </row>
    <row r="1055" spans="1:11" ht="12.75" x14ac:dyDescent="0.2">
      <c r="K1055" s="58"/>
    </row>
    <row r="1056" spans="1:11" ht="12.75" x14ac:dyDescent="0.2">
      <c r="K1056" s="58"/>
    </row>
    <row r="1057" spans="1:11" ht="12.75" x14ac:dyDescent="0.2"/>
    <row r="1058" spans="1:11" ht="12.75" x14ac:dyDescent="0.2">
      <c r="K1058" s="61"/>
    </row>
    <row r="1059" spans="1:11" ht="12.75" x14ac:dyDescent="0.2">
      <c r="K1059" s="61"/>
    </row>
    <row r="1060" spans="1:11" s="59" customFormat="1" ht="15" x14ac:dyDescent="0.25">
      <c r="A1060"/>
      <c r="B1060"/>
      <c r="C1060"/>
      <c r="D1060"/>
      <c r="E1060"/>
      <c r="F1060"/>
      <c r="G1060"/>
      <c r="H1060"/>
      <c r="I1060"/>
      <c r="J1060"/>
    </row>
    <row r="1061" spans="1:11" s="59" customFormat="1" ht="15" x14ac:dyDescent="0.25">
      <c r="A1061"/>
      <c r="B1061"/>
      <c r="C1061"/>
      <c r="D1061"/>
      <c r="E1061"/>
      <c r="F1061"/>
      <c r="G1061"/>
      <c r="H1061"/>
      <c r="I1061"/>
      <c r="J1061"/>
    </row>
    <row r="1062" spans="1:11" ht="12.75" x14ac:dyDescent="0.2"/>
    <row r="1063" spans="1:11" ht="14.25" customHeight="1" x14ac:dyDescent="0.2">
      <c r="K1063" s="68"/>
    </row>
    <row r="1064" spans="1:11" ht="14.25" customHeight="1" x14ac:dyDescent="0.2">
      <c r="K1064" s="68"/>
    </row>
    <row r="1065" spans="1:11" ht="12.75" x14ac:dyDescent="0.2">
      <c r="K1065" s="68"/>
    </row>
    <row r="1066" spans="1:11" ht="14.25" customHeight="1" x14ac:dyDescent="0.2">
      <c r="K1066" s="17"/>
    </row>
    <row r="1067" spans="1:11" ht="12.75" x14ac:dyDescent="0.2">
      <c r="K1067" s="17"/>
    </row>
    <row r="1068" spans="1:11" ht="12.75" x14ac:dyDescent="0.2">
      <c r="K1068" s="17"/>
    </row>
    <row r="1069" spans="1:11" ht="12.75" x14ac:dyDescent="0.2">
      <c r="K1069" s="17"/>
    </row>
    <row r="1070" spans="1:11" ht="12.75" x14ac:dyDescent="0.2">
      <c r="K1070" s="17"/>
    </row>
    <row r="1071" spans="1:11" ht="12.75" x14ac:dyDescent="0.2">
      <c r="K1071" s="17"/>
    </row>
    <row r="1072" spans="1:11" ht="12.75" x14ac:dyDescent="0.2">
      <c r="K1072" s="17"/>
    </row>
    <row r="1073" spans="1:11" ht="6.75" customHeight="1" x14ac:dyDescent="0.2"/>
    <row r="1074" spans="1:11" s="17" customFormat="1" ht="12.75" x14ac:dyDescent="0.2">
      <c r="A1074"/>
      <c r="B1074"/>
      <c r="C1074"/>
      <c r="D1074"/>
      <c r="E1074"/>
      <c r="F1074"/>
      <c r="G1074"/>
      <c r="H1074"/>
      <c r="I1074"/>
      <c r="J1074"/>
    </row>
    <row r="1075" spans="1:11" s="92" customFormat="1" ht="15" x14ac:dyDescent="0.2">
      <c r="A1075"/>
      <c r="B1075"/>
      <c r="C1075"/>
      <c r="D1075"/>
      <c r="E1075"/>
      <c r="F1075"/>
      <c r="G1075"/>
      <c r="H1075"/>
      <c r="I1075"/>
      <c r="J1075"/>
      <c r="K1075" s="19"/>
    </row>
    <row r="1076" spans="1:11" ht="12.75" x14ac:dyDescent="0.2"/>
    <row r="1077" spans="1:11" ht="12" customHeight="1" x14ac:dyDescent="0.2"/>
    <row r="1078" spans="1:11" ht="12.75" x14ac:dyDescent="0.2"/>
    <row r="1079" spans="1:11" ht="12.75" x14ac:dyDescent="0.2"/>
    <row r="1080" spans="1:11" ht="12.75" x14ac:dyDescent="0.2"/>
    <row r="1081" spans="1:11" ht="12.75" x14ac:dyDescent="0.2">
      <c r="K1081" s="57"/>
    </row>
    <row r="1082" spans="1:11" ht="12.75" x14ac:dyDescent="0.2">
      <c r="K1082" s="58"/>
    </row>
    <row r="1083" spans="1:11" ht="12.75" x14ac:dyDescent="0.2">
      <c r="K1083" s="58"/>
    </row>
    <row r="1084" spans="1:11" ht="12.75" x14ac:dyDescent="0.2"/>
    <row r="1085" spans="1:11" ht="12.75" x14ac:dyDescent="0.2">
      <c r="K1085" s="61"/>
    </row>
    <row r="1086" spans="1:11" ht="12.75" x14ac:dyDescent="0.2">
      <c r="K1086" s="61"/>
    </row>
    <row r="1087" spans="1:11" s="59" customFormat="1" ht="15" x14ac:dyDescent="0.25">
      <c r="A1087"/>
      <c r="B1087"/>
      <c r="C1087"/>
      <c r="D1087"/>
      <c r="E1087"/>
      <c r="F1087"/>
      <c r="G1087"/>
      <c r="H1087"/>
      <c r="I1087"/>
      <c r="J1087"/>
    </row>
    <row r="1088" spans="1:11" s="59" customFormat="1" ht="15" x14ac:dyDescent="0.25">
      <c r="A1088"/>
      <c r="B1088"/>
      <c r="C1088"/>
      <c r="D1088"/>
      <c r="E1088"/>
      <c r="F1088"/>
      <c r="G1088"/>
      <c r="H1088"/>
      <c r="I1088"/>
      <c r="J1088"/>
    </row>
    <row r="1089" spans="1:11" ht="12.75" x14ac:dyDescent="0.2"/>
    <row r="1090" spans="1:11" ht="14.25" customHeight="1" x14ac:dyDescent="0.2">
      <c r="K1090" s="68"/>
    </row>
    <row r="1091" spans="1:11" ht="14.25" customHeight="1" x14ac:dyDescent="0.2">
      <c r="K1091" s="68"/>
    </row>
    <row r="1092" spans="1:11" ht="12.75" x14ac:dyDescent="0.2">
      <c r="K1092" s="68"/>
    </row>
    <row r="1093" spans="1:11" ht="14.25" customHeight="1" x14ac:dyDescent="0.2">
      <c r="K1093" s="17"/>
    </row>
    <row r="1094" spans="1:11" ht="12.75" x14ac:dyDescent="0.2">
      <c r="K1094" s="17"/>
    </row>
    <row r="1095" spans="1:11" ht="12.75" x14ac:dyDescent="0.2">
      <c r="K1095" s="17"/>
    </row>
    <row r="1096" spans="1:11" ht="12.75" x14ac:dyDescent="0.2">
      <c r="K1096" s="17"/>
    </row>
    <row r="1097" spans="1:11" ht="12.75" x14ac:dyDescent="0.2">
      <c r="K1097" s="17"/>
    </row>
    <row r="1098" spans="1:11" ht="12.75" x14ac:dyDescent="0.2">
      <c r="K1098" s="17"/>
    </row>
    <row r="1099" spans="1:11" ht="12.75" x14ac:dyDescent="0.2">
      <c r="K1099" s="17"/>
    </row>
    <row r="1100" spans="1:11" ht="6.75" customHeight="1" x14ac:dyDescent="0.2"/>
    <row r="1101" spans="1:11" s="17" customFormat="1" ht="12.75" x14ac:dyDescent="0.2">
      <c r="A1101"/>
      <c r="B1101"/>
      <c r="C1101"/>
      <c r="D1101"/>
      <c r="E1101"/>
      <c r="F1101"/>
      <c r="G1101"/>
      <c r="H1101"/>
      <c r="I1101"/>
      <c r="J1101"/>
    </row>
    <row r="1102" spans="1:11" s="92" customFormat="1" ht="15" x14ac:dyDescent="0.2">
      <c r="A1102"/>
      <c r="B1102"/>
      <c r="C1102"/>
      <c r="D1102"/>
      <c r="E1102"/>
      <c r="F1102"/>
      <c r="G1102"/>
      <c r="H1102"/>
      <c r="I1102"/>
      <c r="J1102"/>
      <c r="K1102" s="19"/>
    </row>
    <row r="1103" spans="1:11" ht="12.75" x14ac:dyDescent="0.2"/>
    <row r="1104" spans="1:11" ht="12" customHeight="1" x14ac:dyDescent="0.2"/>
    <row r="1105" spans="1:11" ht="12.75" x14ac:dyDescent="0.2"/>
    <row r="1106" spans="1:11" ht="12.75" x14ac:dyDescent="0.2"/>
    <row r="1107" spans="1:11" ht="12.75" x14ac:dyDescent="0.2"/>
    <row r="1108" spans="1:11" ht="12.75" x14ac:dyDescent="0.2">
      <c r="K1108" s="57"/>
    </row>
    <row r="1109" spans="1:11" ht="12.75" x14ac:dyDescent="0.2">
      <c r="K1109" s="58"/>
    </row>
    <row r="1110" spans="1:11" ht="12.75" x14ac:dyDescent="0.2">
      <c r="K1110" s="58"/>
    </row>
    <row r="1111" spans="1:11" ht="12.75" x14ac:dyDescent="0.2"/>
    <row r="1112" spans="1:11" ht="12.75" x14ac:dyDescent="0.2">
      <c r="K1112" s="61"/>
    </row>
    <row r="1113" spans="1:11" ht="12.75" x14ac:dyDescent="0.2">
      <c r="K1113" s="61"/>
    </row>
    <row r="1114" spans="1:11" s="59" customFormat="1" ht="15" x14ac:dyDescent="0.25">
      <c r="A1114"/>
      <c r="B1114"/>
      <c r="C1114"/>
      <c r="D1114"/>
      <c r="E1114"/>
      <c r="F1114"/>
      <c r="G1114"/>
      <c r="H1114"/>
      <c r="I1114"/>
      <c r="J1114"/>
    </row>
    <row r="1115" spans="1:11" s="59" customFormat="1" ht="15" x14ac:dyDescent="0.25">
      <c r="A1115"/>
      <c r="B1115"/>
      <c r="C1115"/>
      <c r="D1115"/>
      <c r="E1115"/>
      <c r="F1115"/>
      <c r="G1115"/>
      <c r="H1115"/>
      <c r="I1115"/>
      <c r="J1115"/>
    </row>
    <row r="1116" spans="1:11" ht="12.75" x14ac:dyDescent="0.2"/>
    <row r="1117" spans="1:11" ht="14.25" customHeight="1" x14ac:dyDescent="0.2">
      <c r="K1117" s="68"/>
    </row>
    <row r="1118" spans="1:11" ht="14.25" customHeight="1" x14ac:dyDescent="0.2">
      <c r="K1118" s="68"/>
    </row>
    <row r="1119" spans="1:11" ht="12.75" x14ac:dyDescent="0.2">
      <c r="K1119" s="68"/>
    </row>
    <row r="1120" spans="1:11" ht="14.25" customHeight="1" x14ac:dyDescent="0.2">
      <c r="K1120" s="17"/>
    </row>
    <row r="1121" spans="1:11" ht="12.75" x14ac:dyDescent="0.2">
      <c r="K1121" s="17"/>
    </row>
    <row r="1122" spans="1:11" ht="12.75" x14ac:dyDescent="0.2">
      <c r="K1122" s="17"/>
    </row>
    <row r="1123" spans="1:11" ht="12.75" x14ac:dyDescent="0.2">
      <c r="K1123" s="17"/>
    </row>
    <row r="1124" spans="1:11" ht="12.75" x14ac:dyDescent="0.2">
      <c r="K1124" s="17"/>
    </row>
    <row r="1125" spans="1:11" ht="12.75" x14ac:dyDescent="0.2">
      <c r="K1125" s="17"/>
    </row>
    <row r="1126" spans="1:11" ht="12.75" x14ac:dyDescent="0.2">
      <c r="K1126" s="17"/>
    </row>
    <row r="1127" spans="1:11" ht="6.75" customHeight="1" x14ac:dyDescent="0.2"/>
    <row r="1128" spans="1:11" s="17" customFormat="1" ht="12.75" x14ac:dyDescent="0.2">
      <c r="A1128"/>
      <c r="B1128"/>
      <c r="C1128"/>
      <c r="D1128"/>
      <c r="E1128"/>
      <c r="F1128"/>
      <c r="G1128"/>
      <c r="H1128"/>
      <c r="I1128"/>
      <c r="J1128"/>
    </row>
    <row r="1129" spans="1:11" s="92" customFormat="1" ht="15" x14ac:dyDescent="0.2">
      <c r="A1129"/>
      <c r="B1129"/>
      <c r="C1129"/>
      <c r="D1129"/>
      <c r="E1129"/>
      <c r="F1129"/>
      <c r="G1129"/>
      <c r="H1129"/>
      <c r="I1129"/>
      <c r="J1129"/>
      <c r="K1129" s="19"/>
    </row>
    <row r="1130" spans="1:11" ht="12.75" x14ac:dyDescent="0.2"/>
    <row r="1131" spans="1:11" ht="12" customHeight="1" x14ac:dyDescent="0.2"/>
    <row r="1132" spans="1:11" ht="12.75" x14ac:dyDescent="0.2"/>
    <row r="1133" spans="1:11" ht="12.75" x14ac:dyDescent="0.2"/>
    <row r="1134" spans="1:11" ht="12.75" x14ac:dyDescent="0.2"/>
    <row r="1135" spans="1:11" ht="12.75" x14ac:dyDescent="0.2">
      <c r="K1135" s="57"/>
    </row>
    <row r="1136" spans="1:11" ht="12.75" x14ac:dyDescent="0.2">
      <c r="K1136" s="58"/>
    </row>
    <row r="1137" spans="1:11" ht="12.75" x14ac:dyDescent="0.2">
      <c r="K1137" s="58"/>
    </row>
    <row r="1138" spans="1:11" ht="12.75" x14ac:dyDescent="0.2"/>
    <row r="1139" spans="1:11" ht="12.75" x14ac:dyDescent="0.2">
      <c r="K1139" s="61"/>
    </row>
    <row r="1140" spans="1:11" ht="12.75" x14ac:dyDescent="0.2">
      <c r="K1140" s="61"/>
    </row>
    <row r="1141" spans="1:11" s="59" customFormat="1" ht="15" x14ac:dyDescent="0.25">
      <c r="A1141"/>
      <c r="B1141"/>
      <c r="C1141"/>
      <c r="D1141"/>
      <c r="E1141"/>
      <c r="F1141"/>
      <c r="G1141"/>
      <c r="H1141"/>
      <c r="I1141"/>
      <c r="J1141"/>
    </row>
    <row r="1142" spans="1:11" s="59" customFormat="1" ht="15" x14ac:dyDescent="0.25">
      <c r="A1142"/>
      <c r="B1142"/>
      <c r="C1142"/>
      <c r="D1142"/>
      <c r="E1142"/>
      <c r="F1142"/>
      <c r="G1142"/>
      <c r="H1142"/>
      <c r="I1142"/>
      <c r="J1142"/>
    </row>
    <row r="1143" spans="1:11" ht="12.75" x14ac:dyDescent="0.2"/>
    <row r="1144" spans="1:11" ht="14.25" customHeight="1" x14ac:dyDescent="0.2">
      <c r="K1144" s="68"/>
    </row>
    <row r="1145" spans="1:11" ht="14.25" customHeight="1" x14ac:dyDescent="0.2">
      <c r="K1145" s="68"/>
    </row>
    <row r="1146" spans="1:11" ht="12.75" x14ac:dyDescent="0.2">
      <c r="K1146" s="68"/>
    </row>
    <row r="1147" spans="1:11" ht="14.25" customHeight="1" x14ac:dyDescent="0.2">
      <c r="K1147" s="17"/>
    </row>
    <row r="1148" spans="1:11" ht="12.75" x14ac:dyDescent="0.2">
      <c r="K1148" s="17"/>
    </row>
    <row r="1149" spans="1:11" ht="12.75" x14ac:dyDescent="0.2">
      <c r="K1149" s="17"/>
    </row>
    <row r="1150" spans="1:11" ht="12.75" x14ac:dyDescent="0.2">
      <c r="K1150" s="17"/>
    </row>
    <row r="1151" spans="1:11" ht="12.75" x14ac:dyDescent="0.2">
      <c r="K1151" s="17"/>
    </row>
    <row r="1152" spans="1:11" ht="12.75" x14ac:dyDescent="0.2">
      <c r="K1152" s="17"/>
    </row>
    <row r="1153" spans="1:11" ht="12.75" x14ac:dyDescent="0.2">
      <c r="K1153" s="17"/>
    </row>
    <row r="1154" spans="1:11" ht="6.75" customHeight="1" x14ac:dyDescent="0.2"/>
    <row r="1155" spans="1:11" s="17" customFormat="1" ht="12.75" x14ac:dyDescent="0.2">
      <c r="A1155"/>
      <c r="B1155"/>
      <c r="C1155"/>
      <c r="D1155"/>
      <c r="E1155"/>
      <c r="F1155"/>
      <c r="G1155"/>
      <c r="H1155"/>
      <c r="I1155"/>
      <c r="J1155"/>
    </row>
    <row r="1156" spans="1:11" s="92" customFormat="1" ht="15" x14ac:dyDescent="0.2">
      <c r="A1156"/>
      <c r="B1156"/>
      <c r="C1156"/>
      <c r="D1156"/>
      <c r="E1156"/>
      <c r="F1156"/>
      <c r="G1156"/>
      <c r="H1156"/>
      <c r="I1156"/>
      <c r="J1156"/>
      <c r="K1156" s="19"/>
    </row>
    <row r="1157" spans="1:11" ht="12.75" x14ac:dyDescent="0.2"/>
    <row r="1158" spans="1:11" ht="12" customHeight="1" x14ac:dyDescent="0.2"/>
    <row r="1159" spans="1:11" ht="12.75" x14ac:dyDescent="0.2"/>
    <row r="1160" spans="1:11" ht="12.75" x14ac:dyDescent="0.2"/>
    <row r="1161" spans="1:11" ht="12.75" x14ac:dyDescent="0.2"/>
    <row r="1162" spans="1:11" ht="12.75" x14ac:dyDescent="0.2">
      <c r="K1162" s="57"/>
    </row>
    <row r="1163" spans="1:11" ht="12.75" x14ac:dyDescent="0.2">
      <c r="K1163" s="58"/>
    </row>
    <row r="1164" spans="1:11" ht="12.75" x14ac:dyDescent="0.2">
      <c r="K1164" s="58"/>
    </row>
    <row r="1165" spans="1:11" ht="12.75" x14ac:dyDescent="0.2"/>
    <row r="1166" spans="1:11" ht="12.75" x14ac:dyDescent="0.2">
      <c r="K1166" s="61"/>
    </row>
    <row r="1167" spans="1:11" ht="12.75" x14ac:dyDescent="0.2">
      <c r="K1167" s="61"/>
    </row>
    <row r="1168" spans="1:11" s="59" customFormat="1" ht="15" x14ac:dyDescent="0.25">
      <c r="A1168"/>
      <c r="B1168"/>
      <c r="C1168"/>
      <c r="D1168"/>
      <c r="E1168"/>
      <c r="F1168"/>
      <c r="G1168"/>
      <c r="H1168"/>
      <c r="I1168"/>
      <c r="J1168"/>
    </row>
    <row r="1169" spans="1:11" s="59" customFormat="1" ht="15" x14ac:dyDescent="0.25">
      <c r="A1169"/>
      <c r="B1169"/>
      <c r="C1169"/>
      <c r="D1169"/>
      <c r="E1169"/>
      <c r="F1169"/>
      <c r="G1169"/>
      <c r="H1169"/>
      <c r="I1169"/>
      <c r="J1169"/>
    </row>
    <row r="1170" spans="1:11" ht="12.75" x14ac:dyDescent="0.2"/>
    <row r="1171" spans="1:11" ht="14.25" customHeight="1" x14ac:dyDescent="0.2">
      <c r="K1171" s="68"/>
    </row>
    <row r="1172" spans="1:11" ht="14.25" customHeight="1" x14ac:dyDescent="0.2">
      <c r="K1172" s="68"/>
    </row>
    <row r="1173" spans="1:11" ht="12.75" x14ac:dyDescent="0.2">
      <c r="K1173" s="68"/>
    </row>
    <row r="1174" spans="1:11" ht="14.25" customHeight="1" x14ac:dyDescent="0.2">
      <c r="K1174" s="17"/>
    </row>
    <row r="1175" spans="1:11" ht="12.75" x14ac:dyDescent="0.2">
      <c r="K1175" s="17"/>
    </row>
    <row r="1176" spans="1:11" ht="12.75" x14ac:dyDescent="0.2">
      <c r="K1176" s="17"/>
    </row>
    <row r="1177" spans="1:11" ht="12.75" x14ac:dyDescent="0.2">
      <c r="K1177" s="17"/>
    </row>
    <row r="1178" spans="1:11" ht="12.75" x14ac:dyDescent="0.2">
      <c r="K1178" s="17"/>
    </row>
    <row r="1179" spans="1:11" ht="12.75" x14ac:dyDescent="0.2">
      <c r="K1179" s="17"/>
    </row>
    <row r="1180" spans="1:11" ht="12.75" x14ac:dyDescent="0.2">
      <c r="K1180" s="17"/>
    </row>
    <row r="1181" spans="1:11" ht="6.75" customHeight="1" x14ac:dyDescent="0.2"/>
    <row r="1182" spans="1:11" s="17" customFormat="1" ht="12.75" x14ac:dyDescent="0.2">
      <c r="A1182"/>
      <c r="B1182"/>
      <c r="C1182"/>
      <c r="D1182"/>
      <c r="E1182"/>
      <c r="F1182"/>
      <c r="G1182"/>
      <c r="H1182"/>
      <c r="I1182"/>
      <c r="J1182"/>
    </row>
    <row r="1183" spans="1:11" s="92" customFormat="1" ht="15" x14ac:dyDescent="0.2">
      <c r="A1183"/>
      <c r="B1183"/>
      <c r="C1183"/>
      <c r="D1183"/>
      <c r="E1183"/>
      <c r="F1183"/>
      <c r="G1183"/>
      <c r="H1183"/>
      <c r="I1183"/>
      <c r="J1183"/>
      <c r="K1183" s="19"/>
    </row>
    <row r="1184" spans="1:11" ht="12.75" x14ac:dyDescent="0.2"/>
    <row r="1185" spans="1:11" ht="12" customHeight="1" x14ac:dyDescent="0.2"/>
    <row r="1186" spans="1:11" ht="12.75" x14ac:dyDescent="0.2"/>
    <row r="1187" spans="1:11" ht="12.75" x14ac:dyDescent="0.2"/>
    <row r="1188" spans="1:11" ht="12.75" x14ac:dyDescent="0.2"/>
    <row r="1189" spans="1:11" ht="12.75" x14ac:dyDescent="0.2">
      <c r="K1189" s="57"/>
    </row>
    <row r="1190" spans="1:11" ht="12.75" x14ac:dyDescent="0.2">
      <c r="K1190" s="58"/>
    </row>
    <row r="1191" spans="1:11" ht="12.75" x14ac:dyDescent="0.2">
      <c r="K1191" s="58"/>
    </row>
    <row r="1192" spans="1:11" ht="12.75" x14ac:dyDescent="0.2"/>
    <row r="1193" spans="1:11" ht="12.75" x14ac:dyDescent="0.2">
      <c r="K1193" s="61"/>
    </row>
    <row r="1194" spans="1:11" ht="12.75" x14ac:dyDescent="0.2">
      <c r="K1194" s="61"/>
    </row>
    <row r="1195" spans="1:11" s="59" customFormat="1" ht="15" x14ac:dyDescent="0.25">
      <c r="A1195"/>
      <c r="B1195"/>
      <c r="C1195"/>
      <c r="D1195"/>
      <c r="E1195"/>
      <c r="F1195"/>
      <c r="G1195"/>
      <c r="H1195"/>
      <c r="I1195"/>
      <c r="J1195"/>
    </row>
    <row r="1196" spans="1:11" s="59" customFormat="1" ht="15" x14ac:dyDescent="0.25">
      <c r="A1196"/>
      <c r="B1196"/>
      <c r="C1196"/>
      <c r="D1196"/>
      <c r="E1196"/>
      <c r="F1196"/>
      <c r="G1196"/>
      <c r="H1196"/>
      <c r="I1196"/>
      <c r="J1196"/>
    </row>
    <row r="1197" spans="1:11" ht="12.75" x14ac:dyDescent="0.2"/>
    <row r="1198" spans="1:11" ht="14.25" customHeight="1" x14ac:dyDescent="0.2">
      <c r="K1198" s="68"/>
    </row>
    <row r="1199" spans="1:11" ht="14.25" customHeight="1" x14ac:dyDescent="0.2">
      <c r="K1199" s="68"/>
    </row>
    <row r="1200" spans="1:11" ht="12.75" x14ac:dyDescent="0.2">
      <c r="K1200" s="68"/>
    </row>
    <row r="1201" spans="1:11" ht="14.25" customHeight="1" x14ac:dyDescent="0.2">
      <c r="K1201" s="17"/>
    </row>
    <row r="1202" spans="1:11" ht="12.75" x14ac:dyDescent="0.2">
      <c r="K1202" s="17"/>
    </row>
    <row r="1203" spans="1:11" ht="12.75" x14ac:dyDescent="0.2">
      <c r="K1203" s="17"/>
    </row>
    <row r="1204" spans="1:11" ht="12.75" x14ac:dyDescent="0.2">
      <c r="K1204" s="17"/>
    </row>
    <row r="1205" spans="1:11" ht="12.75" x14ac:dyDescent="0.2">
      <c r="K1205" s="17"/>
    </row>
    <row r="1206" spans="1:11" ht="12.75" x14ac:dyDescent="0.2">
      <c r="K1206" s="17"/>
    </row>
    <row r="1207" spans="1:11" ht="12.75" x14ac:dyDescent="0.2">
      <c r="K1207" s="17"/>
    </row>
    <row r="1208" spans="1:11" ht="6.75" customHeight="1" x14ac:dyDescent="0.2"/>
    <row r="1209" spans="1:11" s="17" customFormat="1" ht="12.75" x14ac:dyDescent="0.2">
      <c r="A1209"/>
      <c r="B1209"/>
      <c r="C1209"/>
      <c r="D1209"/>
      <c r="E1209"/>
      <c r="F1209"/>
      <c r="G1209"/>
      <c r="H1209"/>
      <c r="I1209"/>
      <c r="J1209"/>
    </row>
    <row r="1210" spans="1:11" s="92" customFormat="1" ht="15" x14ac:dyDescent="0.2">
      <c r="A1210"/>
      <c r="B1210"/>
      <c r="C1210"/>
      <c r="D1210"/>
      <c r="E1210"/>
      <c r="F1210"/>
      <c r="G1210"/>
      <c r="H1210"/>
      <c r="I1210"/>
      <c r="J1210"/>
      <c r="K1210" s="19"/>
    </row>
    <row r="1211" spans="1:11" ht="12.75" x14ac:dyDescent="0.2"/>
    <row r="1212" spans="1:11" ht="12" customHeight="1" x14ac:dyDescent="0.2"/>
    <row r="1213" spans="1:11" ht="12.75" x14ac:dyDescent="0.2"/>
    <row r="1214" spans="1:11" ht="12.75" x14ac:dyDescent="0.2"/>
    <row r="1215" spans="1:11" ht="12.75" x14ac:dyDescent="0.2"/>
    <row r="1216" spans="1:11" ht="12.75" x14ac:dyDescent="0.2">
      <c r="K1216" s="57"/>
    </row>
    <row r="1217" spans="1:11" ht="12.75" x14ac:dyDescent="0.2">
      <c r="K1217" s="58"/>
    </row>
    <row r="1218" spans="1:11" ht="12.75" x14ac:dyDescent="0.2">
      <c r="K1218" s="58"/>
    </row>
    <row r="1219" spans="1:11" ht="12.75" x14ac:dyDescent="0.2"/>
    <row r="1220" spans="1:11" ht="12.75" x14ac:dyDescent="0.2">
      <c r="K1220" s="61"/>
    </row>
    <row r="1221" spans="1:11" ht="12.75" x14ac:dyDescent="0.2">
      <c r="K1221" s="61"/>
    </row>
    <row r="1222" spans="1:11" s="59" customFormat="1" ht="15" x14ac:dyDescent="0.25">
      <c r="A1222"/>
      <c r="B1222"/>
      <c r="C1222"/>
      <c r="D1222"/>
      <c r="E1222"/>
      <c r="F1222"/>
      <c r="G1222"/>
      <c r="H1222"/>
      <c r="I1222"/>
      <c r="J1222"/>
    </row>
    <row r="1223" spans="1:11" s="59" customFormat="1" ht="15" x14ac:dyDescent="0.25">
      <c r="A1223"/>
      <c r="B1223"/>
      <c r="C1223"/>
      <c r="D1223"/>
      <c r="E1223"/>
      <c r="F1223"/>
      <c r="G1223"/>
      <c r="H1223"/>
      <c r="I1223"/>
      <c r="J1223"/>
    </row>
    <row r="1224" spans="1:11" ht="12.75" x14ac:dyDescent="0.2"/>
    <row r="1225" spans="1:11" ht="14.25" customHeight="1" x14ac:dyDescent="0.2">
      <c r="K1225" s="68"/>
    </row>
    <row r="1226" spans="1:11" ht="14.25" customHeight="1" x14ac:dyDescent="0.2">
      <c r="K1226" s="68"/>
    </row>
    <row r="1227" spans="1:11" ht="12.75" x14ac:dyDescent="0.2">
      <c r="K1227" s="68"/>
    </row>
    <row r="1228" spans="1:11" ht="14.25" customHeight="1" x14ac:dyDescent="0.2">
      <c r="K1228" s="17"/>
    </row>
    <row r="1229" spans="1:11" ht="12.75" x14ac:dyDescent="0.2">
      <c r="K1229" s="17"/>
    </row>
    <row r="1230" spans="1:11" ht="12.75" x14ac:dyDescent="0.2">
      <c r="K1230" s="17"/>
    </row>
    <row r="1231" spans="1:11" ht="12.75" x14ac:dyDescent="0.2">
      <c r="K1231" s="17"/>
    </row>
    <row r="1232" spans="1:11" ht="12.75" x14ac:dyDescent="0.2">
      <c r="K1232" s="17"/>
    </row>
    <row r="1233" spans="1:11" ht="12.75" x14ac:dyDescent="0.2">
      <c r="K1233" s="17"/>
    </row>
    <row r="1234" spans="1:11" ht="12.75" x14ac:dyDescent="0.2">
      <c r="K1234" s="17"/>
    </row>
    <row r="1235" spans="1:11" ht="6.75" customHeight="1" x14ac:dyDescent="0.2"/>
    <row r="1236" spans="1:11" s="17" customFormat="1" ht="12.75" x14ac:dyDescent="0.2">
      <c r="A1236"/>
      <c r="B1236"/>
      <c r="C1236"/>
      <c r="D1236"/>
      <c r="E1236"/>
      <c r="F1236"/>
      <c r="G1236"/>
      <c r="H1236"/>
      <c r="I1236"/>
      <c r="J1236"/>
    </row>
    <row r="1237" spans="1:11" s="92" customFormat="1" ht="15" x14ac:dyDescent="0.2">
      <c r="A1237"/>
      <c r="B1237"/>
      <c r="C1237"/>
      <c r="D1237"/>
      <c r="E1237"/>
      <c r="F1237"/>
      <c r="G1237"/>
      <c r="H1237"/>
      <c r="I1237"/>
      <c r="J1237"/>
      <c r="K1237" s="19"/>
    </row>
    <row r="1238" spans="1:11" ht="12.75" x14ac:dyDescent="0.2"/>
    <row r="1239" spans="1:11" ht="12" customHeight="1" x14ac:dyDescent="0.2"/>
    <row r="1240" spans="1:11" ht="12.75" x14ac:dyDescent="0.2"/>
    <row r="1241" spans="1:11" ht="12.75" x14ac:dyDescent="0.2"/>
    <row r="1242" spans="1:11" ht="12.75" x14ac:dyDescent="0.2"/>
    <row r="1243" spans="1:11" ht="12.75" x14ac:dyDescent="0.2">
      <c r="K1243" s="57"/>
    </row>
    <row r="1244" spans="1:11" ht="12.75" x14ac:dyDescent="0.2">
      <c r="K1244" s="58"/>
    </row>
    <row r="1245" spans="1:11" ht="12.75" x14ac:dyDescent="0.2">
      <c r="K1245" s="58"/>
    </row>
    <row r="1246" spans="1:11" ht="12.75" x14ac:dyDescent="0.2"/>
    <row r="1247" spans="1:11" ht="12.75" x14ac:dyDescent="0.2">
      <c r="K1247" s="61"/>
    </row>
    <row r="1248" spans="1:11" ht="12.75" x14ac:dyDescent="0.2">
      <c r="K1248" s="61"/>
    </row>
    <row r="1249" spans="1:11" s="59" customFormat="1" ht="15" x14ac:dyDescent="0.25">
      <c r="A1249"/>
      <c r="B1249"/>
      <c r="C1249"/>
      <c r="D1249"/>
      <c r="E1249"/>
      <c r="F1249"/>
      <c r="G1249"/>
      <c r="H1249"/>
      <c r="I1249"/>
      <c r="J1249"/>
    </row>
    <row r="1250" spans="1:11" s="59" customFormat="1" ht="15" x14ac:dyDescent="0.25">
      <c r="A1250"/>
      <c r="B1250"/>
      <c r="C1250"/>
      <c r="D1250"/>
      <c r="E1250"/>
      <c r="F1250"/>
      <c r="G1250"/>
      <c r="H1250"/>
      <c r="I1250"/>
      <c r="J1250"/>
    </row>
    <row r="1251" spans="1:11" ht="12.75" x14ac:dyDescent="0.2"/>
    <row r="1252" spans="1:11" ht="14.25" customHeight="1" x14ac:dyDescent="0.2">
      <c r="K1252" s="68"/>
    </row>
    <row r="1253" spans="1:11" ht="14.25" customHeight="1" x14ac:dyDescent="0.2">
      <c r="K1253" s="68"/>
    </row>
    <row r="1254" spans="1:11" ht="12.75" x14ac:dyDescent="0.2">
      <c r="K1254" s="68"/>
    </row>
    <row r="1255" spans="1:11" ht="14.25" customHeight="1" x14ac:dyDescent="0.2">
      <c r="K1255" s="17"/>
    </row>
    <row r="1256" spans="1:11" ht="12.75" x14ac:dyDescent="0.2">
      <c r="K1256" s="17"/>
    </row>
    <row r="1257" spans="1:11" ht="12.75" x14ac:dyDescent="0.2">
      <c r="K1257" s="17"/>
    </row>
    <row r="1258" spans="1:11" ht="12.75" x14ac:dyDescent="0.2">
      <c r="K1258" s="17"/>
    </row>
    <row r="1259" spans="1:11" ht="12.75" x14ac:dyDescent="0.2">
      <c r="K1259" s="17"/>
    </row>
    <row r="1260" spans="1:11" ht="12.75" x14ac:dyDescent="0.2">
      <c r="K1260" s="17"/>
    </row>
    <row r="1261" spans="1:11" ht="12.75" x14ac:dyDescent="0.2">
      <c r="K1261" s="17"/>
    </row>
    <row r="1262" spans="1:11" ht="6.75" customHeight="1" x14ac:dyDescent="0.2"/>
    <row r="1263" spans="1:11" s="17" customFormat="1" ht="12.75" x14ac:dyDescent="0.2">
      <c r="A1263"/>
      <c r="B1263"/>
      <c r="C1263"/>
      <c r="D1263"/>
      <c r="E1263"/>
      <c r="F1263"/>
      <c r="G1263"/>
      <c r="H1263"/>
      <c r="I1263"/>
      <c r="J1263"/>
    </row>
    <row r="1264" spans="1:11" s="92" customFormat="1" ht="15" x14ac:dyDescent="0.2">
      <c r="A1264"/>
      <c r="B1264"/>
      <c r="C1264"/>
      <c r="D1264"/>
      <c r="E1264"/>
      <c r="F1264"/>
      <c r="G1264"/>
      <c r="H1264"/>
      <c r="I1264"/>
      <c r="J1264"/>
      <c r="K1264" s="19"/>
    </row>
    <row r="1265" spans="1:11" ht="12.75" x14ac:dyDescent="0.2"/>
    <row r="1266" spans="1:11" ht="12" customHeight="1" x14ac:dyDescent="0.2"/>
    <row r="1267" spans="1:11" ht="12.75" x14ac:dyDescent="0.2"/>
    <row r="1268" spans="1:11" ht="12.75" x14ac:dyDescent="0.2"/>
    <row r="1269" spans="1:11" ht="12.75" x14ac:dyDescent="0.2"/>
    <row r="1270" spans="1:11" ht="12.75" x14ac:dyDescent="0.2">
      <c r="K1270" s="57"/>
    </row>
    <row r="1271" spans="1:11" ht="12.75" x14ac:dyDescent="0.2">
      <c r="K1271" s="58"/>
    </row>
    <row r="1272" spans="1:11" ht="12.75" x14ac:dyDescent="0.2">
      <c r="K1272" s="58"/>
    </row>
    <row r="1273" spans="1:11" ht="12.75" x14ac:dyDescent="0.2"/>
    <row r="1274" spans="1:11" ht="12.75" x14ac:dyDescent="0.2">
      <c r="K1274" s="61"/>
    </row>
    <row r="1275" spans="1:11" ht="12.75" x14ac:dyDescent="0.2">
      <c r="K1275" s="61"/>
    </row>
    <row r="1276" spans="1:11" s="59" customFormat="1" ht="15" x14ac:dyDescent="0.25">
      <c r="A1276"/>
      <c r="B1276"/>
      <c r="C1276"/>
      <c r="D1276"/>
      <c r="E1276"/>
      <c r="F1276"/>
      <c r="G1276"/>
      <c r="H1276"/>
      <c r="I1276"/>
      <c r="J1276"/>
    </row>
    <row r="1277" spans="1:11" s="59" customFormat="1" ht="15" x14ac:dyDescent="0.25">
      <c r="A1277"/>
      <c r="B1277"/>
      <c r="C1277"/>
      <c r="D1277"/>
      <c r="E1277"/>
      <c r="F1277"/>
      <c r="G1277"/>
      <c r="H1277"/>
      <c r="I1277"/>
      <c r="J1277"/>
    </row>
    <row r="1278" spans="1:11" ht="12.75" x14ac:dyDescent="0.2"/>
    <row r="1279" spans="1:11" ht="14.25" customHeight="1" x14ac:dyDescent="0.2">
      <c r="K1279" s="68"/>
    </row>
    <row r="1280" spans="1:11" ht="14.25" customHeight="1" x14ac:dyDescent="0.2">
      <c r="K1280" s="68"/>
    </row>
    <row r="1281" spans="1:11" ht="12.75" x14ac:dyDescent="0.2">
      <c r="K1281" s="68"/>
    </row>
    <row r="1282" spans="1:11" ht="14.25" customHeight="1" x14ac:dyDescent="0.2">
      <c r="K1282" s="17"/>
    </row>
    <row r="1283" spans="1:11" ht="12.75" x14ac:dyDescent="0.2">
      <c r="K1283" s="17"/>
    </row>
    <row r="1284" spans="1:11" ht="12.75" x14ac:dyDescent="0.2">
      <c r="K1284" s="17"/>
    </row>
    <row r="1285" spans="1:11" ht="12.75" x14ac:dyDescent="0.2">
      <c r="K1285" s="17"/>
    </row>
    <row r="1286" spans="1:11" ht="12.75" x14ac:dyDescent="0.2">
      <c r="K1286" s="17"/>
    </row>
    <row r="1287" spans="1:11" ht="12.75" x14ac:dyDescent="0.2">
      <c r="K1287" s="17"/>
    </row>
    <row r="1288" spans="1:11" ht="12.75" x14ac:dyDescent="0.2">
      <c r="K1288" s="17"/>
    </row>
    <row r="1289" spans="1:11" ht="6.75" customHeight="1" x14ac:dyDescent="0.2"/>
    <row r="1290" spans="1:11" s="17" customFormat="1" ht="12.75" x14ac:dyDescent="0.2">
      <c r="A1290"/>
      <c r="B1290"/>
      <c r="C1290"/>
      <c r="D1290"/>
      <c r="E1290"/>
      <c r="F1290"/>
      <c r="G1290"/>
      <c r="H1290"/>
      <c r="I1290"/>
      <c r="J1290"/>
    </row>
    <row r="1291" spans="1:11" s="92" customFormat="1" ht="15" x14ac:dyDescent="0.2">
      <c r="A1291"/>
      <c r="B1291"/>
      <c r="C1291"/>
      <c r="D1291"/>
      <c r="E1291"/>
      <c r="F1291"/>
      <c r="G1291"/>
      <c r="H1291"/>
      <c r="I1291"/>
      <c r="J1291"/>
      <c r="K1291" s="19"/>
    </row>
    <row r="1292" spans="1:11" ht="12.75" x14ac:dyDescent="0.2"/>
    <row r="1293" spans="1:11" ht="12" customHeight="1" x14ac:dyDescent="0.2"/>
    <row r="1294" spans="1:11" ht="12.75" x14ac:dyDescent="0.2"/>
    <row r="1295" spans="1:11" ht="12.75" x14ac:dyDescent="0.2"/>
    <row r="1296" spans="1:11" ht="12.75" x14ac:dyDescent="0.2"/>
    <row r="1297" spans="1:11" ht="12.75" x14ac:dyDescent="0.2">
      <c r="K1297" s="57"/>
    </row>
    <row r="1298" spans="1:11" ht="12.75" x14ac:dyDescent="0.2">
      <c r="K1298" s="58"/>
    </row>
    <row r="1299" spans="1:11" ht="12.75" x14ac:dyDescent="0.2">
      <c r="K1299" s="58"/>
    </row>
    <row r="1300" spans="1:11" ht="12.75" x14ac:dyDescent="0.2"/>
    <row r="1301" spans="1:11" ht="12.75" x14ac:dyDescent="0.2">
      <c r="K1301" s="61"/>
    </row>
    <row r="1302" spans="1:11" ht="12.75" x14ac:dyDescent="0.2">
      <c r="K1302" s="61"/>
    </row>
    <row r="1303" spans="1:11" s="59" customFormat="1" ht="15" x14ac:dyDescent="0.25">
      <c r="A1303"/>
      <c r="B1303"/>
      <c r="C1303"/>
      <c r="D1303"/>
      <c r="E1303"/>
      <c r="F1303"/>
      <c r="G1303"/>
      <c r="H1303"/>
      <c r="I1303"/>
      <c r="J1303"/>
    </row>
    <row r="1304" spans="1:11" s="59" customFormat="1" ht="15" x14ac:dyDescent="0.25">
      <c r="A1304"/>
      <c r="B1304"/>
      <c r="C1304"/>
      <c r="D1304"/>
      <c r="E1304"/>
      <c r="F1304"/>
      <c r="G1304"/>
      <c r="H1304"/>
      <c r="I1304"/>
      <c r="J1304"/>
    </row>
    <row r="1305" spans="1:11" ht="12.75" x14ac:dyDescent="0.2"/>
    <row r="1306" spans="1:11" ht="14.25" customHeight="1" x14ac:dyDescent="0.2">
      <c r="K1306" s="68"/>
    </row>
    <row r="1307" spans="1:11" ht="14.25" customHeight="1" x14ac:dyDescent="0.2">
      <c r="K1307" s="68"/>
    </row>
    <row r="1308" spans="1:11" ht="12.75" x14ac:dyDescent="0.2">
      <c r="K1308" s="68"/>
    </row>
    <row r="1309" spans="1:11" ht="14.25" customHeight="1" x14ac:dyDescent="0.2">
      <c r="K1309" s="17"/>
    </row>
    <row r="1310" spans="1:11" ht="12.75" x14ac:dyDescent="0.2">
      <c r="K1310" s="17"/>
    </row>
    <row r="1311" spans="1:11" ht="12.75" x14ac:dyDescent="0.2">
      <c r="K1311" s="17"/>
    </row>
    <row r="1312" spans="1:11" ht="12.75" x14ac:dyDescent="0.2">
      <c r="K1312" s="17"/>
    </row>
    <row r="1313" spans="1:11" ht="12.75" x14ac:dyDescent="0.2">
      <c r="K1313" s="17"/>
    </row>
    <row r="1314" spans="1:11" ht="12.75" x14ac:dyDescent="0.2">
      <c r="K1314" s="17"/>
    </row>
    <row r="1315" spans="1:11" ht="12.75" x14ac:dyDescent="0.2">
      <c r="K1315" s="17"/>
    </row>
    <row r="1316" spans="1:11" ht="6.75" customHeight="1" x14ac:dyDescent="0.2"/>
    <row r="1317" spans="1:11" s="17" customFormat="1" ht="12.75" x14ac:dyDescent="0.2">
      <c r="A1317"/>
      <c r="B1317"/>
      <c r="C1317"/>
      <c r="D1317"/>
      <c r="E1317"/>
      <c r="F1317"/>
      <c r="G1317"/>
      <c r="H1317"/>
      <c r="I1317"/>
      <c r="J1317"/>
    </row>
    <row r="1318" spans="1:11" s="92" customFormat="1" ht="15" x14ac:dyDescent="0.2">
      <c r="A1318"/>
      <c r="B1318"/>
      <c r="C1318"/>
      <c r="D1318"/>
      <c r="E1318"/>
      <c r="F1318"/>
      <c r="G1318"/>
      <c r="H1318"/>
      <c r="I1318"/>
      <c r="J1318"/>
      <c r="K1318" s="19"/>
    </row>
    <row r="1319" spans="1:11" ht="12.75" x14ac:dyDescent="0.2"/>
    <row r="1320" spans="1:11" ht="12" customHeight="1" x14ac:dyDescent="0.2"/>
    <row r="1321" spans="1:11" ht="12.75" x14ac:dyDescent="0.2"/>
    <row r="1322" spans="1:11" ht="12.75" x14ac:dyDescent="0.2"/>
    <row r="1323" spans="1:11" ht="12.75" x14ac:dyDescent="0.2"/>
    <row r="1324" spans="1:11" ht="12.75" x14ac:dyDescent="0.2">
      <c r="K1324" s="57"/>
    </row>
    <row r="1325" spans="1:11" ht="12.75" x14ac:dyDescent="0.2">
      <c r="K1325" s="58"/>
    </row>
    <row r="1326" spans="1:11" ht="12.75" x14ac:dyDescent="0.2">
      <c r="K1326" s="58"/>
    </row>
    <row r="1327" spans="1:11" ht="12.75" x14ac:dyDescent="0.2"/>
    <row r="1328" spans="1:11" ht="12.75" x14ac:dyDescent="0.2">
      <c r="K1328" s="61"/>
    </row>
    <row r="1329" spans="1:11" ht="12.75" x14ac:dyDescent="0.2">
      <c r="K1329" s="61"/>
    </row>
    <row r="1330" spans="1:11" s="59" customFormat="1" ht="15" x14ac:dyDescent="0.25">
      <c r="A1330"/>
      <c r="B1330"/>
      <c r="C1330"/>
      <c r="D1330"/>
      <c r="E1330"/>
      <c r="F1330"/>
      <c r="G1330"/>
      <c r="H1330"/>
      <c r="I1330"/>
      <c r="J1330"/>
    </row>
    <row r="1331" spans="1:11" s="59" customFormat="1" ht="15" x14ac:dyDescent="0.25">
      <c r="A1331"/>
      <c r="B1331"/>
      <c r="C1331"/>
      <c r="D1331"/>
      <c r="E1331"/>
      <c r="F1331"/>
      <c r="G1331"/>
      <c r="H1331"/>
      <c r="I1331"/>
      <c r="J1331"/>
    </row>
    <row r="1332" spans="1:11" ht="12.75" x14ac:dyDescent="0.2"/>
    <row r="1333" spans="1:11" ht="14.25" customHeight="1" x14ac:dyDescent="0.2">
      <c r="K1333" s="68"/>
    </row>
    <row r="1334" spans="1:11" ht="14.25" customHeight="1" x14ac:dyDescent="0.2">
      <c r="K1334" s="68"/>
    </row>
    <row r="1335" spans="1:11" ht="12.75" x14ac:dyDescent="0.2">
      <c r="K1335" s="68"/>
    </row>
    <row r="1336" spans="1:11" ht="14.25" customHeight="1" x14ac:dyDescent="0.2">
      <c r="K1336" s="17"/>
    </row>
    <row r="1337" spans="1:11" ht="12.75" x14ac:dyDescent="0.2">
      <c r="K1337" s="17"/>
    </row>
    <row r="1338" spans="1:11" ht="12.75" x14ac:dyDescent="0.2">
      <c r="K1338" s="17"/>
    </row>
    <row r="1339" spans="1:11" ht="12.75" x14ac:dyDescent="0.2">
      <c r="K1339" s="17"/>
    </row>
    <row r="1340" spans="1:11" ht="12.75" x14ac:dyDescent="0.2">
      <c r="K1340" s="17"/>
    </row>
    <row r="1341" spans="1:11" ht="12.75" x14ac:dyDescent="0.2">
      <c r="K1341" s="17"/>
    </row>
    <row r="1342" spans="1:11" ht="12.75" x14ac:dyDescent="0.2">
      <c r="K1342" s="17"/>
    </row>
    <row r="1343" spans="1:11" ht="6.75" customHeight="1" x14ac:dyDescent="0.2"/>
    <row r="1344" spans="1:11" s="17" customFormat="1" ht="12.75" x14ac:dyDescent="0.2">
      <c r="A1344"/>
      <c r="B1344"/>
      <c r="C1344"/>
      <c r="D1344"/>
      <c r="E1344"/>
      <c r="F1344"/>
      <c r="G1344"/>
      <c r="H1344"/>
      <c r="I1344"/>
      <c r="J1344"/>
    </row>
    <row r="1345" spans="1:11" s="92" customFormat="1" ht="15" x14ac:dyDescent="0.2">
      <c r="A1345"/>
      <c r="B1345"/>
      <c r="C1345"/>
      <c r="D1345"/>
      <c r="E1345"/>
      <c r="F1345"/>
      <c r="G1345"/>
      <c r="H1345"/>
      <c r="I1345"/>
      <c r="J1345"/>
      <c r="K1345" s="19"/>
    </row>
    <row r="1346" spans="1:11" ht="12.75" x14ac:dyDescent="0.2"/>
    <row r="1347" spans="1:11" ht="12" customHeight="1" x14ac:dyDescent="0.2"/>
    <row r="1348" spans="1:11" ht="12.75" x14ac:dyDescent="0.2"/>
    <row r="1349" spans="1:11" ht="12.75" x14ac:dyDescent="0.2"/>
    <row r="1350" spans="1:11" ht="12.75" x14ac:dyDescent="0.2"/>
    <row r="1351" spans="1:11" ht="12.75" x14ac:dyDescent="0.2">
      <c r="K1351" s="57"/>
    </row>
    <row r="1352" spans="1:11" ht="12.75" x14ac:dyDescent="0.2">
      <c r="K1352" s="58"/>
    </row>
    <row r="1353" spans="1:11" ht="12.75" x14ac:dyDescent="0.2">
      <c r="K1353" s="58"/>
    </row>
    <row r="1354" spans="1:11" ht="12.75" x14ac:dyDescent="0.2"/>
    <row r="1355" spans="1:11" ht="12.75" x14ac:dyDescent="0.2">
      <c r="K1355" s="61"/>
    </row>
    <row r="1356" spans="1:11" ht="12.75" x14ac:dyDescent="0.2">
      <c r="K1356" s="61"/>
    </row>
    <row r="1357" spans="1:11" s="59" customFormat="1" ht="15" x14ac:dyDescent="0.25">
      <c r="A1357"/>
      <c r="B1357"/>
      <c r="C1357"/>
      <c r="D1357"/>
      <c r="E1357"/>
      <c r="F1357"/>
      <c r="G1357"/>
      <c r="H1357"/>
      <c r="I1357"/>
      <c r="J1357"/>
    </row>
    <row r="1358" spans="1:11" s="59" customFormat="1" ht="15" x14ac:dyDescent="0.25">
      <c r="A1358"/>
      <c r="B1358"/>
      <c r="C1358"/>
      <c r="D1358"/>
      <c r="E1358"/>
      <c r="F1358"/>
      <c r="G1358"/>
      <c r="H1358"/>
      <c r="I1358"/>
      <c r="J1358"/>
    </row>
    <row r="1359" spans="1:11" ht="12.75" x14ac:dyDescent="0.2"/>
    <row r="1360" spans="1:11" ht="14.25" customHeight="1" x14ac:dyDescent="0.2">
      <c r="K1360" s="68"/>
    </row>
    <row r="1361" spans="1:11" ht="14.25" customHeight="1" x14ac:dyDescent="0.2">
      <c r="K1361" s="68"/>
    </row>
    <row r="1362" spans="1:11" ht="12.75" x14ac:dyDescent="0.2">
      <c r="K1362" s="68"/>
    </row>
    <row r="1363" spans="1:11" ht="14.25" customHeight="1" x14ac:dyDescent="0.2">
      <c r="K1363" s="17"/>
    </row>
    <row r="1364" spans="1:11" ht="12.75" x14ac:dyDescent="0.2">
      <c r="K1364" s="17"/>
    </row>
    <row r="1365" spans="1:11" ht="12.75" x14ac:dyDescent="0.2">
      <c r="K1365" s="17"/>
    </row>
    <row r="1366" spans="1:11" ht="12.75" x14ac:dyDescent="0.2">
      <c r="K1366" s="17"/>
    </row>
    <row r="1367" spans="1:11" ht="12.75" x14ac:dyDescent="0.2">
      <c r="K1367" s="17"/>
    </row>
    <row r="1368" spans="1:11" ht="12.75" x14ac:dyDescent="0.2">
      <c r="K1368" s="17"/>
    </row>
    <row r="1369" spans="1:11" ht="12.75" x14ac:dyDescent="0.2">
      <c r="K1369" s="17"/>
    </row>
    <row r="1370" spans="1:11" ht="6.75" customHeight="1" x14ac:dyDescent="0.2"/>
    <row r="1371" spans="1:11" s="17" customFormat="1" ht="12.75" x14ac:dyDescent="0.2">
      <c r="A1371"/>
      <c r="B1371"/>
      <c r="C1371"/>
      <c r="D1371"/>
      <c r="E1371"/>
      <c r="F1371"/>
      <c r="G1371"/>
      <c r="H1371"/>
      <c r="I1371"/>
      <c r="J1371"/>
    </row>
    <row r="1372" spans="1:11" s="92" customFormat="1" ht="15" x14ac:dyDescent="0.2">
      <c r="A1372"/>
      <c r="B1372"/>
      <c r="C1372"/>
      <c r="D1372"/>
      <c r="E1372"/>
      <c r="F1372"/>
      <c r="G1372"/>
      <c r="H1372"/>
      <c r="I1372"/>
      <c r="J1372"/>
      <c r="K1372" s="19"/>
    </row>
    <row r="1373" spans="1:11" ht="12.75" x14ac:dyDescent="0.2"/>
    <row r="1374" spans="1:11" ht="12" customHeight="1" x14ac:dyDescent="0.2"/>
    <row r="1375" spans="1:11" ht="12.75" x14ac:dyDescent="0.2"/>
    <row r="1376" spans="1:11" ht="12.75" x14ac:dyDescent="0.2"/>
    <row r="1377" spans="1:11" ht="12.75" x14ac:dyDescent="0.2"/>
    <row r="1378" spans="1:11" ht="12.75" x14ac:dyDescent="0.2">
      <c r="K1378" s="57"/>
    </row>
    <row r="1379" spans="1:11" ht="12.75" x14ac:dyDescent="0.2">
      <c r="K1379" s="58"/>
    </row>
    <row r="1380" spans="1:11" ht="12.75" x14ac:dyDescent="0.2">
      <c r="K1380" s="58"/>
    </row>
    <row r="1381" spans="1:11" ht="12.75" x14ac:dyDescent="0.2"/>
    <row r="1382" spans="1:11" ht="12.75" x14ac:dyDescent="0.2">
      <c r="K1382" s="61"/>
    </row>
    <row r="1383" spans="1:11" ht="12.75" x14ac:dyDescent="0.2">
      <c r="K1383" s="61"/>
    </row>
    <row r="1384" spans="1:11" s="59" customFormat="1" ht="15" x14ac:dyDescent="0.25">
      <c r="A1384"/>
      <c r="B1384"/>
      <c r="C1384"/>
      <c r="D1384"/>
      <c r="E1384"/>
      <c r="F1384"/>
      <c r="G1384"/>
      <c r="H1384"/>
      <c r="I1384"/>
      <c r="J1384"/>
    </row>
    <row r="1385" spans="1:11" s="59" customFormat="1" ht="15" x14ac:dyDescent="0.25">
      <c r="A1385"/>
      <c r="B1385"/>
      <c r="C1385"/>
      <c r="D1385"/>
      <c r="E1385"/>
      <c r="F1385"/>
      <c r="G1385"/>
      <c r="H1385"/>
      <c r="I1385"/>
      <c r="J1385"/>
    </row>
    <row r="1386" spans="1:11" ht="12.75" x14ac:dyDescent="0.2"/>
    <row r="1387" spans="1:11" ht="14.25" customHeight="1" x14ac:dyDescent="0.2">
      <c r="K1387" s="68"/>
    </row>
    <row r="1388" spans="1:11" ht="14.25" customHeight="1" x14ac:dyDescent="0.2">
      <c r="K1388" s="68"/>
    </row>
    <row r="1389" spans="1:11" ht="12.75" x14ac:dyDescent="0.2">
      <c r="K1389" s="68"/>
    </row>
    <row r="1390" spans="1:11" ht="14.25" customHeight="1" x14ac:dyDescent="0.2">
      <c r="K1390" s="17"/>
    </row>
    <row r="1391" spans="1:11" ht="12.75" x14ac:dyDescent="0.2">
      <c r="K1391" s="17"/>
    </row>
    <row r="1392" spans="1:11" ht="12.75" x14ac:dyDescent="0.2">
      <c r="K1392" s="17"/>
    </row>
    <row r="1393" spans="1:11" ht="12.75" x14ac:dyDescent="0.2">
      <c r="K1393" s="17"/>
    </row>
    <row r="1394" spans="1:11" ht="12.75" x14ac:dyDescent="0.2">
      <c r="K1394" s="17"/>
    </row>
    <row r="1395" spans="1:11" ht="12.75" x14ac:dyDescent="0.2">
      <c r="K1395" s="17"/>
    </row>
    <row r="1396" spans="1:11" ht="12.75" x14ac:dyDescent="0.2">
      <c r="K1396" s="17"/>
    </row>
    <row r="1397" spans="1:11" ht="6.75" customHeight="1" x14ac:dyDescent="0.2"/>
    <row r="1398" spans="1:11" s="17" customFormat="1" ht="12.75" x14ac:dyDescent="0.2">
      <c r="A1398"/>
      <c r="B1398"/>
      <c r="C1398"/>
      <c r="D1398"/>
      <c r="E1398"/>
      <c r="F1398"/>
      <c r="G1398"/>
      <c r="H1398"/>
      <c r="I1398"/>
      <c r="J1398"/>
    </row>
    <row r="1399" spans="1:11" s="92" customFormat="1" ht="15" x14ac:dyDescent="0.2">
      <c r="A1399"/>
      <c r="B1399"/>
      <c r="C1399"/>
      <c r="D1399"/>
      <c r="E1399"/>
      <c r="F1399"/>
      <c r="G1399"/>
      <c r="H1399"/>
      <c r="I1399"/>
      <c r="J1399"/>
      <c r="K1399" s="19"/>
    </row>
    <row r="1400" spans="1:11" ht="12.75" x14ac:dyDescent="0.2"/>
    <row r="1401" spans="1:11" ht="12" customHeight="1" x14ac:dyDescent="0.2"/>
    <row r="1402" spans="1:11" ht="12.75" x14ac:dyDescent="0.2"/>
    <row r="1403" spans="1:11" ht="12.75" x14ac:dyDescent="0.2"/>
    <row r="1404" spans="1:11" ht="12.75" x14ac:dyDescent="0.2"/>
    <row r="1405" spans="1:11" ht="12.75" x14ac:dyDescent="0.2">
      <c r="K1405" s="57"/>
    </row>
    <row r="1406" spans="1:11" ht="12.75" x14ac:dyDescent="0.2">
      <c r="K1406" s="58"/>
    </row>
    <row r="1407" spans="1:11" ht="12.75" x14ac:dyDescent="0.2">
      <c r="K1407" s="58"/>
    </row>
    <row r="1408" spans="1:11" ht="12.75" x14ac:dyDescent="0.2"/>
    <row r="1409" spans="1:11" ht="12.75" x14ac:dyDescent="0.2">
      <c r="K1409" s="61"/>
    </row>
    <row r="1410" spans="1:11" ht="12.75" x14ac:dyDescent="0.2">
      <c r="K1410" s="61"/>
    </row>
    <row r="1411" spans="1:11" s="59" customFormat="1" ht="15" x14ac:dyDescent="0.25">
      <c r="A1411"/>
      <c r="B1411"/>
      <c r="C1411"/>
      <c r="D1411"/>
      <c r="E1411"/>
      <c r="F1411"/>
      <c r="G1411"/>
      <c r="H1411"/>
      <c r="I1411"/>
      <c r="J1411"/>
    </row>
    <row r="1412" spans="1:11" s="59" customFormat="1" ht="15" x14ac:dyDescent="0.25">
      <c r="A1412"/>
      <c r="B1412"/>
      <c r="C1412"/>
      <c r="D1412"/>
      <c r="E1412"/>
      <c r="F1412"/>
      <c r="G1412"/>
      <c r="H1412"/>
      <c r="I1412"/>
      <c r="J1412"/>
    </row>
    <row r="1413" spans="1:11" ht="12.75" x14ac:dyDescent="0.2"/>
    <row r="1414" spans="1:11" ht="14.25" customHeight="1" x14ac:dyDescent="0.2">
      <c r="K1414" s="68"/>
    </row>
    <row r="1415" spans="1:11" ht="14.25" customHeight="1" x14ac:dyDescent="0.2">
      <c r="K1415" s="68"/>
    </row>
    <row r="1416" spans="1:11" ht="12.75" x14ac:dyDescent="0.2">
      <c r="K1416" s="68"/>
    </row>
    <row r="1417" spans="1:11" ht="14.25" customHeight="1" x14ac:dyDescent="0.2">
      <c r="K1417" s="17"/>
    </row>
    <row r="1418" spans="1:11" ht="12.75" x14ac:dyDescent="0.2">
      <c r="K1418" s="17"/>
    </row>
    <row r="1419" spans="1:11" ht="12.75" x14ac:dyDescent="0.2">
      <c r="K1419" s="17"/>
    </row>
    <row r="1420" spans="1:11" ht="12.75" x14ac:dyDescent="0.2">
      <c r="K1420" s="17"/>
    </row>
    <row r="1421" spans="1:11" ht="12.75" x14ac:dyDescent="0.2">
      <c r="K1421" s="17"/>
    </row>
    <row r="1422" spans="1:11" ht="12.75" x14ac:dyDescent="0.2">
      <c r="K1422" s="17"/>
    </row>
    <row r="1423" spans="1:11" ht="12.75" x14ac:dyDescent="0.2">
      <c r="K1423" s="17"/>
    </row>
    <row r="1424" spans="1:11" ht="6.75" customHeight="1" x14ac:dyDescent="0.2"/>
    <row r="1425" spans="1:11" s="17" customFormat="1" ht="12.75" x14ac:dyDescent="0.2">
      <c r="A1425"/>
      <c r="B1425"/>
      <c r="C1425"/>
      <c r="D1425"/>
      <c r="E1425"/>
      <c r="F1425"/>
      <c r="G1425"/>
      <c r="H1425"/>
      <c r="I1425"/>
      <c r="J1425"/>
    </row>
    <row r="1426" spans="1:11" s="92" customFormat="1" ht="15" x14ac:dyDescent="0.2">
      <c r="A1426"/>
      <c r="B1426"/>
      <c r="C1426"/>
      <c r="D1426"/>
      <c r="E1426"/>
      <c r="F1426"/>
      <c r="G1426"/>
      <c r="H1426"/>
      <c r="I1426"/>
      <c r="J1426"/>
      <c r="K1426" s="19"/>
    </row>
    <row r="1427" spans="1:11" ht="12.75" x14ac:dyDescent="0.2"/>
    <row r="1428" spans="1:11" ht="12" customHeight="1" x14ac:dyDescent="0.2"/>
    <row r="1429" spans="1:11" ht="12.75" x14ac:dyDescent="0.2"/>
    <row r="1430" spans="1:11" ht="12.75" x14ac:dyDescent="0.2"/>
    <row r="1431" spans="1:11" ht="12.75" x14ac:dyDescent="0.2"/>
    <row r="1432" spans="1:11" ht="12.75" x14ac:dyDescent="0.2">
      <c r="K1432" s="57"/>
    </row>
    <row r="1433" spans="1:11" ht="12.75" x14ac:dyDescent="0.2">
      <c r="K1433" s="58"/>
    </row>
    <row r="1434" spans="1:11" ht="12.75" x14ac:dyDescent="0.2">
      <c r="K1434" s="58"/>
    </row>
    <row r="1435" spans="1:11" ht="12.75" x14ac:dyDescent="0.2"/>
    <row r="1436" spans="1:11" ht="12.75" x14ac:dyDescent="0.2">
      <c r="K1436" s="61"/>
    </row>
    <row r="1437" spans="1:11" ht="12.75" x14ac:dyDescent="0.2">
      <c r="K1437" s="61"/>
    </row>
    <row r="1438" spans="1:11" s="59" customFormat="1" ht="15" x14ac:dyDescent="0.25">
      <c r="A1438"/>
      <c r="B1438"/>
      <c r="C1438"/>
      <c r="D1438"/>
      <c r="E1438"/>
      <c r="F1438"/>
      <c r="G1438"/>
      <c r="H1438"/>
      <c r="I1438"/>
      <c r="J1438"/>
    </row>
    <row r="1439" spans="1:11" s="59" customFormat="1" ht="15" x14ac:dyDescent="0.25">
      <c r="A1439"/>
      <c r="B1439"/>
      <c r="C1439"/>
      <c r="D1439"/>
      <c r="E1439"/>
      <c r="F1439"/>
      <c r="G1439"/>
      <c r="H1439"/>
      <c r="I1439"/>
      <c r="J1439"/>
    </row>
    <row r="1440" spans="1:11" ht="12.75" x14ac:dyDescent="0.2"/>
    <row r="1441" spans="1:18" ht="14.25" customHeight="1" x14ac:dyDescent="0.2">
      <c r="K1441" s="68"/>
    </row>
    <row r="1442" spans="1:18" ht="14.25" customHeight="1" x14ac:dyDescent="0.2">
      <c r="K1442" s="68"/>
    </row>
    <row r="1443" spans="1:18" ht="12.75" x14ac:dyDescent="0.2">
      <c r="K1443" s="68"/>
    </row>
    <row r="1444" spans="1:18" ht="14.25" customHeight="1" x14ac:dyDescent="0.2">
      <c r="K1444" s="17"/>
    </row>
    <row r="1445" spans="1:18" ht="12.75" x14ac:dyDescent="0.2">
      <c r="K1445" s="17"/>
    </row>
    <row r="1446" spans="1:18" ht="12.75" x14ac:dyDescent="0.2">
      <c r="K1446" s="17"/>
    </row>
    <row r="1447" spans="1:18" ht="12.75" x14ac:dyDescent="0.2">
      <c r="K1447" s="17"/>
    </row>
    <row r="1448" spans="1:18" ht="12.75" x14ac:dyDescent="0.2">
      <c r="K1448" s="17"/>
    </row>
    <row r="1449" spans="1:18" ht="12.75" x14ac:dyDescent="0.2">
      <c r="K1449" s="17"/>
      <c r="R1449" s="17"/>
    </row>
    <row r="1450" spans="1:18" ht="12.75" x14ac:dyDescent="0.2">
      <c r="K1450" s="17"/>
    </row>
    <row r="1451" spans="1:18" ht="12.75" x14ac:dyDescent="0.2">
      <c r="K1451" s="17"/>
    </row>
    <row r="1452" spans="1:18" ht="6.75" customHeight="1" x14ac:dyDescent="0.2"/>
    <row r="1453" spans="1:18" s="17" customFormat="1" ht="12.75" x14ac:dyDescent="0.2">
      <c r="A1453"/>
      <c r="B1453"/>
      <c r="C1453"/>
      <c r="D1453"/>
      <c r="E1453"/>
      <c r="F1453"/>
      <c r="G1453"/>
      <c r="H1453"/>
      <c r="I1453"/>
      <c r="J1453"/>
    </row>
    <row r="1454" spans="1:18" s="92" customFormat="1" ht="15" x14ac:dyDescent="0.2">
      <c r="A1454"/>
      <c r="B1454"/>
      <c r="C1454"/>
      <c r="D1454"/>
      <c r="E1454"/>
      <c r="F1454"/>
      <c r="G1454"/>
      <c r="H1454"/>
      <c r="I1454"/>
      <c r="J1454"/>
      <c r="K1454" s="19"/>
    </row>
    <row r="1455" spans="1:18" ht="12.75" x14ac:dyDescent="0.2"/>
    <row r="1456" spans="1:18" ht="12" customHeight="1" x14ac:dyDescent="0.2"/>
    <row r="1457" spans="1:11" ht="12.75" x14ac:dyDescent="0.2"/>
    <row r="1458" spans="1:11" ht="12.75" x14ac:dyDescent="0.2"/>
    <row r="1459" spans="1:11" ht="12.75" x14ac:dyDescent="0.2">
      <c r="K1459" s="57"/>
    </row>
    <row r="1460" spans="1:11" ht="12.75" x14ac:dyDescent="0.2">
      <c r="K1460" s="58"/>
    </row>
    <row r="1461" spans="1:11" ht="12.75" x14ac:dyDescent="0.2">
      <c r="K1461" s="58"/>
    </row>
    <row r="1462" spans="1:11" ht="12.75" x14ac:dyDescent="0.2"/>
    <row r="1463" spans="1:11" ht="12.75" x14ac:dyDescent="0.2">
      <c r="K1463" s="61"/>
    </row>
    <row r="1464" spans="1:11" ht="12.75" x14ac:dyDescent="0.2">
      <c r="K1464" s="61"/>
    </row>
    <row r="1465" spans="1:11" s="59" customFormat="1" ht="15" x14ac:dyDescent="0.25">
      <c r="A1465"/>
      <c r="B1465"/>
      <c r="C1465"/>
      <c r="D1465"/>
      <c r="E1465"/>
      <c r="F1465"/>
      <c r="G1465"/>
      <c r="H1465"/>
      <c r="I1465"/>
      <c r="J1465"/>
    </row>
    <row r="1466" spans="1:11" s="59" customFormat="1" ht="15" x14ac:dyDescent="0.25">
      <c r="A1466"/>
      <c r="B1466"/>
      <c r="C1466"/>
      <c r="D1466"/>
      <c r="E1466"/>
      <c r="F1466"/>
      <c r="G1466"/>
      <c r="H1466"/>
      <c r="I1466"/>
      <c r="J1466"/>
    </row>
    <row r="1467" spans="1:11" ht="12.75" x14ac:dyDescent="0.2"/>
    <row r="1468" spans="1:11" ht="14.25" customHeight="1" x14ac:dyDescent="0.2">
      <c r="K1468" s="68"/>
    </row>
    <row r="1469" spans="1:11" ht="14.25" customHeight="1" x14ac:dyDescent="0.2">
      <c r="K1469" s="68"/>
    </row>
    <row r="1470" spans="1:11" ht="12.75" x14ac:dyDescent="0.2">
      <c r="K1470" s="68"/>
    </row>
    <row r="1471" spans="1:11" ht="14.25" customHeight="1" x14ac:dyDescent="0.2">
      <c r="K1471" s="17"/>
    </row>
    <row r="1472" spans="1:11" ht="12.75" x14ac:dyDescent="0.2">
      <c r="K1472" s="17"/>
    </row>
    <row r="1473" spans="1:18" ht="12.75" x14ac:dyDescent="0.2">
      <c r="K1473" s="17"/>
    </row>
    <row r="1474" spans="1:18" ht="12.75" x14ac:dyDescent="0.2">
      <c r="K1474" s="17"/>
    </row>
    <row r="1475" spans="1:18" ht="12.75" x14ac:dyDescent="0.2">
      <c r="K1475" s="17"/>
    </row>
    <row r="1476" spans="1:18" ht="12.75" x14ac:dyDescent="0.2">
      <c r="K1476" s="17"/>
      <c r="R1476" s="17"/>
    </row>
    <row r="1477" spans="1:18" ht="12.75" x14ac:dyDescent="0.2">
      <c r="K1477" s="17"/>
    </row>
    <row r="1478" spans="1:18" ht="12.75" x14ac:dyDescent="0.2">
      <c r="K1478" s="17"/>
    </row>
    <row r="1479" spans="1:18" ht="6.75" customHeight="1" x14ac:dyDescent="0.2"/>
    <row r="1480" spans="1:18" s="17" customFormat="1" ht="12.75" x14ac:dyDescent="0.2">
      <c r="A1480"/>
      <c r="B1480"/>
      <c r="C1480"/>
      <c r="D1480"/>
      <c r="E1480"/>
      <c r="F1480"/>
      <c r="G1480"/>
      <c r="H1480"/>
      <c r="I1480"/>
      <c r="J1480"/>
    </row>
    <row r="1481" spans="1:18" s="92" customFormat="1" ht="15" x14ac:dyDescent="0.2">
      <c r="A1481"/>
      <c r="B1481"/>
      <c r="C1481"/>
      <c r="D1481"/>
      <c r="E1481"/>
      <c r="F1481"/>
      <c r="G1481"/>
      <c r="H1481"/>
      <c r="I1481"/>
      <c r="J1481"/>
      <c r="K1481" s="19"/>
    </row>
    <row r="1482" spans="1:18" ht="12.75" x14ac:dyDescent="0.2"/>
    <row r="1483" spans="1:18" ht="12" customHeight="1" x14ac:dyDescent="0.2"/>
    <row r="1484" spans="1:18" ht="12.75" x14ac:dyDescent="0.2"/>
    <row r="1485" spans="1:18" ht="12.75" x14ac:dyDescent="0.2"/>
    <row r="1486" spans="1:18" ht="12.75" x14ac:dyDescent="0.2">
      <c r="K1486" s="57"/>
    </row>
    <row r="1487" spans="1:18" ht="12.75" x14ac:dyDescent="0.2">
      <c r="K1487" s="58"/>
    </row>
    <row r="1488" spans="1:18" ht="12.75" x14ac:dyDescent="0.2">
      <c r="K1488" s="58"/>
    </row>
    <row r="1489" spans="1:18" ht="12.75" x14ac:dyDescent="0.2"/>
    <row r="1490" spans="1:18" ht="12.75" x14ac:dyDescent="0.2">
      <c r="K1490" s="61"/>
    </row>
    <row r="1491" spans="1:18" ht="12.75" x14ac:dyDescent="0.2">
      <c r="K1491" s="61"/>
    </row>
    <row r="1492" spans="1:18" s="59" customFormat="1" ht="15" x14ac:dyDescent="0.25">
      <c r="A1492"/>
      <c r="B1492"/>
      <c r="C1492"/>
      <c r="D1492"/>
      <c r="E1492"/>
      <c r="F1492"/>
      <c r="G1492"/>
      <c r="H1492"/>
      <c r="I1492"/>
      <c r="J1492"/>
    </row>
    <row r="1493" spans="1:18" s="59" customFormat="1" ht="15" x14ac:dyDescent="0.25">
      <c r="A1493"/>
      <c r="B1493"/>
      <c r="C1493"/>
      <c r="D1493"/>
      <c r="E1493"/>
      <c r="F1493"/>
      <c r="G1493"/>
      <c r="H1493"/>
      <c r="I1493"/>
      <c r="J1493"/>
    </row>
    <row r="1494" spans="1:18" ht="12.75" x14ac:dyDescent="0.2"/>
    <row r="1495" spans="1:18" ht="14.25" customHeight="1" x14ac:dyDescent="0.2">
      <c r="K1495" s="68"/>
    </row>
    <row r="1496" spans="1:18" ht="14.25" customHeight="1" x14ac:dyDescent="0.2">
      <c r="K1496" s="68"/>
    </row>
    <row r="1497" spans="1:18" ht="12.75" x14ac:dyDescent="0.2">
      <c r="K1497" s="68"/>
    </row>
    <row r="1498" spans="1:18" ht="14.25" customHeight="1" x14ac:dyDescent="0.2">
      <c r="K1498" s="17"/>
    </row>
    <row r="1499" spans="1:18" ht="12.75" x14ac:dyDescent="0.2">
      <c r="K1499" s="17"/>
    </row>
    <row r="1500" spans="1:18" ht="12.75" x14ac:dyDescent="0.2">
      <c r="K1500" s="17"/>
    </row>
    <row r="1501" spans="1:18" ht="12.75" x14ac:dyDescent="0.2">
      <c r="K1501" s="17"/>
    </row>
    <row r="1502" spans="1:18" ht="12.75" x14ac:dyDescent="0.2">
      <c r="K1502" s="17"/>
    </row>
    <row r="1503" spans="1:18" ht="12.75" x14ac:dyDescent="0.2">
      <c r="K1503" s="17"/>
      <c r="R1503" s="17"/>
    </row>
    <row r="1504" spans="1:18" ht="12.75" x14ac:dyDescent="0.2">
      <c r="K1504" s="17"/>
    </row>
    <row r="1505" spans="1:11" ht="12.75" x14ac:dyDescent="0.2">
      <c r="K1505" s="17"/>
    </row>
    <row r="1506" spans="1:11" ht="6.75" customHeight="1" x14ac:dyDescent="0.2"/>
    <row r="1507" spans="1:11" s="17" customFormat="1" ht="12.75" x14ac:dyDescent="0.2">
      <c r="A1507"/>
      <c r="B1507"/>
      <c r="C1507"/>
      <c r="D1507"/>
      <c r="E1507"/>
      <c r="F1507"/>
      <c r="G1507"/>
      <c r="H1507"/>
      <c r="I1507"/>
      <c r="J1507"/>
    </row>
    <row r="1508" spans="1:11" s="92" customFormat="1" ht="15" x14ac:dyDescent="0.2">
      <c r="A1508"/>
      <c r="B1508"/>
      <c r="C1508"/>
      <c r="D1508"/>
      <c r="E1508"/>
      <c r="F1508"/>
      <c r="G1508"/>
      <c r="H1508"/>
      <c r="I1508"/>
      <c r="J1508"/>
      <c r="K1508" s="19"/>
    </row>
    <row r="1509" spans="1:11" ht="12.75" x14ac:dyDescent="0.2"/>
    <row r="1510" spans="1:11" ht="12" customHeight="1" x14ac:dyDescent="0.2"/>
    <row r="1511" spans="1:11" ht="12.75" x14ac:dyDescent="0.2"/>
    <row r="1512" spans="1:11" ht="12.75" x14ac:dyDescent="0.2"/>
    <row r="1513" spans="1:11" ht="12.75" x14ac:dyDescent="0.2">
      <c r="K1513" s="57"/>
    </row>
    <row r="1514" spans="1:11" ht="12.75" x14ac:dyDescent="0.2">
      <c r="K1514" s="58"/>
    </row>
    <row r="1515" spans="1:11" ht="12.75" x14ac:dyDescent="0.2">
      <c r="K1515" s="58"/>
    </row>
    <row r="1516" spans="1:11" ht="12.75" x14ac:dyDescent="0.2"/>
    <row r="1517" spans="1:11" ht="12.75" x14ac:dyDescent="0.2">
      <c r="K1517" s="61"/>
    </row>
    <row r="1518" spans="1:11" ht="12.75" x14ac:dyDescent="0.2">
      <c r="K1518" s="61"/>
    </row>
    <row r="1519" spans="1:11" s="59" customFormat="1" ht="15" x14ac:dyDescent="0.25">
      <c r="A1519"/>
      <c r="B1519"/>
      <c r="C1519"/>
      <c r="D1519"/>
      <c r="E1519"/>
      <c r="F1519"/>
      <c r="G1519"/>
      <c r="H1519"/>
      <c r="I1519"/>
      <c r="J1519"/>
    </row>
    <row r="1520" spans="1:11" s="59" customFormat="1" ht="15" x14ac:dyDescent="0.25">
      <c r="A1520"/>
      <c r="B1520"/>
      <c r="C1520"/>
      <c r="D1520"/>
      <c r="E1520"/>
      <c r="F1520"/>
      <c r="G1520"/>
      <c r="H1520"/>
      <c r="I1520"/>
      <c r="J1520"/>
    </row>
    <row r="1521" spans="1:18" ht="12.75" x14ac:dyDescent="0.2"/>
    <row r="1522" spans="1:18" ht="14.25" customHeight="1" x14ac:dyDescent="0.2">
      <c r="K1522" s="68"/>
    </row>
    <row r="1523" spans="1:18" ht="14.25" customHeight="1" x14ac:dyDescent="0.2">
      <c r="K1523" s="68"/>
    </row>
    <row r="1524" spans="1:18" ht="12.75" x14ac:dyDescent="0.2">
      <c r="K1524" s="68"/>
    </row>
    <row r="1525" spans="1:18" ht="14.25" customHeight="1" x14ac:dyDescent="0.2">
      <c r="K1525" s="17"/>
    </row>
    <row r="1526" spans="1:18" ht="12.75" x14ac:dyDescent="0.2">
      <c r="K1526" s="17"/>
    </row>
    <row r="1527" spans="1:18" ht="12.75" x14ac:dyDescent="0.2">
      <c r="K1527" s="17"/>
    </row>
    <row r="1528" spans="1:18" ht="12.75" x14ac:dyDescent="0.2">
      <c r="K1528" s="17"/>
    </row>
    <row r="1529" spans="1:18" ht="12.75" x14ac:dyDescent="0.2">
      <c r="K1529" s="17"/>
    </row>
    <row r="1530" spans="1:18" ht="12.75" x14ac:dyDescent="0.2">
      <c r="K1530" s="17"/>
      <c r="R1530" s="17"/>
    </row>
    <row r="1531" spans="1:18" ht="12.75" x14ac:dyDescent="0.2">
      <c r="K1531" s="17"/>
    </row>
    <row r="1532" spans="1:18" ht="12.75" x14ac:dyDescent="0.2">
      <c r="K1532" s="17"/>
    </row>
    <row r="1533" spans="1:18" ht="6.75" customHeight="1" x14ac:dyDescent="0.2"/>
    <row r="1534" spans="1:18" s="17" customFormat="1" ht="12.75" x14ac:dyDescent="0.2">
      <c r="A1534"/>
      <c r="B1534"/>
      <c r="C1534"/>
      <c r="D1534"/>
      <c r="E1534"/>
      <c r="F1534"/>
      <c r="G1534"/>
      <c r="H1534"/>
      <c r="I1534"/>
      <c r="J1534"/>
    </row>
    <row r="1535" spans="1:18" s="92" customFormat="1" ht="15" x14ac:dyDescent="0.2">
      <c r="A1535"/>
      <c r="B1535"/>
      <c r="C1535"/>
      <c r="D1535"/>
      <c r="E1535"/>
      <c r="F1535"/>
      <c r="G1535"/>
      <c r="H1535"/>
      <c r="I1535"/>
      <c r="J1535"/>
      <c r="K1535" s="19"/>
    </row>
    <row r="1536" spans="1:18" ht="12.75" x14ac:dyDescent="0.2"/>
    <row r="1537" spans="1:11" ht="12" customHeight="1" x14ac:dyDescent="0.2"/>
    <row r="1538" spans="1:11" ht="12.75" x14ac:dyDescent="0.2"/>
    <row r="1539" spans="1:11" ht="12.75" x14ac:dyDescent="0.2"/>
    <row r="1540" spans="1:11" ht="12.75" x14ac:dyDescent="0.2">
      <c r="K1540" s="57"/>
    </row>
    <row r="1541" spans="1:11" ht="12.75" x14ac:dyDescent="0.2">
      <c r="K1541" s="58"/>
    </row>
    <row r="1542" spans="1:11" ht="12.75" x14ac:dyDescent="0.2">
      <c r="K1542" s="58"/>
    </row>
    <row r="1543" spans="1:11" ht="12.75" x14ac:dyDescent="0.2"/>
    <row r="1544" spans="1:11" ht="12.75" x14ac:dyDescent="0.2">
      <c r="K1544" s="61"/>
    </row>
    <row r="1545" spans="1:11" ht="12.75" x14ac:dyDescent="0.2">
      <c r="K1545" s="61"/>
    </row>
    <row r="1546" spans="1:11" s="59" customFormat="1" ht="15" x14ac:dyDescent="0.25">
      <c r="A1546"/>
      <c r="B1546"/>
      <c r="C1546"/>
      <c r="D1546"/>
      <c r="E1546"/>
      <c r="F1546"/>
      <c r="G1546"/>
      <c r="H1546"/>
      <c r="I1546"/>
      <c r="J1546"/>
    </row>
    <row r="1547" spans="1:11" s="59" customFormat="1" ht="15" x14ac:dyDescent="0.25">
      <c r="A1547"/>
      <c r="B1547"/>
      <c r="C1547"/>
      <c r="D1547"/>
      <c r="E1547"/>
      <c r="F1547"/>
      <c r="G1547"/>
      <c r="H1547"/>
      <c r="I1547"/>
      <c r="J1547"/>
    </row>
    <row r="1548" spans="1:11" ht="12.75" x14ac:dyDescent="0.2"/>
    <row r="1549" spans="1:11" ht="14.25" customHeight="1" x14ac:dyDescent="0.2">
      <c r="K1549" s="68"/>
    </row>
    <row r="1550" spans="1:11" ht="14.25" customHeight="1" x14ac:dyDescent="0.2">
      <c r="K1550" s="68"/>
    </row>
    <row r="1551" spans="1:11" ht="12.75" x14ac:dyDescent="0.2">
      <c r="K1551" s="68"/>
    </row>
    <row r="1552" spans="1:11" ht="14.25" customHeight="1" x14ac:dyDescent="0.2">
      <c r="K1552" s="17"/>
    </row>
    <row r="1553" spans="1:18" ht="12.75" x14ac:dyDescent="0.2">
      <c r="K1553" s="17"/>
    </row>
    <row r="1554" spans="1:18" ht="12.75" x14ac:dyDescent="0.2">
      <c r="K1554" s="17"/>
    </row>
    <row r="1555" spans="1:18" ht="12.75" x14ac:dyDescent="0.2">
      <c r="K1555" s="17"/>
    </row>
    <row r="1556" spans="1:18" ht="12.75" x14ac:dyDescent="0.2">
      <c r="K1556" s="17"/>
    </row>
    <row r="1557" spans="1:18" ht="12.75" x14ac:dyDescent="0.2">
      <c r="K1557" s="17"/>
      <c r="R1557" s="17"/>
    </row>
    <row r="1558" spans="1:18" ht="12.75" x14ac:dyDescent="0.2">
      <c r="K1558" s="17"/>
    </row>
    <row r="1559" spans="1:18" ht="12.75" x14ac:dyDescent="0.2">
      <c r="K1559" s="17"/>
    </row>
    <row r="1560" spans="1:18" ht="6.75" customHeight="1" x14ac:dyDescent="0.2"/>
    <row r="1561" spans="1:18" s="17" customFormat="1" ht="12.75" x14ac:dyDescent="0.2">
      <c r="A1561"/>
      <c r="B1561"/>
      <c r="C1561"/>
      <c r="D1561"/>
      <c r="E1561"/>
      <c r="F1561"/>
      <c r="G1561"/>
      <c r="H1561"/>
      <c r="I1561"/>
      <c r="J1561"/>
    </row>
    <row r="1562" spans="1:18" s="92" customFormat="1" ht="15" x14ac:dyDescent="0.2">
      <c r="A1562"/>
      <c r="B1562"/>
      <c r="C1562"/>
      <c r="D1562"/>
      <c r="E1562"/>
      <c r="F1562"/>
      <c r="G1562"/>
      <c r="H1562"/>
      <c r="I1562"/>
      <c r="J1562"/>
      <c r="K1562" s="19"/>
    </row>
    <row r="1563" spans="1:18" ht="12.75" x14ac:dyDescent="0.2"/>
    <row r="1564" spans="1:18" ht="12" customHeight="1" x14ac:dyDescent="0.2"/>
    <row r="1565" spans="1:18" ht="12.75" x14ac:dyDescent="0.2"/>
    <row r="1566" spans="1:18" ht="12.75" x14ac:dyDescent="0.2"/>
    <row r="1567" spans="1:18" ht="12.75" x14ac:dyDescent="0.2">
      <c r="K1567" s="57"/>
    </row>
    <row r="1568" spans="1:18" ht="12.75" x14ac:dyDescent="0.2">
      <c r="K1568" s="58"/>
    </row>
    <row r="1569" spans="1:18" ht="12.75" x14ac:dyDescent="0.2">
      <c r="K1569" s="58"/>
    </row>
    <row r="1570" spans="1:18" ht="12.75" x14ac:dyDescent="0.2"/>
    <row r="1571" spans="1:18" ht="12.75" x14ac:dyDescent="0.2">
      <c r="K1571" s="61"/>
    </row>
    <row r="1572" spans="1:18" ht="12.75" x14ac:dyDescent="0.2">
      <c r="K1572" s="61"/>
    </row>
    <row r="1573" spans="1:18" s="59" customFormat="1" ht="15" x14ac:dyDescent="0.25">
      <c r="A1573"/>
      <c r="B1573"/>
      <c r="C1573"/>
      <c r="D1573"/>
      <c r="E1573"/>
      <c r="F1573"/>
      <c r="G1573"/>
      <c r="H1573"/>
      <c r="I1573"/>
      <c r="J1573"/>
    </row>
    <row r="1574" spans="1:18" s="59" customFormat="1" ht="15" x14ac:dyDescent="0.25">
      <c r="A1574"/>
      <c r="B1574"/>
      <c r="C1574"/>
      <c r="D1574"/>
      <c r="E1574"/>
      <c r="F1574"/>
      <c r="G1574"/>
      <c r="H1574"/>
      <c r="I1574"/>
      <c r="J1574"/>
    </row>
    <row r="1575" spans="1:18" ht="12.75" x14ac:dyDescent="0.2"/>
    <row r="1576" spans="1:18" ht="14.25" customHeight="1" x14ac:dyDescent="0.2">
      <c r="K1576" s="68"/>
    </row>
    <row r="1577" spans="1:18" ht="14.25" customHeight="1" x14ac:dyDescent="0.2">
      <c r="K1577" s="68"/>
    </row>
    <row r="1578" spans="1:18" ht="12.75" x14ac:dyDescent="0.2">
      <c r="K1578" s="68"/>
    </row>
    <row r="1579" spans="1:18" ht="14.25" customHeight="1" x14ac:dyDescent="0.2">
      <c r="K1579" s="17"/>
    </row>
    <row r="1580" spans="1:18" ht="12.75" x14ac:dyDescent="0.2">
      <c r="K1580" s="17"/>
    </row>
    <row r="1581" spans="1:18" ht="12.75" x14ac:dyDescent="0.2">
      <c r="K1581" s="17"/>
    </row>
    <row r="1582" spans="1:18" ht="12.75" x14ac:dyDescent="0.2">
      <c r="K1582" s="17"/>
    </row>
    <row r="1583" spans="1:18" ht="12.75" x14ac:dyDescent="0.2">
      <c r="K1583" s="17"/>
    </row>
    <row r="1584" spans="1:18" ht="12.75" x14ac:dyDescent="0.2">
      <c r="K1584" s="17"/>
      <c r="R1584" s="17"/>
    </row>
    <row r="1585" spans="1:11" ht="12.75" x14ac:dyDescent="0.2">
      <c r="K1585" s="17"/>
    </row>
    <row r="1586" spans="1:11" ht="12.75" x14ac:dyDescent="0.2">
      <c r="K1586" s="17"/>
    </row>
    <row r="1587" spans="1:11" ht="6.75" customHeight="1" x14ac:dyDescent="0.2"/>
    <row r="1588" spans="1:11" s="17" customFormat="1" ht="12.75" x14ac:dyDescent="0.2">
      <c r="A1588"/>
      <c r="B1588"/>
      <c r="C1588"/>
      <c r="D1588"/>
      <c r="E1588"/>
      <c r="F1588"/>
      <c r="G1588"/>
      <c r="H1588"/>
      <c r="I1588"/>
      <c r="J1588"/>
    </row>
    <row r="1589" spans="1:11" s="92" customFormat="1" ht="15" x14ac:dyDescent="0.2">
      <c r="A1589"/>
      <c r="B1589"/>
      <c r="C1589"/>
      <c r="D1589"/>
      <c r="E1589"/>
      <c r="F1589"/>
      <c r="G1589"/>
      <c r="H1589"/>
      <c r="I1589"/>
      <c r="J1589"/>
      <c r="K1589" s="19"/>
    </row>
    <row r="1590" spans="1:11" ht="12.75" x14ac:dyDescent="0.2"/>
    <row r="1591" spans="1:11" ht="12" customHeight="1" x14ac:dyDescent="0.2"/>
    <row r="1592" spans="1:11" ht="12.75" x14ac:dyDescent="0.2"/>
    <row r="1593" spans="1:11" ht="12.75" x14ac:dyDescent="0.2"/>
    <row r="1594" spans="1:11" ht="12.75" x14ac:dyDescent="0.2">
      <c r="K1594" s="57"/>
    </row>
    <row r="1595" spans="1:11" ht="12.75" x14ac:dyDescent="0.2">
      <c r="K1595" s="58"/>
    </row>
    <row r="1596" spans="1:11" ht="12.75" x14ac:dyDescent="0.2">
      <c r="K1596" s="58"/>
    </row>
    <row r="1597" spans="1:11" ht="12.75" x14ac:dyDescent="0.2"/>
    <row r="1598" spans="1:11" ht="12.75" x14ac:dyDescent="0.2">
      <c r="K1598" s="61"/>
    </row>
    <row r="1599" spans="1:11" ht="12.75" x14ac:dyDescent="0.2">
      <c r="K1599" s="61"/>
    </row>
    <row r="1600" spans="1:11" s="59" customFormat="1" ht="15" x14ac:dyDescent="0.25">
      <c r="A1600"/>
      <c r="B1600"/>
      <c r="C1600"/>
      <c r="D1600"/>
      <c r="E1600"/>
      <c r="F1600"/>
      <c r="G1600"/>
      <c r="H1600"/>
      <c r="I1600"/>
      <c r="J1600"/>
    </row>
    <row r="1601" spans="1:18" s="59" customFormat="1" ht="15" x14ac:dyDescent="0.25">
      <c r="A1601"/>
      <c r="B1601"/>
      <c r="C1601"/>
      <c r="D1601"/>
      <c r="E1601"/>
      <c r="F1601"/>
      <c r="G1601"/>
      <c r="H1601"/>
      <c r="I1601"/>
      <c r="J1601"/>
    </row>
    <row r="1602" spans="1:18" ht="12.75" x14ac:dyDescent="0.2"/>
    <row r="1603" spans="1:18" ht="14.25" customHeight="1" x14ac:dyDescent="0.2">
      <c r="K1603" s="68"/>
    </row>
    <row r="1604" spans="1:18" ht="14.25" customHeight="1" x14ac:dyDescent="0.2">
      <c r="K1604" s="68"/>
    </row>
    <row r="1605" spans="1:18" ht="12.75" x14ac:dyDescent="0.2">
      <c r="K1605" s="68"/>
    </row>
    <row r="1606" spans="1:18" ht="14.25" customHeight="1" x14ac:dyDescent="0.2">
      <c r="K1606" s="17"/>
    </row>
    <row r="1607" spans="1:18" ht="12.75" x14ac:dyDescent="0.2">
      <c r="K1607" s="17"/>
    </row>
    <row r="1608" spans="1:18" ht="12.75" x14ac:dyDescent="0.2">
      <c r="K1608" s="17"/>
    </row>
    <row r="1609" spans="1:18" ht="12.75" x14ac:dyDescent="0.2">
      <c r="K1609" s="17"/>
    </row>
    <row r="1610" spans="1:18" ht="12.75" x14ac:dyDescent="0.2">
      <c r="K1610" s="17"/>
    </row>
    <row r="1611" spans="1:18" ht="12.75" x14ac:dyDescent="0.2">
      <c r="K1611" s="17"/>
      <c r="R1611" s="17"/>
    </row>
    <row r="1612" spans="1:18" ht="12.75" x14ac:dyDescent="0.2">
      <c r="K1612" s="17"/>
    </row>
    <row r="1613" spans="1:18" ht="12.75" x14ac:dyDescent="0.2">
      <c r="K1613" s="17"/>
    </row>
    <row r="1614" spans="1:18" ht="12.75" x14ac:dyDescent="0.2"/>
    <row r="1615" spans="1:18" s="17" customFormat="1" ht="12.75" x14ac:dyDescent="0.2">
      <c r="A1615"/>
      <c r="B1615"/>
      <c r="C1615"/>
      <c r="D1615"/>
      <c r="E1615"/>
      <c r="F1615"/>
      <c r="G1615"/>
      <c r="H1615"/>
      <c r="I1615"/>
      <c r="J1615"/>
    </row>
    <row r="1616" spans="1:18" s="92" customFormat="1" ht="15" x14ac:dyDescent="0.2">
      <c r="A1616"/>
      <c r="B1616"/>
      <c r="C1616"/>
      <c r="D1616"/>
      <c r="E1616"/>
      <c r="F1616"/>
      <c r="G1616"/>
      <c r="H1616"/>
      <c r="I1616"/>
      <c r="J1616"/>
      <c r="K1616" s="19"/>
    </row>
    <row r="1617" spans="1:11" ht="12.75" x14ac:dyDescent="0.2"/>
    <row r="1618" spans="1:11" ht="12" customHeight="1" x14ac:dyDescent="0.2"/>
    <row r="1619" spans="1:11" ht="12.75" x14ac:dyDescent="0.2"/>
    <row r="1620" spans="1:11" ht="12.75" x14ac:dyDescent="0.2"/>
    <row r="1621" spans="1:11" ht="12.75" x14ac:dyDescent="0.2">
      <c r="K1621" s="57"/>
    </row>
    <row r="1622" spans="1:11" ht="12.75" x14ac:dyDescent="0.2">
      <c r="K1622" s="58"/>
    </row>
    <row r="1623" spans="1:11" ht="12.75" x14ac:dyDescent="0.2">
      <c r="K1623" s="58"/>
    </row>
    <row r="1624" spans="1:11" ht="12.75" x14ac:dyDescent="0.2"/>
    <row r="1625" spans="1:11" ht="12.75" x14ac:dyDescent="0.2">
      <c r="K1625" s="61"/>
    </row>
    <row r="1626" spans="1:11" ht="12.75" x14ac:dyDescent="0.2">
      <c r="K1626" s="61"/>
    </row>
    <row r="1627" spans="1:11" s="59" customFormat="1" ht="15" x14ac:dyDescent="0.25">
      <c r="A1627"/>
      <c r="B1627"/>
      <c r="C1627"/>
      <c r="D1627"/>
      <c r="E1627"/>
      <c r="F1627"/>
      <c r="G1627"/>
      <c r="H1627"/>
      <c r="I1627"/>
      <c r="J1627"/>
    </row>
    <row r="1628" spans="1:11" s="59" customFormat="1" ht="15" x14ac:dyDescent="0.25">
      <c r="A1628"/>
      <c r="B1628"/>
      <c r="C1628"/>
      <c r="D1628"/>
      <c r="E1628"/>
      <c r="F1628"/>
      <c r="G1628"/>
      <c r="H1628"/>
      <c r="I1628"/>
      <c r="J1628"/>
    </row>
    <row r="1629" spans="1:11" ht="12.75" x14ac:dyDescent="0.2"/>
    <row r="1630" spans="1:11" ht="14.25" customHeight="1" x14ac:dyDescent="0.2">
      <c r="K1630" s="68"/>
    </row>
    <row r="1631" spans="1:11" ht="14.25" customHeight="1" x14ac:dyDescent="0.2">
      <c r="K1631" s="68"/>
    </row>
    <row r="1632" spans="1:11" ht="12.75" x14ac:dyDescent="0.2">
      <c r="K1632" s="68"/>
    </row>
    <row r="1633" spans="1:18" ht="14.25" customHeight="1" x14ac:dyDescent="0.2">
      <c r="K1633" s="17"/>
    </row>
    <row r="1634" spans="1:18" ht="12.75" x14ac:dyDescent="0.2">
      <c r="K1634" s="17"/>
    </row>
    <row r="1635" spans="1:18" ht="12.75" x14ac:dyDescent="0.2">
      <c r="K1635" s="17"/>
    </row>
    <row r="1636" spans="1:18" ht="12.75" x14ac:dyDescent="0.2">
      <c r="K1636" s="17"/>
    </row>
    <row r="1637" spans="1:18" ht="12.75" x14ac:dyDescent="0.2">
      <c r="K1637" s="17"/>
    </row>
    <row r="1638" spans="1:18" ht="12.75" x14ac:dyDescent="0.2">
      <c r="K1638" s="17"/>
      <c r="R1638" s="17"/>
    </row>
    <row r="1639" spans="1:18" ht="12.75" x14ac:dyDescent="0.2">
      <c r="K1639" s="17"/>
    </row>
    <row r="1640" spans="1:18" ht="12.75" x14ac:dyDescent="0.2">
      <c r="K1640" s="17"/>
    </row>
    <row r="1641" spans="1:18" ht="12.75" x14ac:dyDescent="0.2"/>
    <row r="1642" spans="1:18" s="17" customFormat="1" ht="12.75" x14ac:dyDescent="0.2">
      <c r="A1642"/>
      <c r="B1642"/>
      <c r="C1642"/>
      <c r="D1642"/>
      <c r="E1642"/>
      <c r="F1642"/>
      <c r="G1642"/>
      <c r="H1642"/>
      <c r="I1642"/>
      <c r="J1642"/>
    </row>
    <row r="1643" spans="1:18" s="92" customFormat="1" ht="15" x14ac:dyDescent="0.2">
      <c r="A1643"/>
      <c r="B1643"/>
      <c r="C1643"/>
      <c r="D1643"/>
      <c r="E1643"/>
      <c r="F1643"/>
      <c r="G1643"/>
      <c r="H1643"/>
      <c r="I1643"/>
      <c r="J1643"/>
      <c r="K1643" s="19"/>
    </row>
    <row r="1644" spans="1:18" ht="12.75" x14ac:dyDescent="0.2"/>
    <row r="1645" spans="1:18" ht="12" customHeight="1" x14ac:dyDescent="0.2"/>
    <row r="1646" spans="1:18" ht="12.75" x14ac:dyDescent="0.2"/>
    <row r="1647" spans="1:18" ht="12.75" x14ac:dyDescent="0.2"/>
    <row r="1648" spans="1:18" ht="12.75" x14ac:dyDescent="0.2">
      <c r="K1648" s="57"/>
    </row>
    <row r="1649" spans="1:11" ht="12.75" x14ac:dyDescent="0.2">
      <c r="K1649" s="58"/>
    </row>
    <row r="1650" spans="1:11" ht="12.75" x14ac:dyDescent="0.2">
      <c r="K1650" s="58"/>
    </row>
    <row r="1651" spans="1:11" ht="12.75" x14ac:dyDescent="0.2"/>
    <row r="1652" spans="1:11" ht="12.75" x14ac:dyDescent="0.2">
      <c r="K1652" s="61"/>
    </row>
    <row r="1653" spans="1:11" ht="12.75" x14ac:dyDescent="0.2">
      <c r="K1653" s="61"/>
    </row>
    <row r="1654" spans="1:11" s="59" customFormat="1" ht="15" x14ac:dyDescent="0.25">
      <c r="A1654"/>
      <c r="B1654"/>
      <c r="C1654"/>
      <c r="D1654"/>
      <c r="E1654"/>
      <c r="F1654"/>
      <c r="G1654"/>
      <c r="H1654"/>
      <c r="I1654"/>
      <c r="J1654"/>
    </row>
    <row r="1655" spans="1:11" s="59" customFormat="1" ht="15" x14ac:dyDescent="0.25">
      <c r="A1655"/>
      <c r="B1655"/>
      <c r="C1655"/>
      <c r="D1655"/>
      <c r="E1655"/>
      <c r="F1655"/>
      <c r="G1655"/>
      <c r="H1655"/>
      <c r="I1655"/>
      <c r="J1655"/>
    </row>
    <row r="1656" spans="1:11" ht="12.75" x14ac:dyDescent="0.2"/>
    <row r="1657" spans="1:11" ht="14.25" customHeight="1" x14ac:dyDescent="0.2">
      <c r="K1657" s="68"/>
    </row>
    <row r="1658" spans="1:11" ht="14.25" customHeight="1" x14ac:dyDescent="0.2">
      <c r="K1658" s="68"/>
    </row>
    <row r="1659" spans="1:11" ht="12.75" x14ac:dyDescent="0.2">
      <c r="K1659" s="68"/>
    </row>
    <row r="1660" spans="1:11" ht="14.25" customHeight="1" x14ac:dyDescent="0.2">
      <c r="K1660" s="17"/>
    </row>
    <row r="1661" spans="1:11" ht="12.75" x14ac:dyDescent="0.2">
      <c r="K1661" s="17"/>
    </row>
    <row r="1662" spans="1:11" ht="12.75" x14ac:dyDescent="0.2">
      <c r="K1662" s="17"/>
    </row>
    <row r="1663" spans="1:11" ht="12.75" x14ac:dyDescent="0.2">
      <c r="K1663" s="17"/>
    </row>
    <row r="1664" spans="1:11" ht="12.75" x14ac:dyDescent="0.2">
      <c r="K1664" s="17"/>
    </row>
    <row r="1665" spans="1:18" ht="12.75" x14ac:dyDescent="0.2">
      <c r="K1665" s="17"/>
      <c r="R1665" s="17"/>
    </row>
    <row r="1666" spans="1:18" ht="12.75" x14ac:dyDescent="0.2">
      <c r="K1666" s="17"/>
    </row>
    <row r="1667" spans="1:18" ht="12.75" x14ac:dyDescent="0.2">
      <c r="K1667" s="17"/>
    </row>
    <row r="1668" spans="1:18" ht="12.75" x14ac:dyDescent="0.2"/>
    <row r="1669" spans="1:18" s="17" customFormat="1" ht="12.75" x14ac:dyDescent="0.2">
      <c r="A1669"/>
      <c r="B1669"/>
      <c r="C1669"/>
      <c r="D1669"/>
      <c r="E1669"/>
      <c r="F1669"/>
      <c r="G1669"/>
      <c r="H1669"/>
      <c r="I1669"/>
      <c r="J1669"/>
    </row>
    <row r="1670" spans="1:18" s="92" customFormat="1" ht="15" x14ac:dyDescent="0.2">
      <c r="A1670"/>
      <c r="B1670"/>
      <c r="C1670"/>
      <c r="D1670"/>
      <c r="E1670"/>
      <c r="F1670"/>
      <c r="G1670"/>
      <c r="H1670"/>
      <c r="I1670"/>
      <c r="J1670"/>
      <c r="K1670" s="19"/>
    </row>
    <row r="1671" spans="1:18" ht="12.75" x14ac:dyDescent="0.2"/>
    <row r="1672" spans="1:18" ht="12" customHeight="1" x14ac:dyDescent="0.2"/>
    <row r="1673" spans="1:18" ht="12.75" x14ac:dyDescent="0.2"/>
    <row r="1674" spans="1:18" ht="12.75" x14ac:dyDescent="0.2"/>
    <row r="1675" spans="1:18" ht="12.75" x14ac:dyDescent="0.2">
      <c r="K1675" s="57"/>
    </row>
    <row r="1676" spans="1:18" ht="12.75" x14ac:dyDescent="0.2">
      <c r="K1676" s="58"/>
    </row>
    <row r="1677" spans="1:18" ht="12.75" x14ac:dyDescent="0.2">
      <c r="K1677" s="58"/>
    </row>
    <row r="1678" spans="1:18" ht="12.75" x14ac:dyDescent="0.2"/>
    <row r="1679" spans="1:18" ht="12.75" x14ac:dyDescent="0.2">
      <c r="K1679" s="61"/>
    </row>
    <row r="1680" spans="1:18" ht="12.75" x14ac:dyDescent="0.2">
      <c r="K1680" s="61"/>
    </row>
    <row r="1681" spans="1:18" s="59" customFormat="1" ht="15" x14ac:dyDescent="0.25">
      <c r="A1681"/>
      <c r="B1681"/>
      <c r="C1681"/>
      <c r="D1681"/>
      <c r="E1681"/>
      <c r="F1681"/>
      <c r="G1681"/>
      <c r="H1681"/>
      <c r="I1681"/>
      <c r="J1681"/>
    </row>
    <row r="1682" spans="1:18" s="59" customFormat="1" ht="15" x14ac:dyDescent="0.25">
      <c r="A1682"/>
      <c r="B1682"/>
      <c r="C1682"/>
      <c r="D1682"/>
      <c r="E1682"/>
      <c r="F1682"/>
      <c r="G1682"/>
      <c r="H1682"/>
      <c r="I1682"/>
      <c r="J1682"/>
    </row>
    <row r="1683" spans="1:18" ht="12.75" x14ac:dyDescent="0.2"/>
    <row r="1684" spans="1:18" ht="14.25" customHeight="1" x14ac:dyDescent="0.2">
      <c r="K1684" s="68"/>
    </row>
    <row r="1685" spans="1:18" ht="14.25" customHeight="1" x14ac:dyDescent="0.2">
      <c r="K1685" s="68"/>
    </row>
    <row r="1686" spans="1:18" ht="12.75" x14ac:dyDescent="0.2">
      <c r="K1686" s="68"/>
    </row>
    <row r="1687" spans="1:18" ht="14.25" customHeight="1" x14ac:dyDescent="0.2">
      <c r="K1687" s="17"/>
    </row>
    <row r="1688" spans="1:18" ht="12.75" x14ac:dyDescent="0.2">
      <c r="K1688" s="17"/>
    </row>
    <row r="1689" spans="1:18" ht="12.75" x14ac:dyDescent="0.2">
      <c r="K1689" s="17"/>
    </row>
    <row r="1690" spans="1:18" ht="12.75" x14ac:dyDescent="0.2">
      <c r="K1690" s="17"/>
    </row>
    <row r="1691" spans="1:18" ht="12.75" x14ac:dyDescent="0.2">
      <c r="K1691" s="17"/>
    </row>
    <row r="1692" spans="1:18" ht="12.75" x14ac:dyDescent="0.2">
      <c r="K1692" s="17"/>
      <c r="R1692" s="17"/>
    </row>
    <row r="1693" spans="1:18" ht="12.75" x14ac:dyDescent="0.2">
      <c r="K1693" s="17"/>
    </row>
    <row r="1694" spans="1:18" ht="12.75" x14ac:dyDescent="0.2">
      <c r="K1694" s="17"/>
    </row>
    <row r="1695" spans="1:18" ht="12.75" x14ac:dyDescent="0.2"/>
    <row r="1696" spans="1:18" s="17" customFormat="1" ht="12.75" x14ac:dyDescent="0.2">
      <c r="A1696"/>
      <c r="B1696"/>
      <c r="C1696"/>
      <c r="D1696"/>
      <c r="E1696"/>
      <c r="F1696"/>
      <c r="G1696"/>
      <c r="H1696"/>
      <c r="I1696"/>
      <c r="J1696"/>
    </row>
    <row r="1697" spans="1:11" s="92" customFormat="1" ht="15" x14ac:dyDescent="0.2">
      <c r="A1697"/>
      <c r="B1697"/>
      <c r="C1697"/>
      <c r="D1697"/>
      <c r="E1697"/>
      <c r="F1697"/>
      <c r="G1697"/>
      <c r="H1697"/>
      <c r="I1697"/>
      <c r="J1697"/>
      <c r="K1697" s="19"/>
    </row>
    <row r="1698" spans="1:11" ht="12.75" x14ac:dyDescent="0.2"/>
    <row r="1699" spans="1:11" ht="12" customHeight="1" x14ac:dyDescent="0.2"/>
    <row r="1700" spans="1:11" ht="12.75" x14ac:dyDescent="0.2"/>
    <row r="1701" spans="1:11" ht="12.75" x14ac:dyDescent="0.2"/>
    <row r="1702" spans="1:11" ht="12.75" x14ac:dyDescent="0.2">
      <c r="K1702" s="57"/>
    </row>
    <row r="1703" spans="1:11" ht="12.75" x14ac:dyDescent="0.2">
      <c r="K1703" s="58"/>
    </row>
    <row r="1704" spans="1:11" ht="12.75" x14ac:dyDescent="0.2">
      <c r="K1704" s="58"/>
    </row>
    <row r="1705" spans="1:11" ht="12.75" x14ac:dyDescent="0.2"/>
    <row r="1706" spans="1:11" ht="12.75" x14ac:dyDescent="0.2">
      <c r="K1706" s="61"/>
    </row>
    <row r="1707" spans="1:11" ht="12.75" x14ac:dyDescent="0.2">
      <c r="K1707" s="61"/>
    </row>
    <row r="1708" spans="1:11" s="59" customFormat="1" ht="15" x14ac:dyDescent="0.25">
      <c r="A1708"/>
      <c r="B1708"/>
      <c r="C1708"/>
      <c r="D1708"/>
      <c r="E1708"/>
      <c r="F1708"/>
      <c r="G1708"/>
      <c r="H1708"/>
      <c r="I1708"/>
      <c r="J1708"/>
    </row>
    <row r="1709" spans="1:11" s="59" customFormat="1" ht="15" x14ac:dyDescent="0.25">
      <c r="A1709"/>
      <c r="B1709"/>
      <c r="C1709"/>
      <c r="D1709"/>
      <c r="E1709"/>
      <c r="F1709"/>
      <c r="G1709"/>
      <c r="H1709"/>
      <c r="I1709"/>
      <c r="J1709"/>
    </row>
    <row r="1710" spans="1:11" ht="12.75" x14ac:dyDescent="0.2"/>
    <row r="1711" spans="1:11" ht="14.25" customHeight="1" x14ac:dyDescent="0.2">
      <c r="K1711" s="68"/>
    </row>
    <row r="1712" spans="1:11" ht="14.25" customHeight="1" x14ac:dyDescent="0.2">
      <c r="K1712" s="68"/>
    </row>
    <row r="1713" spans="1:18" ht="12.75" x14ac:dyDescent="0.2">
      <c r="K1713" s="68"/>
    </row>
    <row r="1714" spans="1:18" ht="14.25" customHeight="1" x14ac:dyDescent="0.2">
      <c r="K1714" s="17"/>
    </row>
    <row r="1715" spans="1:18" ht="12.75" x14ac:dyDescent="0.2">
      <c r="K1715" s="17"/>
    </row>
    <row r="1716" spans="1:18" ht="12.75" x14ac:dyDescent="0.2">
      <c r="K1716" s="17"/>
    </row>
    <row r="1717" spans="1:18" ht="12.75" x14ac:dyDescent="0.2">
      <c r="K1717" s="17"/>
    </row>
    <row r="1718" spans="1:18" ht="12.75" x14ac:dyDescent="0.2">
      <c r="K1718" s="17"/>
    </row>
    <row r="1719" spans="1:18" ht="12.75" x14ac:dyDescent="0.2">
      <c r="K1719" s="17"/>
      <c r="R1719" s="17"/>
    </row>
    <row r="1720" spans="1:18" ht="12.75" x14ac:dyDescent="0.2">
      <c r="K1720" s="17"/>
    </row>
    <row r="1721" spans="1:18" ht="12.75" x14ac:dyDescent="0.2">
      <c r="K1721" s="17"/>
    </row>
    <row r="1722" spans="1:18" ht="12.75" x14ac:dyDescent="0.2"/>
    <row r="1723" spans="1:18" s="17" customFormat="1" ht="12.75" x14ac:dyDescent="0.2">
      <c r="A1723"/>
      <c r="B1723"/>
      <c r="C1723"/>
      <c r="D1723"/>
      <c r="E1723"/>
      <c r="F1723"/>
      <c r="G1723"/>
      <c r="H1723"/>
      <c r="I1723"/>
      <c r="J1723"/>
    </row>
    <row r="1724" spans="1:18" s="92" customFormat="1" ht="15" x14ac:dyDescent="0.2">
      <c r="A1724"/>
      <c r="B1724"/>
      <c r="C1724"/>
      <c r="D1724"/>
      <c r="E1724"/>
      <c r="F1724"/>
      <c r="G1724"/>
      <c r="H1724"/>
      <c r="I1724"/>
      <c r="J1724"/>
      <c r="K1724" s="19"/>
    </row>
    <row r="1725" spans="1:18" ht="12.75" x14ac:dyDescent="0.2"/>
    <row r="1726" spans="1:18" ht="12" customHeight="1" x14ac:dyDescent="0.2"/>
    <row r="1727" spans="1:18" ht="12.75" x14ac:dyDescent="0.2"/>
    <row r="1728" spans="1:18" ht="12.75" x14ac:dyDescent="0.2"/>
    <row r="1729" spans="1:11" ht="12.75" x14ac:dyDescent="0.2">
      <c r="K1729" s="57"/>
    </row>
    <row r="1730" spans="1:11" ht="12.75" x14ac:dyDescent="0.2">
      <c r="K1730" s="58"/>
    </row>
    <row r="1731" spans="1:11" ht="12.75" x14ac:dyDescent="0.2">
      <c r="K1731" s="58"/>
    </row>
    <row r="1732" spans="1:11" ht="12.75" x14ac:dyDescent="0.2"/>
    <row r="1733" spans="1:11" ht="12.75" x14ac:dyDescent="0.2">
      <c r="K1733" s="61"/>
    </row>
    <row r="1734" spans="1:11" ht="12.75" x14ac:dyDescent="0.2">
      <c r="K1734" s="61"/>
    </row>
    <row r="1735" spans="1:11" s="59" customFormat="1" ht="15" x14ac:dyDescent="0.25">
      <c r="A1735"/>
      <c r="B1735"/>
      <c r="C1735"/>
      <c r="D1735"/>
      <c r="E1735"/>
      <c r="F1735"/>
      <c r="G1735"/>
      <c r="H1735"/>
      <c r="I1735"/>
      <c r="J1735"/>
    </row>
    <row r="1736" spans="1:11" s="59" customFormat="1" ht="15" x14ac:dyDescent="0.25">
      <c r="A1736"/>
      <c r="B1736"/>
      <c r="C1736"/>
      <c r="D1736"/>
      <c r="E1736"/>
      <c r="F1736"/>
      <c r="G1736"/>
      <c r="H1736"/>
      <c r="I1736"/>
      <c r="J1736"/>
    </row>
    <row r="1737" spans="1:11" ht="12.75" x14ac:dyDescent="0.2"/>
    <row r="1738" spans="1:11" ht="14.25" customHeight="1" x14ac:dyDescent="0.2">
      <c r="K1738" s="68"/>
    </row>
    <row r="1739" spans="1:11" ht="14.25" customHeight="1" x14ac:dyDescent="0.2">
      <c r="K1739" s="68"/>
    </row>
    <row r="1740" spans="1:11" ht="12.75" x14ac:dyDescent="0.2">
      <c r="K1740" s="68"/>
    </row>
    <row r="1741" spans="1:11" ht="14.25" customHeight="1" x14ac:dyDescent="0.2">
      <c r="K1741" s="17"/>
    </row>
    <row r="1742" spans="1:11" ht="12.75" x14ac:dyDescent="0.2">
      <c r="K1742" s="17"/>
    </row>
    <row r="1743" spans="1:11" ht="12.75" x14ac:dyDescent="0.2">
      <c r="K1743" s="17"/>
    </row>
    <row r="1744" spans="1:11" ht="12.75" x14ac:dyDescent="0.2">
      <c r="K1744" s="17"/>
    </row>
    <row r="1745" spans="1:18" ht="12.75" x14ac:dyDescent="0.2">
      <c r="K1745" s="17"/>
    </row>
    <row r="1746" spans="1:18" ht="12.75" x14ac:dyDescent="0.2">
      <c r="K1746" s="17"/>
      <c r="R1746" s="17"/>
    </row>
    <row r="1747" spans="1:18" ht="12.75" x14ac:dyDescent="0.2">
      <c r="K1747" s="17"/>
    </row>
    <row r="1748" spans="1:18" ht="12.75" x14ac:dyDescent="0.2">
      <c r="K1748" s="17"/>
    </row>
    <row r="1749" spans="1:18" ht="12.75" x14ac:dyDescent="0.2"/>
    <row r="1750" spans="1:18" s="17" customFormat="1" ht="12.75" x14ac:dyDescent="0.2">
      <c r="A1750"/>
      <c r="B1750"/>
      <c r="C1750"/>
      <c r="D1750"/>
      <c r="E1750"/>
      <c r="F1750"/>
      <c r="G1750"/>
      <c r="H1750"/>
      <c r="I1750"/>
      <c r="J1750"/>
    </row>
    <row r="1751" spans="1:18" s="92" customFormat="1" ht="15" x14ac:dyDescent="0.2">
      <c r="A1751"/>
      <c r="B1751"/>
      <c r="C1751"/>
      <c r="D1751"/>
      <c r="E1751"/>
      <c r="F1751"/>
      <c r="G1751"/>
      <c r="H1751"/>
      <c r="I1751"/>
      <c r="J1751"/>
      <c r="K1751" s="19"/>
    </row>
    <row r="1752" spans="1:18" ht="12.75" x14ac:dyDescent="0.2"/>
    <row r="1753" spans="1:18" ht="12" customHeight="1" x14ac:dyDescent="0.2"/>
    <row r="1754" spans="1:18" ht="12.75" x14ac:dyDescent="0.2"/>
    <row r="1755" spans="1:18" ht="12.75" x14ac:dyDescent="0.2"/>
    <row r="1756" spans="1:18" ht="12.75" x14ac:dyDescent="0.2">
      <c r="K1756" s="57"/>
    </row>
    <row r="1757" spans="1:18" ht="12.75" x14ac:dyDescent="0.2">
      <c r="K1757" s="58"/>
    </row>
    <row r="1758" spans="1:18" ht="12.75" x14ac:dyDescent="0.2">
      <c r="K1758" s="58"/>
    </row>
    <row r="1759" spans="1:18" ht="12.75" x14ac:dyDescent="0.2"/>
    <row r="1760" spans="1:18" ht="12.75" x14ac:dyDescent="0.2">
      <c r="K1760" s="61"/>
    </row>
    <row r="1761" spans="1:18" ht="12.75" x14ac:dyDescent="0.2">
      <c r="K1761" s="61"/>
    </row>
    <row r="1762" spans="1:18" s="59" customFormat="1" ht="15" x14ac:dyDescent="0.25">
      <c r="A1762"/>
      <c r="B1762"/>
      <c r="C1762"/>
      <c r="D1762"/>
      <c r="E1762"/>
      <c r="F1762"/>
      <c r="G1762"/>
      <c r="H1762"/>
      <c r="I1762"/>
      <c r="J1762"/>
    </row>
    <row r="1763" spans="1:18" s="59" customFormat="1" ht="15" x14ac:dyDescent="0.25">
      <c r="A1763"/>
      <c r="B1763"/>
      <c r="C1763"/>
      <c r="D1763"/>
      <c r="E1763"/>
      <c r="F1763"/>
      <c r="G1763"/>
      <c r="H1763"/>
      <c r="I1763"/>
      <c r="J1763"/>
    </row>
    <row r="1764" spans="1:18" ht="12.75" x14ac:dyDescent="0.2"/>
    <row r="1765" spans="1:18" ht="14.25" customHeight="1" x14ac:dyDescent="0.2">
      <c r="K1765" s="68"/>
    </row>
    <row r="1766" spans="1:18" ht="14.25" customHeight="1" x14ac:dyDescent="0.2">
      <c r="K1766" s="68"/>
    </row>
    <row r="1767" spans="1:18" ht="12.75" x14ac:dyDescent="0.2">
      <c r="K1767" s="68"/>
    </row>
    <row r="1768" spans="1:18" ht="14.25" customHeight="1" x14ac:dyDescent="0.2">
      <c r="K1768" s="17"/>
    </row>
    <row r="1769" spans="1:18" ht="12.75" x14ac:dyDescent="0.2">
      <c r="K1769" s="17"/>
    </row>
    <row r="1770" spans="1:18" ht="12.75" x14ac:dyDescent="0.2">
      <c r="K1770" s="17"/>
    </row>
    <row r="1771" spans="1:18" ht="12.75" x14ac:dyDescent="0.2">
      <c r="K1771" s="17"/>
    </row>
    <row r="1772" spans="1:18" ht="12.75" x14ac:dyDescent="0.2">
      <c r="K1772" s="17"/>
    </row>
    <row r="1773" spans="1:18" ht="12.75" x14ac:dyDescent="0.2">
      <c r="K1773" s="17"/>
      <c r="R1773" s="17"/>
    </row>
    <row r="1774" spans="1:18" ht="12.75" x14ac:dyDescent="0.2">
      <c r="K1774" s="17"/>
    </row>
    <row r="1775" spans="1:18" ht="12.75" x14ac:dyDescent="0.2">
      <c r="K1775" s="17"/>
    </row>
    <row r="1776" spans="1:18" ht="12.75" x14ac:dyDescent="0.2"/>
    <row r="1777" spans="1:11" s="17" customFormat="1" ht="12.75" x14ac:dyDescent="0.2">
      <c r="A1777"/>
      <c r="B1777"/>
      <c r="C1777"/>
      <c r="D1777"/>
      <c r="E1777"/>
      <c r="F1777"/>
      <c r="G1777"/>
      <c r="H1777"/>
      <c r="I1777"/>
      <c r="J1777"/>
    </row>
    <row r="1778" spans="1:11" s="92" customFormat="1" ht="15" x14ac:dyDescent="0.2">
      <c r="A1778"/>
      <c r="B1778"/>
      <c r="C1778"/>
      <c r="D1778"/>
      <c r="E1778"/>
      <c r="F1778"/>
      <c r="G1778"/>
      <c r="H1778"/>
      <c r="I1778"/>
      <c r="J1778"/>
      <c r="K1778" s="19"/>
    </row>
    <row r="1779" spans="1:11" ht="12.75" x14ac:dyDescent="0.2"/>
    <row r="1780" spans="1:11" ht="12" customHeight="1" x14ac:dyDescent="0.2"/>
    <row r="1781" spans="1:11" ht="12.75" x14ac:dyDescent="0.2"/>
    <row r="1782" spans="1:11" ht="12.75" x14ac:dyDescent="0.2"/>
    <row r="1783" spans="1:11" ht="12.75" x14ac:dyDescent="0.2">
      <c r="K1783" s="57"/>
    </row>
    <row r="1784" spans="1:11" ht="12.75" x14ac:dyDescent="0.2">
      <c r="K1784" s="58"/>
    </row>
    <row r="1785" spans="1:11" ht="12.75" x14ac:dyDescent="0.2">
      <c r="K1785" s="58"/>
    </row>
    <row r="1786" spans="1:11" ht="12.75" x14ac:dyDescent="0.2"/>
    <row r="1787" spans="1:11" ht="12.75" x14ac:dyDescent="0.2">
      <c r="K1787" s="61"/>
    </row>
    <row r="1788" spans="1:11" ht="12.75" x14ac:dyDescent="0.2">
      <c r="K1788" s="61"/>
    </row>
    <row r="1789" spans="1:11" s="59" customFormat="1" ht="15" x14ac:dyDescent="0.25">
      <c r="A1789"/>
      <c r="B1789"/>
      <c r="C1789"/>
      <c r="D1789"/>
      <c r="E1789"/>
      <c r="F1789"/>
      <c r="G1789"/>
      <c r="H1789"/>
      <c r="I1789"/>
      <c r="J1789"/>
    </row>
    <row r="1790" spans="1:11" s="59" customFormat="1" ht="15" x14ac:dyDescent="0.25">
      <c r="A1790"/>
      <c r="B1790"/>
      <c r="C1790"/>
      <c r="D1790"/>
      <c r="E1790"/>
      <c r="F1790"/>
      <c r="G1790"/>
      <c r="H1790"/>
      <c r="I1790"/>
      <c r="J1790"/>
    </row>
    <row r="1791" spans="1:11" ht="12.75" x14ac:dyDescent="0.2"/>
    <row r="1792" spans="1:11" ht="14.25" customHeight="1" x14ac:dyDescent="0.2">
      <c r="K1792" s="68"/>
    </row>
    <row r="1793" spans="1:18" ht="14.25" customHeight="1" x14ac:dyDescent="0.2">
      <c r="K1793" s="68"/>
    </row>
    <row r="1794" spans="1:18" ht="12.75" x14ac:dyDescent="0.2">
      <c r="K1794" s="68"/>
    </row>
    <row r="1795" spans="1:18" ht="14.25" customHeight="1" x14ac:dyDescent="0.2">
      <c r="K1795" s="17"/>
    </row>
    <row r="1796" spans="1:18" ht="12.75" x14ac:dyDescent="0.2">
      <c r="K1796" s="17"/>
    </row>
    <row r="1797" spans="1:18" ht="12.75" x14ac:dyDescent="0.2">
      <c r="K1797" s="17"/>
    </row>
    <row r="1798" spans="1:18" ht="12.75" x14ac:dyDescent="0.2">
      <c r="K1798" s="17"/>
    </row>
    <row r="1799" spans="1:18" ht="12.75" x14ac:dyDescent="0.2">
      <c r="K1799" s="17"/>
    </row>
    <row r="1800" spans="1:18" ht="12.75" x14ac:dyDescent="0.2">
      <c r="K1800" s="17"/>
      <c r="R1800" s="17"/>
    </row>
    <row r="1801" spans="1:18" ht="12.75" x14ac:dyDescent="0.2">
      <c r="K1801" s="17"/>
    </row>
    <row r="1802" spans="1:18" ht="12.75" x14ac:dyDescent="0.2">
      <c r="K1802" s="17"/>
    </row>
    <row r="1803" spans="1:18" ht="12.75" x14ac:dyDescent="0.2"/>
    <row r="1804" spans="1:18" s="17" customFormat="1" ht="12.75" x14ac:dyDescent="0.2">
      <c r="A1804"/>
      <c r="B1804"/>
      <c r="C1804"/>
      <c r="D1804"/>
      <c r="E1804"/>
      <c r="F1804"/>
      <c r="G1804"/>
      <c r="H1804"/>
      <c r="I1804"/>
      <c r="J1804"/>
    </row>
    <row r="1805" spans="1:18" s="92" customFormat="1" ht="15" x14ac:dyDescent="0.2">
      <c r="A1805"/>
      <c r="B1805"/>
      <c r="C1805"/>
      <c r="D1805"/>
      <c r="E1805"/>
      <c r="F1805"/>
      <c r="G1805"/>
      <c r="H1805"/>
      <c r="I1805"/>
      <c r="J1805"/>
      <c r="K1805" s="19"/>
    </row>
    <row r="1806" spans="1:18" ht="12.75" x14ac:dyDescent="0.2"/>
    <row r="1807" spans="1:18" ht="12" customHeight="1" x14ac:dyDescent="0.2"/>
    <row r="1808" spans="1:18" ht="12.75" x14ac:dyDescent="0.2"/>
    <row r="1809" spans="1:11" ht="12.75" x14ac:dyDescent="0.2"/>
    <row r="1810" spans="1:11" ht="12.75" x14ac:dyDescent="0.2">
      <c r="K1810" s="57"/>
    </row>
    <row r="1811" spans="1:11" ht="12.75" x14ac:dyDescent="0.2">
      <c r="K1811" s="58"/>
    </row>
    <row r="1812" spans="1:11" ht="12.75" x14ac:dyDescent="0.2">
      <c r="K1812" s="58"/>
    </row>
    <row r="1813" spans="1:11" ht="12.75" x14ac:dyDescent="0.2"/>
    <row r="1814" spans="1:11" ht="12.75" x14ac:dyDescent="0.2">
      <c r="K1814" s="61"/>
    </row>
    <row r="1815" spans="1:11" ht="12.75" x14ac:dyDescent="0.2">
      <c r="K1815" s="61"/>
    </row>
    <row r="1816" spans="1:11" s="59" customFormat="1" ht="15" x14ac:dyDescent="0.25">
      <c r="A1816"/>
      <c r="B1816"/>
      <c r="C1816"/>
      <c r="D1816"/>
      <c r="E1816"/>
      <c r="F1816"/>
      <c r="G1816"/>
      <c r="H1816"/>
      <c r="I1816"/>
      <c r="J1816"/>
    </row>
    <row r="1817" spans="1:11" s="59" customFormat="1" ht="15" x14ac:dyDescent="0.25">
      <c r="A1817"/>
      <c r="B1817"/>
      <c r="C1817"/>
      <c r="D1817"/>
      <c r="E1817"/>
      <c r="F1817"/>
      <c r="G1817"/>
      <c r="H1817"/>
      <c r="I1817"/>
      <c r="J1817"/>
    </row>
    <row r="1818" spans="1:11" ht="12.75" x14ac:dyDescent="0.2"/>
    <row r="1819" spans="1:11" ht="14.25" customHeight="1" x14ac:dyDescent="0.2">
      <c r="K1819" s="68"/>
    </row>
    <row r="1820" spans="1:11" ht="14.25" customHeight="1" x14ac:dyDescent="0.2">
      <c r="K1820" s="68"/>
    </row>
    <row r="1821" spans="1:11" ht="12.75" x14ac:dyDescent="0.2">
      <c r="K1821" s="68"/>
    </row>
    <row r="1822" spans="1:11" ht="14.25" customHeight="1" x14ac:dyDescent="0.2">
      <c r="K1822" s="17"/>
    </row>
    <row r="1823" spans="1:11" ht="12.75" x14ac:dyDescent="0.2">
      <c r="K1823" s="17"/>
    </row>
    <row r="1824" spans="1:11" ht="12.75" x14ac:dyDescent="0.2">
      <c r="K1824" s="17"/>
    </row>
    <row r="1825" spans="1:18" ht="12.75" x14ac:dyDescent="0.2">
      <c r="K1825" s="17"/>
    </row>
    <row r="1826" spans="1:18" ht="12.75" x14ac:dyDescent="0.2">
      <c r="K1826" s="17"/>
    </row>
    <row r="1827" spans="1:18" ht="12.75" x14ac:dyDescent="0.2">
      <c r="K1827" s="17"/>
      <c r="R1827" s="17"/>
    </row>
    <row r="1828" spans="1:18" ht="12.75" x14ac:dyDescent="0.2">
      <c r="K1828" s="17"/>
    </row>
    <row r="1829" spans="1:18" ht="12.75" x14ac:dyDescent="0.2">
      <c r="K1829" s="17"/>
    </row>
    <row r="1830" spans="1:18" ht="12.75" x14ac:dyDescent="0.2"/>
    <row r="1831" spans="1:18" s="17" customFormat="1" ht="12.75" x14ac:dyDescent="0.2">
      <c r="A1831"/>
      <c r="B1831"/>
      <c r="C1831"/>
      <c r="D1831"/>
      <c r="E1831"/>
      <c r="F1831"/>
      <c r="G1831"/>
      <c r="H1831"/>
      <c r="I1831"/>
      <c r="J1831"/>
    </row>
    <row r="1832" spans="1:18" s="92" customFormat="1" ht="15" x14ac:dyDescent="0.2">
      <c r="A1832"/>
      <c r="B1832"/>
      <c r="C1832"/>
      <c r="D1832"/>
      <c r="E1832"/>
      <c r="F1832"/>
      <c r="G1832"/>
      <c r="H1832"/>
      <c r="I1832"/>
      <c r="J1832"/>
      <c r="K1832" s="19"/>
    </row>
    <row r="1833" spans="1:18" ht="12.75" x14ac:dyDescent="0.2"/>
    <row r="1834" spans="1:18" ht="12" customHeight="1" x14ac:dyDescent="0.2"/>
    <row r="1835" spans="1:18" ht="12.75" x14ac:dyDescent="0.2"/>
    <row r="1836" spans="1:18" ht="12.75" x14ac:dyDescent="0.2"/>
    <row r="1837" spans="1:18" ht="12.75" x14ac:dyDescent="0.2">
      <c r="K1837" s="57"/>
    </row>
    <row r="1838" spans="1:18" ht="12.75" x14ac:dyDescent="0.2">
      <c r="K1838" s="58"/>
    </row>
    <row r="1839" spans="1:18" ht="12.75" x14ac:dyDescent="0.2">
      <c r="K1839" s="58"/>
    </row>
    <row r="1840" spans="1:18" ht="12.75" x14ac:dyDescent="0.2"/>
    <row r="1841" spans="1:18" ht="12.75" x14ac:dyDescent="0.2">
      <c r="K1841" s="61"/>
    </row>
    <row r="1842" spans="1:18" ht="12.75" x14ac:dyDescent="0.2">
      <c r="K1842" s="61"/>
    </row>
    <row r="1843" spans="1:18" s="59" customFormat="1" ht="15" x14ac:dyDescent="0.25">
      <c r="A1843"/>
      <c r="B1843"/>
      <c r="C1843"/>
      <c r="D1843"/>
      <c r="E1843"/>
      <c r="F1843"/>
      <c r="G1843"/>
      <c r="H1843"/>
      <c r="I1843"/>
      <c r="J1843"/>
    </row>
    <row r="1844" spans="1:18" s="59" customFormat="1" ht="15" x14ac:dyDescent="0.25">
      <c r="A1844"/>
      <c r="B1844"/>
      <c r="C1844"/>
      <c r="D1844"/>
      <c r="E1844"/>
      <c r="F1844"/>
      <c r="G1844"/>
      <c r="H1844"/>
      <c r="I1844"/>
      <c r="J1844"/>
    </row>
    <row r="1845" spans="1:18" ht="12.75" x14ac:dyDescent="0.2"/>
    <row r="1846" spans="1:18" ht="14.25" customHeight="1" x14ac:dyDescent="0.2">
      <c r="K1846" s="68"/>
    </row>
    <row r="1847" spans="1:18" ht="14.25" customHeight="1" x14ac:dyDescent="0.2">
      <c r="K1847" s="68"/>
    </row>
    <row r="1848" spans="1:18" ht="12.75" x14ac:dyDescent="0.2">
      <c r="K1848" s="68"/>
    </row>
    <row r="1849" spans="1:18" ht="14.25" customHeight="1" x14ac:dyDescent="0.2">
      <c r="K1849" s="17"/>
    </row>
    <row r="1850" spans="1:18" ht="12.75" x14ac:dyDescent="0.2">
      <c r="K1850" s="17"/>
    </row>
    <row r="1851" spans="1:18" ht="12.75" x14ac:dyDescent="0.2">
      <c r="K1851" s="17"/>
    </row>
    <row r="1852" spans="1:18" ht="12.75" x14ac:dyDescent="0.2">
      <c r="K1852" s="17"/>
    </row>
    <row r="1853" spans="1:18" ht="12.75" x14ac:dyDescent="0.2">
      <c r="K1853" s="17"/>
    </row>
    <row r="1854" spans="1:18" ht="12.75" x14ac:dyDescent="0.2">
      <c r="K1854" s="17"/>
      <c r="R1854" s="17"/>
    </row>
    <row r="1855" spans="1:18" ht="12.75" x14ac:dyDescent="0.2">
      <c r="K1855" s="17"/>
    </row>
    <row r="1856" spans="1:18" ht="12.75" x14ac:dyDescent="0.2">
      <c r="K1856" s="17"/>
    </row>
    <row r="1857" spans="1:11" ht="12.75" x14ac:dyDescent="0.2"/>
    <row r="1858" spans="1:11" s="17" customFormat="1" ht="12.75" x14ac:dyDescent="0.2">
      <c r="A1858"/>
      <c r="B1858"/>
      <c r="C1858"/>
      <c r="D1858"/>
      <c r="E1858"/>
      <c r="F1858"/>
      <c r="G1858"/>
      <c r="H1858"/>
      <c r="I1858"/>
      <c r="J1858"/>
    </row>
    <row r="1859" spans="1:11" s="92" customFormat="1" ht="15" x14ac:dyDescent="0.2">
      <c r="A1859"/>
      <c r="B1859"/>
      <c r="C1859"/>
      <c r="D1859"/>
      <c r="E1859"/>
      <c r="F1859"/>
      <c r="G1859"/>
      <c r="H1859"/>
      <c r="I1859"/>
      <c r="J1859"/>
      <c r="K1859" s="19"/>
    </row>
    <row r="1860" spans="1:11" ht="12.75" x14ac:dyDescent="0.2"/>
    <row r="1861" spans="1:11" ht="12" customHeight="1" x14ac:dyDescent="0.2"/>
    <row r="1862" spans="1:11" ht="12.75" x14ac:dyDescent="0.2"/>
    <row r="1863" spans="1:11" ht="12.75" x14ac:dyDescent="0.2"/>
    <row r="1864" spans="1:11" ht="12.75" x14ac:dyDescent="0.2">
      <c r="K1864" s="57"/>
    </row>
    <row r="1865" spans="1:11" ht="12.75" x14ac:dyDescent="0.2">
      <c r="K1865" s="58"/>
    </row>
    <row r="1866" spans="1:11" ht="12.75" x14ac:dyDescent="0.2">
      <c r="K1866" s="58"/>
    </row>
    <row r="1867" spans="1:11" ht="12.75" x14ac:dyDescent="0.2"/>
    <row r="1868" spans="1:11" ht="12.75" x14ac:dyDescent="0.2">
      <c r="K1868" s="61"/>
    </row>
    <row r="1869" spans="1:11" ht="12.75" x14ac:dyDescent="0.2">
      <c r="K1869" s="61"/>
    </row>
    <row r="1870" spans="1:11" s="59" customFormat="1" ht="15" x14ac:dyDescent="0.25">
      <c r="A1870"/>
      <c r="B1870"/>
      <c r="C1870"/>
      <c r="D1870"/>
      <c r="E1870"/>
      <c r="F1870"/>
      <c r="G1870"/>
      <c r="H1870"/>
      <c r="I1870"/>
      <c r="J1870"/>
    </row>
    <row r="1871" spans="1:11" s="59" customFormat="1" ht="15" x14ac:dyDescent="0.25">
      <c r="A1871"/>
      <c r="B1871"/>
      <c r="C1871"/>
      <c r="D1871"/>
      <c r="E1871"/>
      <c r="F1871"/>
      <c r="G1871"/>
      <c r="H1871"/>
      <c r="I1871"/>
      <c r="J1871"/>
    </row>
    <row r="1872" spans="1:11" ht="12.75" x14ac:dyDescent="0.2"/>
    <row r="1873" spans="1:18" ht="14.25" customHeight="1" x14ac:dyDescent="0.2">
      <c r="K1873" s="68"/>
    </row>
    <row r="1874" spans="1:18" ht="14.25" customHeight="1" x14ac:dyDescent="0.2">
      <c r="K1874" s="68"/>
    </row>
    <row r="1875" spans="1:18" ht="12.75" x14ac:dyDescent="0.2">
      <c r="K1875" s="68"/>
    </row>
    <row r="1876" spans="1:18" ht="14.25" customHeight="1" x14ac:dyDescent="0.2">
      <c r="K1876" s="17"/>
    </row>
    <row r="1877" spans="1:18" ht="12.75" x14ac:dyDescent="0.2">
      <c r="K1877" s="17"/>
    </row>
    <row r="1878" spans="1:18" ht="12.75" x14ac:dyDescent="0.2">
      <c r="K1878" s="17"/>
    </row>
    <row r="1879" spans="1:18" ht="12.75" x14ac:dyDescent="0.2">
      <c r="K1879" s="17"/>
    </row>
    <row r="1880" spans="1:18" ht="12.75" x14ac:dyDescent="0.2">
      <c r="K1880" s="17"/>
    </row>
    <row r="1881" spans="1:18" ht="12.75" x14ac:dyDescent="0.2">
      <c r="K1881" s="17"/>
      <c r="R1881" s="17"/>
    </row>
    <row r="1882" spans="1:18" ht="12.75" x14ac:dyDescent="0.2">
      <c r="K1882" s="17"/>
    </row>
    <row r="1883" spans="1:18" ht="12.75" x14ac:dyDescent="0.2">
      <c r="K1883" s="17"/>
    </row>
    <row r="1884" spans="1:18" ht="12.75" x14ac:dyDescent="0.2"/>
    <row r="1885" spans="1:18" s="17" customFormat="1" ht="12.75" x14ac:dyDescent="0.2">
      <c r="A1885"/>
      <c r="B1885"/>
      <c r="C1885"/>
      <c r="D1885"/>
      <c r="E1885"/>
      <c r="F1885"/>
      <c r="G1885"/>
      <c r="H1885"/>
      <c r="I1885"/>
      <c r="J1885"/>
    </row>
    <row r="1886" spans="1:18" s="92" customFormat="1" ht="15" x14ac:dyDescent="0.2">
      <c r="A1886"/>
      <c r="B1886"/>
      <c r="C1886"/>
      <c r="D1886"/>
      <c r="E1886"/>
      <c r="F1886"/>
      <c r="G1886"/>
      <c r="H1886"/>
      <c r="I1886"/>
      <c r="J1886"/>
      <c r="K1886" s="19"/>
    </row>
    <row r="1887" spans="1:18" ht="12.75" x14ac:dyDescent="0.2"/>
    <row r="1888" spans="1:18" ht="12" customHeight="1" x14ac:dyDescent="0.2"/>
    <row r="1889" spans="1:11" ht="12.75" x14ac:dyDescent="0.2"/>
    <row r="1890" spans="1:11" ht="12.75" x14ac:dyDescent="0.2"/>
    <row r="1891" spans="1:11" ht="12.75" x14ac:dyDescent="0.2">
      <c r="K1891" s="57"/>
    </row>
    <row r="1892" spans="1:11" ht="12.75" x14ac:dyDescent="0.2">
      <c r="K1892" s="58"/>
    </row>
    <row r="1893" spans="1:11" ht="12.75" x14ac:dyDescent="0.2">
      <c r="K1893" s="58"/>
    </row>
    <row r="1894" spans="1:11" ht="12.75" x14ac:dyDescent="0.2"/>
    <row r="1895" spans="1:11" ht="12.75" x14ac:dyDescent="0.2">
      <c r="K1895" s="61"/>
    </row>
    <row r="1896" spans="1:11" ht="12.75" x14ac:dyDescent="0.2">
      <c r="K1896" s="61"/>
    </row>
    <row r="1897" spans="1:11" s="59" customFormat="1" ht="15" x14ac:dyDescent="0.25">
      <c r="A1897"/>
      <c r="B1897"/>
      <c r="C1897"/>
      <c r="D1897"/>
      <c r="E1897"/>
      <c r="F1897"/>
      <c r="G1897"/>
      <c r="H1897"/>
      <c r="I1897"/>
      <c r="J1897"/>
    </row>
    <row r="1898" spans="1:11" s="59" customFormat="1" ht="15" x14ac:dyDescent="0.25">
      <c r="A1898"/>
      <c r="B1898"/>
      <c r="C1898"/>
      <c r="D1898"/>
      <c r="E1898"/>
      <c r="F1898"/>
      <c r="G1898"/>
      <c r="H1898"/>
      <c r="I1898"/>
      <c r="J1898"/>
    </row>
    <row r="1899" spans="1:11" ht="12.75" x14ac:dyDescent="0.2"/>
    <row r="1900" spans="1:11" ht="14.25" customHeight="1" x14ac:dyDescent="0.2">
      <c r="K1900" s="68"/>
    </row>
    <row r="1901" spans="1:11" ht="14.25" customHeight="1" x14ac:dyDescent="0.2">
      <c r="K1901" s="68"/>
    </row>
    <row r="1902" spans="1:11" ht="12.75" x14ac:dyDescent="0.2">
      <c r="K1902" s="68"/>
    </row>
    <row r="1903" spans="1:11" ht="14.25" customHeight="1" x14ac:dyDescent="0.2">
      <c r="K1903" s="17"/>
    </row>
    <row r="1904" spans="1:11" ht="12.75" x14ac:dyDescent="0.2">
      <c r="K1904" s="17"/>
    </row>
    <row r="1905" spans="1:18" ht="12.75" x14ac:dyDescent="0.2">
      <c r="K1905" s="17"/>
    </row>
    <row r="1906" spans="1:18" ht="12.75" x14ac:dyDescent="0.2">
      <c r="K1906" s="17"/>
    </row>
    <row r="1907" spans="1:18" ht="12.75" x14ac:dyDescent="0.2">
      <c r="K1907" s="17"/>
    </row>
    <row r="1908" spans="1:18" ht="12.75" x14ac:dyDescent="0.2">
      <c r="K1908" s="17"/>
      <c r="R1908" s="17"/>
    </row>
    <row r="1909" spans="1:18" ht="12.75" x14ac:dyDescent="0.2">
      <c r="K1909" s="17"/>
    </row>
    <row r="1910" spans="1:18" ht="12.75" x14ac:dyDescent="0.2">
      <c r="K1910" s="17"/>
    </row>
    <row r="1911" spans="1:18" ht="12.75" x14ac:dyDescent="0.2"/>
    <row r="1912" spans="1:18" s="17" customFormat="1" ht="12.75" x14ac:dyDescent="0.2">
      <c r="A1912"/>
      <c r="B1912"/>
      <c r="C1912"/>
      <c r="D1912"/>
      <c r="E1912"/>
      <c r="F1912"/>
      <c r="G1912"/>
      <c r="H1912"/>
      <c r="I1912"/>
      <c r="J1912"/>
    </row>
    <row r="1913" spans="1:18" s="92" customFormat="1" ht="15" x14ac:dyDescent="0.2">
      <c r="A1913"/>
      <c r="B1913"/>
      <c r="C1913"/>
      <c r="D1913"/>
      <c r="E1913"/>
      <c r="F1913"/>
      <c r="G1913"/>
      <c r="H1913"/>
      <c r="I1913"/>
      <c r="J1913"/>
      <c r="K1913" s="19"/>
    </row>
    <row r="1914" spans="1:18" ht="12.75" x14ac:dyDescent="0.2"/>
    <row r="1915" spans="1:18" ht="12" customHeight="1" x14ac:dyDescent="0.2"/>
    <row r="1916" spans="1:18" ht="12.75" x14ac:dyDescent="0.2"/>
    <row r="1917" spans="1:18" ht="12.75" x14ac:dyDescent="0.2"/>
    <row r="1918" spans="1:18" ht="12.75" x14ac:dyDescent="0.2">
      <c r="K1918" s="57"/>
    </row>
    <row r="1919" spans="1:18" ht="12.75" x14ac:dyDescent="0.2">
      <c r="K1919" s="58"/>
    </row>
    <row r="1920" spans="1:18" ht="12.75" x14ac:dyDescent="0.2">
      <c r="K1920" s="58"/>
    </row>
    <row r="1921" spans="1:18" ht="12.75" x14ac:dyDescent="0.2"/>
    <row r="1922" spans="1:18" ht="12.75" x14ac:dyDescent="0.2">
      <c r="K1922" s="61"/>
    </row>
    <row r="1923" spans="1:18" ht="12.75" x14ac:dyDescent="0.2">
      <c r="K1923" s="61"/>
    </row>
    <row r="1924" spans="1:18" s="59" customFormat="1" ht="15" x14ac:dyDescent="0.25">
      <c r="A1924"/>
      <c r="B1924"/>
      <c r="C1924"/>
      <c r="D1924"/>
      <c r="E1924"/>
      <c r="F1924"/>
      <c r="G1924"/>
      <c r="H1924"/>
      <c r="I1924"/>
      <c r="J1924"/>
    </row>
    <row r="1925" spans="1:18" s="59" customFormat="1" ht="15" x14ac:dyDescent="0.25">
      <c r="A1925"/>
      <c r="B1925"/>
      <c r="C1925"/>
      <c r="D1925"/>
      <c r="E1925"/>
      <c r="F1925"/>
      <c r="G1925"/>
      <c r="H1925"/>
      <c r="I1925"/>
      <c r="J1925"/>
    </row>
    <row r="1926" spans="1:18" ht="12.75" x14ac:dyDescent="0.2"/>
    <row r="1927" spans="1:18" ht="14.25" customHeight="1" x14ac:dyDescent="0.2">
      <c r="K1927" s="68"/>
    </row>
    <row r="1928" spans="1:18" ht="14.25" customHeight="1" x14ac:dyDescent="0.2">
      <c r="K1928" s="68"/>
    </row>
    <row r="1929" spans="1:18" ht="12.75" x14ac:dyDescent="0.2">
      <c r="K1929" s="68"/>
    </row>
    <row r="1930" spans="1:18" ht="14.25" customHeight="1" x14ac:dyDescent="0.2">
      <c r="K1930" s="17"/>
    </row>
    <row r="1931" spans="1:18" ht="12.75" x14ac:dyDescent="0.2">
      <c r="K1931" s="17"/>
    </row>
    <row r="1932" spans="1:18" ht="12.75" x14ac:dyDescent="0.2">
      <c r="K1932" s="17"/>
    </row>
    <row r="1933" spans="1:18" ht="12.75" x14ac:dyDescent="0.2">
      <c r="K1933" s="17"/>
    </row>
    <row r="1934" spans="1:18" ht="12.75" x14ac:dyDescent="0.2">
      <c r="K1934" s="17"/>
    </row>
    <row r="1935" spans="1:18" ht="12.75" x14ac:dyDescent="0.2">
      <c r="K1935" s="17"/>
      <c r="R1935" s="17"/>
    </row>
    <row r="1936" spans="1:18" ht="12.75" x14ac:dyDescent="0.2">
      <c r="K1936" s="17"/>
    </row>
    <row r="1937" spans="1:11" ht="12.75" x14ac:dyDescent="0.2">
      <c r="K1937" s="17"/>
    </row>
    <row r="1938" spans="1:11" ht="12.75" x14ac:dyDescent="0.2"/>
    <row r="1939" spans="1:11" s="17" customFormat="1" ht="12.75" x14ac:dyDescent="0.2">
      <c r="A1939"/>
      <c r="B1939"/>
      <c r="C1939"/>
      <c r="D1939"/>
      <c r="E1939"/>
      <c r="F1939"/>
      <c r="G1939"/>
      <c r="H1939"/>
      <c r="I1939"/>
      <c r="J1939"/>
    </row>
    <row r="1940" spans="1:11" s="92" customFormat="1" ht="15" x14ac:dyDescent="0.2">
      <c r="A1940"/>
      <c r="B1940"/>
      <c r="C1940"/>
      <c r="D1940"/>
      <c r="E1940"/>
      <c r="F1940"/>
      <c r="G1940"/>
      <c r="H1940"/>
      <c r="I1940"/>
      <c r="J1940"/>
      <c r="K1940" s="19"/>
    </row>
    <row r="1941" spans="1:11" ht="12.75" x14ac:dyDescent="0.2"/>
    <row r="1942" spans="1:11" ht="12" customHeight="1" x14ac:dyDescent="0.2"/>
    <row r="1943" spans="1:11" ht="12.75" x14ac:dyDescent="0.2"/>
    <row r="1944" spans="1:11" ht="12.75" x14ac:dyDescent="0.2"/>
    <row r="1945" spans="1:11" ht="12.75" x14ac:dyDescent="0.2">
      <c r="K1945" s="57"/>
    </row>
    <row r="1946" spans="1:11" ht="12.75" x14ac:dyDescent="0.2">
      <c r="K1946" s="58"/>
    </row>
    <row r="1947" spans="1:11" ht="12.75" x14ac:dyDescent="0.2">
      <c r="K1947" s="58"/>
    </row>
    <row r="1948" spans="1:11" ht="12.75" x14ac:dyDescent="0.2"/>
    <row r="1949" spans="1:11" ht="12.75" x14ac:dyDescent="0.2">
      <c r="K1949" s="61"/>
    </row>
    <row r="1950" spans="1:11" ht="12.75" x14ac:dyDescent="0.2">
      <c r="K1950" s="61"/>
    </row>
    <row r="1951" spans="1:11" s="59" customFormat="1" ht="15" x14ac:dyDescent="0.25">
      <c r="A1951"/>
      <c r="B1951"/>
      <c r="C1951"/>
      <c r="D1951"/>
      <c r="E1951"/>
      <c r="F1951"/>
      <c r="G1951"/>
      <c r="H1951"/>
      <c r="I1951"/>
      <c r="J1951"/>
    </row>
    <row r="1952" spans="1:11" s="59" customFormat="1" ht="15" x14ac:dyDescent="0.25">
      <c r="A1952"/>
      <c r="B1952"/>
      <c r="C1952"/>
      <c r="D1952"/>
      <c r="E1952"/>
      <c r="F1952"/>
      <c r="G1952"/>
      <c r="H1952"/>
      <c r="I1952"/>
      <c r="J1952"/>
    </row>
    <row r="1953" spans="1:18" ht="12.75" x14ac:dyDescent="0.2"/>
    <row r="1954" spans="1:18" ht="14.25" customHeight="1" x14ac:dyDescent="0.2">
      <c r="K1954" s="68"/>
    </row>
    <row r="1955" spans="1:18" ht="14.25" customHeight="1" x14ac:dyDescent="0.2">
      <c r="K1955" s="68"/>
    </row>
    <row r="1956" spans="1:18" ht="12.75" x14ac:dyDescent="0.2">
      <c r="K1956" s="68"/>
    </row>
    <row r="1957" spans="1:18" ht="14.25" customHeight="1" x14ac:dyDescent="0.2">
      <c r="K1957" s="17"/>
    </row>
    <row r="1958" spans="1:18" ht="12.75" x14ac:dyDescent="0.2">
      <c r="K1958" s="17"/>
    </row>
    <row r="1959" spans="1:18" ht="12.75" x14ac:dyDescent="0.2">
      <c r="K1959" s="17"/>
    </row>
    <row r="1960" spans="1:18" ht="12.75" x14ac:dyDescent="0.2">
      <c r="K1960" s="17"/>
    </row>
    <row r="1961" spans="1:18" ht="12.75" x14ac:dyDescent="0.2">
      <c r="K1961" s="17"/>
    </row>
    <row r="1962" spans="1:18" ht="12.75" x14ac:dyDescent="0.2">
      <c r="K1962" s="17"/>
      <c r="R1962" s="17"/>
    </row>
    <row r="1963" spans="1:18" ht="12.75" x14ac:dyDescent="0.2">
      <c r="K1963" s="17"/>
    </row>
    <row r="1964" spans="1:18" ht="12.75" x14ac:dyDescent="0.2">
      <c r="K1964" s="17"/>
    </row>
    <row r="1965" spans="1:18" ht="12.75" x14ac:dyDescent="0.2"/>
    <row r="1966" spans="1:18" s="17" customFormat="1" ht="12.75" x14ac:dyDescent="0.2">
      <c r="A1966"/>
      <c r="B1966"/>
      <c r="C1966"/>
      <c r="D1966"/>
      <c r="E1966"/>
      <c r="F1966"/>
      <c r="G1966"/>
      <c r="H1966"/>
      <c r="I1966"/>
      <c r="J1966"/>
    </row>
    <row r="1967" spans="1:18" s="92" customFormat="1" ht="15" x14ac:dyDescent="0.2">
      <c r="A1967"/>
      <c r="B1967"/>
      <c r="C1967"/>
      <c r="D1967"/>
      <c r="E1967"/>
      <c r="F1967"/>
      <c r="G1967"/>
      <c r="H1967"/>
      <c r="I1967"/>
      <c r="J1967"/>
      <c r="K1967" s="19"/>
    </row>
    <row r="1968" spans="1:18" ht="12.75" x14ac:dyDescent="0.2"/>
    <row r="1969" spans="1:11" ht="12" customHeight="1" x14ac:dyDescent="0.2"/>
    <row r="1970" spans="1:11" ht="12.75" x14ac:dyDescent="0.2"/>
    <row r="1971" spans="1:11" ht="12.75" x14ac:dyDescent="0.2"/>
    <row r="1972" spans="1:11" ht="12.75" x14ac:dyDescent="0.2">
      <c r="K1972" s="57"/>
    </row>
    <row r="1973" spans="1:11" ht="12.75" x14ac:dyDescent="0.2">
      <c r="K1973" s="58"/>
    </row>
    <row r="1974" spans="1:11" ht="12.75" x14ac:dyDescent="0.2">
      <c r="K1974" s="58"/>
    </row>
    <row r="1975" spans="1:11" ht="12.75" x14ac:dyDescent="0.2"/>
    <row r="1976" spans="1:11" ht="12.75" x14ac:dyDescent="0.2">
      <c r="K1976" s="61"/>
    </row>
    <row r="1977" spans="1:11" ht="12.75" x14ac:dyDescent="0.2">
      <c r="K1977" s="61"/>
    </row>
    <row r="1978" spans="1:11" s="59" customFormat="1" ht="15" x14ac:dyDescent="0.25">
      <c r="A1978"/>
      <c r="B1978"/>
      <c r="C1978"/>
      <c r="D1978"/>
      <c r="E1978"/>
      <c r="F1978"/>
      <c r="G1978"/>
      <c r="H1978"/>
      <c r="I1978"/>
      <c r="J1978"/>
    </row>
    <row r="1979" spans="1:11" s="59" customFormat="1" ht="15" x14ac:dyDescent="0.25">
      <c r="A1979"/>
      <c r="B1979"/>
      <c r="C1979"/>
      <c r="D1979"/>
      <c r="E1979"/>
      <c r="F1979"/>
      <c r="G1979"/>
      <c r="H1979"/>
      <c r="I1979"/>
      <c r="J1979"/>
    </row>
    <row r="1980" spans="1:11" ht="12.75" x14ac:dyDescent="0.2"/>
    <row r="1981" spans="1:11" ht="14.25" customHeight="1" x14ac:dyDescent="0.2">
      <c r="K1981" s="68"/>
    </row>
    <row r="1982" spans="1:11" ht="14.25" customHeight="1" x14ac:dyDescent="0.2">
      <c r="K1982" s="68"/>
    </row>
    <row r="1983" spans="1:11" ht="12.75" x14ac:dyDescent="0.2">
      <c r="K1983" s="68"/>
    </row>
    <row r="1984" spans="1:11" ht="14.25" customHeight="1" x14ac:dyDescent="0.2">
      <c r="K1984" s="17"/>
    </row>
    <row r="1985" spans="1:18" ht="12.75" x14ac:dyDescent="0.2">
      <c r="K1985" s="17"/>
    </row>
    <row r="1986" spans="1:18" ht="12.75" x14ac:dyDescent="0.2">
      <c r="K1986" s="17"/>
    </row>
    <row r="1987" spans="1:18" ht="12.75" x14ac:dyDescent="0.2">
      <c r="K1987" s="17"/>
    </row>
    <row r="1988" spans="1:18" ht="12.75" x14ac:dyDescent="0.2">
      <c r="K1988" s="17"/>
    </row>
    <row r="1989" spans="1:18" ht="12.75" x14ac:dyDescent="0.2">
      <c r="K1989" s="17"/>
      <c r="R1989" s="17"/>
    </row>
    <row r="1990" spans="1:18" ht="12.75" x14ac:dyDescent="0.2">
      <c r="K1990" s="17"/>
    </row>
    <row r="1991" spans="1:18" ht="12.75" x14ac:dyDescent="0.2">
      <c r="K1991" s="17"/>
    </row>
    <row r="1992" spans="1:18" ht="12.75" x14ac:dyDescent="0.2"/>
    <row r="1993" spans="1:18" s="17" customFormat="1" ht="12.75" x14ac:dyDescent="0.2">
      <c r="A1993"/>
      <c r="B1993"/>
      <c r="C1993"/>
      <c r="D1993"/>
      <c r="E1993"/>
      <c r="F1993"/>
      <c r="G1993"/>
      <c r="H1993"/>
      <c r="I1993"/>
      <c r="J1993"/>
    </row>
    <row r="1994" spans="1:18" s="92" customFormat="1" ht="15" x14ac:dyDescent="0.2">
      <c r="A1994"/>
      <c r="B1994"/>
      <c r="C1994"/>
      <c r="D1994"/>
      <c r="E1994"/>
      <c r="F1994"/>
      <c r="G1994"/>
      <c r="H1994"/>
      <c r="I1994"/>
      <c r="J1994"/>
      <c r="K1994" s="19"/>
    </row>
    <row r="1995" spans="1:18" ht="12.75" x14ac:dyDescent="0.2"/>
    <row r="1996" spans="1:18" ht="12" customHeight="1" x14ac:dyDescent="0.2"/>
    <row r="1997" spans="1:18" ht="12.75" x14ac:dyDescent="0.2"/>
    <row r="1998" spans="1:18" ht="12.75" x14ac:dyDescent="0.2"/>
    <row r="1999" spans="1:18" ht="12.75" x14ac:dyDescent="0.2">
      <c r="K1999" s="57"/>
    </row>
    <row r="2000" spans="1:18" ht="12.75" x14ac:dyDescent="0.2">
      <c r="K2000" s="58"/>
    </row>
    <row r="2001" spans="1:18" ht="12.75" x14ac:dyDescent="0.2">
      <c r="K2001" s="58"/>
    </row>
    <row r="2002" spans="1:18" ht="12.75" x14ac:dyDescent="0.2"/>
    <row r="2003" spans="1:18" ht="12.75" x14ac:dyDescent="0.2">
      <c r="K2003" s="61"/>
    </row>
    <row r="2004" spans="1:18" ht="12.75" x14ac:dyDescent="0.2">
      <c r="K2004" s="61"/>
    </row>
    <row r="2005" spans="1:18" s="59" customFormat="1" ht="15" x14ac:dyDescent="0.25">
      <c r="A2005"/>
      <c r="B2005"/>
      <c r="C2005"/>
      <c r="D2005"/>
      <c r="E2005"/>
      <c r="F2005"/>
      <c r="G2005"/>
      <c r="H2005"/>
      <c r="I2005"/>
      <c r="J2005"/>
    </row>
    <row r="2006" spans="1:18" s="59" customFormat="1" ht="15" x14ac:dyDescent="0.25">
      <c r="A2006"/>
      <c r="B2006"/>
      <c r="C2006"/>
      <c r="D2006"/>
      <c r="E2006"/>
      <c r="F2006"/>
      <c r="G2006"/>
      <c r="H2006"/>
      <c r="I2006"/>
      <c r="J2006"/>
    </row>
    <row r="2007" spans="1:18" ht="12.75" x14ac:dyDescent="0.2"/>
    <row r="2008" spans="1:18" ht="14.25" customHeight="1" x14ac:dyDescent="0.2">
      <c r="K2008" s="68"/>
    </row>
    <row r="2009" spans="1:18" ht="14.25" customHeight="1" x14ac:dyDescent="0.2">
      <c r="K2009" s="68"/>
    </row>
    <row r="2010" spans="1:18" ht="12.75" x14ac:dyDescent="0.2">
      <c r="K2010" s="68"/>
    </row>
    <row r="2011" spans="1:18" ht="14.25" customHeight="1" x14ac:dyDescent="0.2">
      <c r="K2011" s="17"/>
    </row>
    <row r="2012" spans="1:18" ht="12.75" x14ac:dyDescent="0.2">
      <c r="K2012" s="17"/>
    </row>
    <row r="2013" spans="1:18" ht="12.75" x14ac:dyDescent="0.2">
      <c r="K2013" s="17"/>
    </row>
    <row r="2014" spans="1:18" ht="12.75" x14ac:dyDescent="0.2">
      <c r="K2014" s="17"/>
    </row>
    <row r="2015" spans="1:18" ht="12.75" x14ac:dyDescent="0.2">
      <c r="K2015" s="17"/>
    </row>
    <row r="2016" spans="1:18" ht="12.75" x14ac:dyDescent="0.2">
      <c r="K2016" s="17"/>
      <c r="R2016" s="17"/>
    </row>
    <row r="2017" spans="1:11" ht="12.75" x14ac:dyDescent="0.2">
      <c r="K2017" s="17"/>
    </row>
    <row r="2018" spans="1:11" ht="12.75" x14ac:dyDescent="0.2">
      <c r="K2018" s="17"/>
    </row>
    <row r="2019" spans="1:11" ht="12.75" x14ac:dyDescent="0.2"/>
    <row r="2020" spans="1:11" s="17" customFormat="1" ht="12.75" x14ac:dyDescent="0.2">
      <c r="A2020"/>
      <c r="B2020"/>
      <c r="C2020"/>
      <c r="D2020"/>
      <c r="E2020"/>
      <c r="F2020"/>
      <c r="G2020"/>
      <c r="H2020"/>
      <c r="I2020"/>
      <c r="J2020"/>
    </row>
    <row r="2021" spans="1:11" s="92" customFormat="1" ht="15" x14ac:dyDescent="0.2">
      <c r="A2021"/>
      <c r="B2021"/>
      <c r="C2021"/>
      <c r="D2021"/>
      <c r="E2021"/>
      <c r="F2021"/>
      <c r="G2021"/>
      <c r="H2021"/>
      <c r="I2021"/>
      <c r="J2021"/>
      <c r="K2021" s="19"/>
    </row>
    <row r="2022" spans="1:11" ht="12.75" x14ac:dyDescent="0.2"/>
    <row r="2023" spans="1:11" ht="12" customHeight="1" x14ac:dyDescent="0.2"/>
    <row r="2024" spans="1:11" ht="12.75" x14ac:dyDescent="0.2"/>
    <row r="2025" spans="1:11" ht="12.75" x14ac:dyDescent="0.2"/>
    <row r="2026" spans="1:11" ht="12.75" x14ac:dyDescent="0.2">
      <c r="K2026" s="57"/>
    </row>
    <row r="2027" spans="1:11" ht="12.75" x14ac:dyDescent="0.2">
      <c r="K2027" s="58"/>
    </row>
    <row r="2028" spans="1:11" ht="12.75" x14ac:dyDescent="0.2">
      <c r="K2028" s="58"/>
    </row>
    <row r="2029" spans="1:11" ht="12.75" x14ac:dyDescent="0.2"/>
    <row r="2030" spans="1:11" ht="12.75" x14ac:dyDescent="0.2">
      <c r="K2030" s="61"/>
    </row>
    <row r="2031" spans="1:11" ht="12.75" x14ac:dyDescent="0.2">
      <c r="K2031" s="61"/>
    </row>
    <row r="2032" spans="1:11" s="59" customFormat="1" ht="15" x14ac:dyDescent="0.25">
      <c r="A2032"/>
      <c r="B2032"/>
      <c r="C2032"/>
      <c r="D2032"/>
      <c r="E2032"/>
      <c r="F2032"/>
      <c r="G2032"/>
      <c r="H2032"/>
      <c r="I2032"/>
      <c r="J2032"/>
    </row>
    <row r="2033" spans="1:18" s="59" customFormat="1" ht="15" x14ac:dyDescent="0.25">
      <c r="A2033"/>
      <c r="B2033"/>
      <c r="C2033"/>
      <c r="D2033"/>
      <c r="E2033"/>
      <c r="F2033"/>
      <c r="G2033"/>
      <c r="H2033"/>
      <c r="I2033"/>
      <c r="J2033"/>
    </row>
    <row r="2034" spans="1:18" ht="12.75" x14ac:dyDescent="0.2"/>
    <row r="2035" spans="1:18" ht="14.25" customHeight="1" x14ac:dyDescent="0.2">
      <c r="K2035" s="68"/>
    </row>
    <row r="2036" spans="1:18" ht="14.25" customHeight="1" x14ac:dyDescent="0.2">
      <c r="K2036" s="68"/>
    </row>
    <row r="2037" spans="1:18" ht="12.75" x14ac:dyDescent="0.2">
      <c r="K2037" s="68"/>
    </row>
    <row r="2038" spans="1:18" ht="14.25" customHeight="1" x14ac:dyDescent="0.2">
      <c r="K2038" s="17"/>
    </row>
    <row r="2039" spans="1:18" ht="12.75" x14ac:dyDescent="0.2">
      <c r="K2039" s="17"/>
    </row>
    <row r="2040" spans="1:18" ht="12.75" x14ac:dyDescent="0.2">
      <c r="K2040" s="17"/>
    </row>
    <row r="2041" spans="1:18" ht="12.75" x14ac:dyDescent="0.2">
      <c r="K2041" s="17"/>
    </row>
    <row r="2042" spans="1:18" ht="12.75" x14ac:dyDescent="0.2">
      <c r="K2042" s="17"/>
    </row>
    <row r="2043" spans="1:18" ht="12.75" x14ac:dyDescent="0.2">
      <c r="K2043" s="17"/>
      <c r="R2043" s="17"/>
    </row>
    <row r="2044" spans="1:18" ht="12.75" x14ac:dyDescent="0.2">
      <c r="K2044" s="17"/>
    </row>
    <row r="2045" spans="1:18" ht="12.75" x14ac:dyDescent="0.2">
      <c r="K2045" s="17"/>
    </row>
    <row r="2046" spans="1:18" ht="12.75" x14ac:dyDescent="0.2"/>
    <row r="2047" spans="1:18" s="17" customFormat="1" ht="12.75" x14ac:dyDescent="0.2">
      <c r="A2047"/>
      <c r="B2047"/>
      <c r="C2047"/>
      <c r="D2047"/>
      <c r="E2047"/>
      <c r="F2047"/>
      <c r="G2047"/>
      <c r="H2047"/>
      <c r="I2047"/>
      <c r="J2047"/>
    </row>
    <row r="2048" spans="1:18" s="92" customFormat="1" ht="15" x14ac:dyDescent="0.2">
      <c r="A2048"/>
      <c r="B2048"/>
      <c r="C2048"/>
      <c r="D2048"/>
      <c r="E2048"/>
      <c r="F2048"/>
      <c r="G2048"/>
      <c r="H2048"/>
      <c r="I2048"/>
      <c r="J2048"/>
      <c r="K2048" s="19"/>
    </row>
    <row r="2049" spans="1:11" ht="12.75" x14ac:dyDescent="0.2"/>
    <row r="2050" spans="1:11" ht="12" customHeight="1" x14ac:dyDescent="0.2"/>
    <row r="2051" spans="1:11" ht="12.75" x14ac:dyDescent="0.2"/>
    <row r="2052" spans="1:11" ht="12.75" x14ac:dyDescent="0.2"/>
    <row r="2053" spans="1:11" ht="12.75" x14ac:dyDescent="0.2">
      <c r="K2053" s="57"/>
    </row>
    <row r="2054" spans="1:11" ht="12.75" x14ac:dyDescent="0.2">
      <c r="K2054" s="58"/>
    </row>
    <row r="2055" spans="1:11" ht="12.75" x14ac:dyDescent="0.2">
      <c r="K2055" s="58"/>
    </row>
    <row r="2056" spans="1:11" ht="12.75" x14ac:dyDescent="0.2"/>
    <row r="2057" spans="1:11" ht="12.75" x14ac:dyDescent="0.2">
      <c r="K2057" s="61"/>
    </row>
    <row r="2058" spans="1:11" ht="12.75" x14ac:dyDescent="0.2">
      <c r="K2058" s="61"/>
    </row>
    <row r="2059" spans="1:11" s="59" customFormat="1" ht="15" x14ac:dyDescent="0.25">
      <c r="A2059"/>
      <c r="B2059"/>
      <c r="C2059"/>
      <c r="D2059"/>
      <c r="E2059"/>
      <c r="F2059"/>
      <c r="G2059"/>
      <c r="H2059"/>
      <c r="I2059"/>
      <c r="J2059"/>
    </row>
    <row r="2060" spans="1:11" s="59" customFormat="1" ht="15" x14ac:dyDescent="0.25">
      <c r="A2060"/>
      <c r="B2060"/>
      <c r="C2060"/>
      <c r="D2060"/>
      <c r="E2060"/>
      <c r="F2060"/>
      <c r="G2060"/>
      <c r="H2060"/>
      <c r="I2060"/>
      <c r="J2060"/>
    </row>
    <row r="2061" spans="1:11" ht="12.75" x14ac:dyDescent="0.2"/>
    <row r="2062" spans="1:11" ht="14.25" customHeight="1" x14ac:dyDescent="0.2">
      <c r="K2062" s="68"/>
    </row>
    <row r="2063" spans="1:11" ht="14.25" customHeight="1" x14ac:dyDescent="0.2">
      <c r="K2063" s="68"/>
    </row>
    <row r="2064" spans="1:11" ht="12.75" x14ac:dyDescent="0.2">
      <c r="K2064" s="68"/>
    </row>
    <row r="2065" spans="1:18" ht="14.25" customHeight="1" x14ac:dyDescent="0.2">
      <c r="K2065" s="17"/>
    </row>
    <row r="2066" spans="1:18" ht="12.75" x14ac:dyDescent="0.2">
      <c r="K2066" s="17"/>
    </row>
    <row r="2067" spans="1:18" ht="12.75" x14ac:dyDescent="0.2">
      <c r="K2067" s="17"/>
    </row>
    <row r="2068" spans="1:18" ht="12.75" x14ac:dyDescent="0.2">
      <c r="K2068" s="17"/>
    </row>
    <row r="2069" spans="1:18" ht="12.75" x14ac:dyDescent="0.2">
      <c r="K2069" s="17"/>
    </row>
    <row r="2070" spans="1:18" ht="12.75" x14ac:dyDescent="0.2">
      <c r="K2070" s="17"/>
      <c r="R2070" s="17"/>
    </row>
    <row r="2071" spans="1:18" ht="12.75" x14ac:dyDescent="0.2">
      <c r="K2071" s="17"/>
    </row>
    <row r="2072" spans="1:18" ht="12.75" x14ac:dyDescent="0.2">
      <c r="K2072" s="17"/>
    </row>
    <row r="2073" spans="1:18" ht="12.75" x14ac:dyDescent="0.2"/>
    <row r="2074" spans="1:18" s="17" customFormat="1" ht="12.75" x14ac:dyDescent="0.2">
      <c r="A2074"/>
      <c r="B2074"/>
      <c r="C2074"/>
      <c r="D2074"/>
      <c r="E2074"/>
      <c r="F2074"/>
      <c r="G2074"/>
      <c r="H2074"/>
      <c r="I2074"/>
      <c r="J2074"/>
    </row>
    <row r="2075" spans="1:18" s="92" customFormat="1" ht="15" x14ac:dyDescent="0.2">
      <c r="A2075"/>
      <c r="B2075"/>
      <c r="C2075"/>
      <c r="D2075"/>
      <c r="E2075"/>
      <c r="F2075"/>
      <c r="G2075"/>
      <c r="H2075"/>
      <c r="I2075"/>
      <c r="J2075"/>
      <c r="K2075" s="19"/>
    </row>
    <row r="2076" spans="1:18" ht="12.75" x14ac:dyDescent="0.2"/>
    <row r="2077" spans="1:18" ht="12" customHeight="1" x14ac:dyDescent="0.2"/>
    <row r="2078" spans="1:18" ht="12.75" x14ac:dyDescent="0.2"/>
    <row r="2079" spans="1:18" ht="12.75" x14ac:dyDescent="0.2"/>
    <row r="2080" spans="1:18" ht="12.75" x14ac:dyDescent="0.2">
      <c r="K2080" s="57"/>
    </row>
    <row r="2081" spans="1:11" ht="12.75" x14ac:dyDescent="0.2">
      <c r="K2081" s="58"/>
    </row>
    <row r="2082" spans="1:11" ht="12.75" x14ac:dyDescent="0.2">
      <c r="K2082" s="58"/>
    </row>
    <row r="2083" spans="1:11" ht="12.75" x14ac:dyDescent="0.2"/>
    <row r="2084" spans="1:11" ht="12.75" x14ac:dyDescent="0.2">
      <c r="K2084" s="61"/>
    </row>
    <row r="2085" spans="1:11" ht="12.75" x14ac:dyDescent="0.2">
      <c r="K2085" s="61"/>
    </row>
    <row r="2086" spans="1:11" s="59" customFormat="1" ht="15" x14ac:dyDescent="0.25">
      <c r="A2086"/>
      <c r="B2086"/>
      <c r="C2086"/>
      <c r="D2086"/>
      <c r="E2086"/>
      <c r="F2086"/>
      <c r="G2086"/>
      <c r="H2086"/>
      <c r="I2086"/>
      <c r="J2086"/>
    </row>
    <row r="2087" spans="1:11" s="59" customFormat="1" ht="15" x14ac:dyDescent="0.25">
      <c r="A2087"/>
      <c r="B2087"/>
      <c r="C2087"/>
      <c r="D2087"/>
      <c r="E2087"/>
      <c r="F2087"/>
      <c r="G2087"/>
      <c r="H2087"/>
      <c r="I2087"/>
      <c r="J2087"/>
    </row>
    <row r="2088" spans="1:11" ht="12.75" x14ac:dyDescent="0.2"/>
    <row r="2089" spans="1:11" ht="14.25" customHeight="1" x14ac:dyDescent="0.2">
      <c r="K2089" s="68"/>
    </row>
    <row r="2090" spans="1:11" ht="14.25" customHeight="1" x14ac:dyDescent="0.2">
      <c r="K2090" s="68"/>
    </row>
    <row r="2091" spans="1:11" ht="12.75" x14ac:dyDescent="0.2">
      <c r="K2091" s="68"/>
    </row>
    <row r="2092" spans="1:11" ht="14.25" customHeight="1" x14ac:dyDescent="0.2">
      <c r="K2092" s="17"/>
    </row>
    <row r="2093" spans="1:11" ht="12.75" x14ac:dyDescent="0.2">
      <c r="K2093" s="17"/>
    </row>
    <row r="2094" spans="1:11" ht="12.75" x14ac:dyDescent="0.2">
      <c r="K2094" s="17"/>
    </row>
    <row r="2095" spans="1:11" ht="12.75" x14ac:dyDescent="0.2">
      <c r="K2095" s="17"/>
    </row>
    <row r="2096" spans="1:11" ht="12.75" x14ac:dyDescent="0.2">
      <c r="K2096" s="17"/>
    </row>
    <row r="2097" spans="1:18" ht="12.75" x14ac:dyDescent="0.2">
      <c r="K2097" s="17"/>
      <c r="R2097" s="17"/>
    </row>
    <row r="2098" spans="1:18" ht="12.75" x14ac:dyDescent="0.2">
      <c r="K2098" s="17"/>
    </row>
    <row r="2099" spans="1:18" ht="12.75" x14ac:dyDescent="0.2">
      <c r="K2099" s="17"/>
    </row>
    <row r="2100" spans="1:18" ht="12.75" x14ac:dyDescent="0.2"/>
    <row r="2101" spans="1:18" s="17" customFormat="1" ht="12.75" x14ac:dyDescent="0.2">
      <c r="A2101"/>
      <c r="B2101"/>
      <c r="C2101"/>
      <c r="D2101"/>
      <c r="E2101"/>
      <c r="F2101"/>
      <c r="G2101"/>
      <c r="H2101"/>
      <c r="I2101"/>
      <c r="J2101"/>
    </row>
    <row r="2102" spans="1:18" s="92" customFormat="1" ht="15" x14ac:dyDescent="0.2">
      <c r="A2102"/>
      <c r="B2102"/>
      <c r="C2102"/>
      <c r="D2102"/>
      <c r="E2102"/>
      <c r="F2102"/>
      <c r="G2102"/>
      <c r="H2102"/>
      <c r="I2102"/>
      <c r="J2102"/>
      <c r="K2102" s="19"/>
    </row>
    <row r="2103" spans="1:18" ht="12.75" x14ac:dyDescent="0.2"/>
    <row r="2104" spans="1:18" ht="12" customHeight="1" x14ac:dyDescent="0.2"/>
    <row r="2105" spans="1:18" ht="12.75" x14ac:dyDescent="0.2"/>
    <row r="2106" spans="1:18" ht="12.75" x14ac:dyDescent="0.2"/>
    <row r="2107" spans="1:18" ht="12.75" x14ac:dyDescent="0.2">
      <c r="K2107" s="57"/>
    </row>
    <row r="2108" spans="1:18" ht="12.75" x14ac:dyDescent="0.2">
      <c r="K2108" s="58"/>
    </row>
    <row r="2109" spans="1:18" ht="12.75" x14ac:dyDescent="0.2">
      <c r="K2109" s="58"/>
    </row>
    <row r="2110" spans="1:18" ht="12.75" x14ac:dyDescent="0.2"/>
    <row r="2111" spans="1:18" ht="12.75" x14ac:dyDescent="0.2">
      <c r="K2111" s="61"/>
    </row>
    <row r="2112" spans="1:18" ht="12.75" x14ac:dyDescent="0.2">
      <c r="K2112" s="61"/>
    </row>
    <row r="2113" spans="1:18" s="59" customFormat="1" ht="15" x14ac:dyDescent="0.25">
      <c r="A2113"/>
      <c r="B2113"/>
      <c r="C2113"/>
      <c r="D2113"/>
      <c r="E2113"/>
      <c r="F2113"/>
      <c r="G2113"/>
      <c r="H2113"/>
      <c r="I2113"/>
      <c r="J2113"/>
    </row>
    <row r="2114" spans="1:18" s="59" customFormat="1" ht="15" x14ac:dyDescent="0.25">
      <c r="A2114"/>
      <c r="B2114"/>
      <c r="C2114"/>
      <c r="D2114"/>
      <c r="E2114"/>
      <c r="F2114"/>
      <c r="G2114"/>
      <c r="H2114"/>
      <c r="I2114"/>
      <c r="J2114"/>
    </row>
    <row r="2115" spans="1:18" ht="12.75" x14ac:dyDescent="0.2"/>
    <row r="2116" spans="1:18" ht="14.25" customHeight="1" x14ac:dyDescent="0.2">
      <c r="K2116" s="68"/>
    </row>
    <row r="2117" spans="1:18" ht="14.25" customHeight="1" x14ac:dyDescent="0.2">
      <c r="K2117" s="68"/>
    </row>
    <row r="2118" spans="1:18" ht="12.75" x14ac:dyDescent="0.2">
      <c r="K2118" s="68"/>
    </row>
    <row r="2119" spans="1:18" ht="14.25" customHeight="1" x14ac:dyDescent="0.2">
      <c r="K2119" s="17"/>
    </row>
    <row r="2120" spans="1:18" ht="12.75" x14ac:dyDescent="0.2">
      <c r="K2120" s="17"/>
    </row>
    <row r="2121" spans="1:18" ht="12.75" x14ac:dyDescent="0.2">
      <c r="K2121" s="17"/>
    </row>
    <row r="2122" spans="1:18" ht="12.75" x14ac:dyDescent="0.2">
      <c r="K2122" s="17"/>
    </row>
    <row r="2123" spans="1:18" ht="12.75" x14ac:dyDescent="0.2">
      <c r="K2123" s="17"/>
    </row>
    <row r="2124" spans="1:18" ht="12.75" x14ac:dyDescent="0.2">
      <c r="K2124" s="17"/>
      <c r="R2124" s="17"/>
    </row>
    <row r="2125" spans="1:18" ht="12.75" x14ac:dyDescent="0.2">
      <c r="K2125" s="17"/>
    </row>
    <row r="2126" spans="1:18" ht="12.75" x14ac:dyDescent="0.2">
      <c r="K2126" s="17"/>
    </row>
    <row r="2127" spans="1:18" ht="12.75" x14ac:dyDescent="0.2"/>
    <row r="2128" spans="1:18" s="17" customFormat="1" ht="12.75" x14ac:dyDescent="0.2">
      <c r="A2128"/>
      <c r="B2128"/>
      <c r="C2128"/>
      <c r="D2128"/>
      <c r="E2128"/>
      <c r="F2128"/>
      <c r="G2128"/>
      <c r="H2128"/>
      <c r="I2128"/>
      <c r="J2128"/>
    </row>
    <row r="2129" spans="1:11" s="92" customFormat="1" ht="15" x14ac:dyDescent="0.2">
      <c r="A2129"/>
      <c r="B2129"/>
      <c r="C2129"/>
      <c r="D2129"/>
      <c r="E2129"/>
      <c r="F2129"/>
      <c r="G2129"/>
      <c r="H2129"/>
      <c r="I2129"/>
      <c r="J2129"/>
      <c r="K2129" s="19"/>
    </row>
    <row r="2130" spans="1:11" ht="12.75" x14ac:dyDescent="0.2"/>
    <row r="2131" spans="1:11" ht="12" customHeight="1" x14ac:dyDescent="0.2"/>
    <row r="2132" spans="1:11" ht="12.75" x14ac:dyDescent="0.2"/>
    <row r="2133" spans="1:11" ht="12.75" x14ac:dyDescent="0.2"/>
    <row r="2134" spans="1:11" ht="12.75" x14ac:dyDescent="0.2">
      <c r="K2134" s="57"/>
    </row>
    <row r="2135" spans="1:11" ht="12.75" x14ac:dyDescent="0.2">
      <c r="K2135" s="58"/>
    </row>
    <row r="2136" spans="1:11" ht="12.75" x14ac:dyDescent="0.2">
      <c r="K2136" s="58"/>
    </row>
    <row r="2137" spans="1:11" ht="12.75" x14ac:dyDescent="0.2"/>
    <row r="2138" spans="1:11" ht="12.75" x14ac:dyDescent="0.2">
      <c r="K2138" s="61"/>
    </row>
    <row r="2139" spans="1:11" ht="12.75" x14ac:dyDescent="0.2">
      <c r="K2139" s="61"/>
    </row>
    <row r="2140" spans="1:11" s="59" customFormat="1" ht="15" x14ac:dyDescent="0.25">
      <c r="A2140"/>
      <c r="B2140"/>
      <c r="C2140"/>
      <c r="D2140"/>
      <c r="E2140"/>
      <c r="F2140"/>
      <c r="G2140"/>
      <c r="H2140"/>
      <c r="I2140"/>
      <c r="J2140"/>
    </row>
    <row r="2141" spans="1:11" s="59" customFormat="1" ht="15" x14ac:dyDescent="0.25">
      <c r="A2141"/>
      <c r="B2141"/>
      <c r="C2141"/>
      <c r="D2141"/>
      <c r="E2141"/>
      <c r="F2141"/>
      <c r="G2141"/>
      <c r="H2141"/>
      <c r="I2141"/>
      <c r="J2141"/>
    </row>
    <row r="2142" spans="1:11" ht="12.75" x14ac:dyDescent="0.2"/>
    <row r="2143" spans="1:11" ht="14.25" customHeight="1" x14ac:dyDescent="0.2">
      <c r="K2143" s="68"/>
    </row>
    <row r="2144" spans="1:11" ht="14.25" customHeight="1" x14ac:dyDescent="0.2">
      <c r="K2144" s="68"/>
    </row>
    <row r="2145" spans="1:18" ht="12.75" x14ac:dyDescent="0.2">
      <c r="K2145" s="68"/>
    </row>
    <row r="2146" spans="1:18" ht="14.25" customHeight="1" x14ac:dyDescent="0.2">
      <c r="K2146" s="17"/>
    </row>
    <row r="2147" spans="1:18" ht="12.75" x14ac:dyDescent="0.2">
      <c r="K2147" s="17"/>
    </row>
    <row r="2148" spans="1:18" ht="12.75" x14ac:dyDescent="0.2">
      <c r="K2148" s="17"/>
    </row>
    <row r="2149" spans="1:18" ht="12.75" x14ac:dyDescent="0.2">
      <c r="K2149" s="17"/>
    </row>
    <row r="2150" spans="1:18" ht="12.75" x14ac:dyDescent="0.2">
      <c r="K2150" s="17"/>
    </row>
    <row r="2151" spans="1:18" ht="12.75" x14ac:dyDescent="0.2">
      <c r="K2151" s="17"/>
      <c r="R2151" s="17"/>
    </row>
    <row r="2152" spans="1:18" ht="12.75" x14ac:dyDescent="0.2">
      <c r="K2152" s="17"/>
    </row>
    <row r="2153" spans="1:18" ht="12.75" x14ac:dyDescent="0.2">
      <c r="K2153" s="17"/>
    </row>
    <row r="2154" spans="1:18" ht="12.75" x14ac:dyDescent="0.2"/>
    <row r="2155" spans="1:18" s="17" customFormat="1" ht="12.75" x14ac:dyDescent="0.2">
      <c r="A2155"/>
      <c r="B2155"/>
      <c r="C2155"/>
      <c r="D2155"/>
      <c r="E2155"/>
      <c r="F2155"/>
      <c r="G2155"/>
      <c r="H2155"/>
      <c r="I2155"/>
      <c r="J2155"/>
    </row>
    <row r="2156" spans="1:18" s="92" customFormat="1" ht="15" x14ac:dyDescent="0.2">
      <c r="A2156"/>
      <c r="B2156"/>
      <c r="C2156"/>
      <c r="D2156"/>
      <c r="E2156"/>
      <c r="F2156"/>
      <c r="G2156"/>
      <c r="H2156"/>
      <c r="I2156"/>
      <c r="J2156"/>
      <c r="K2156" s="19"/>
    </row>
    <row r="2157" spans="1:18" ht="12.75" x14ac:dyDescent="0.2"/>
    <row r="2158" spans="1:18" ht="12" customHeight="1" x14ac:dyDescent="0.2"/>
    <row r="2159" spans="1:18" ht="12.75" x14ac:dyDescent="0.2"/>
    <row r="2160" spans="1:18" ht="12.75" x14ac:dyDescent="0.2"/>
    <row r="2161" spans="1:11" ht="12.75" x14ac:dyDescent="0.2">
      <c r="K2161" s="57"/>
    </row>
    <row r="2162" spans="1:11" ht="12.75" x14ac:dyDescent="0.2">
      <c r="K2162" s="58"/>
    </row>
    <row r="2163" spans="1:11" ht="12.75" x14ac:dyDescent="0.2">
      <c r="K2163" s="58"/>
    </row>
    <row r="2164" spans="1:11" ht="12.75" x14ac:dyDescent="0.2"/>
    <row r="2165" spans="1:11" ht="12.75" x14ac:dyDescent="0.2">
      <c r="K2165" s="61"/>
    </row>
    <row r="2166" spans="1:11" ht="12.75" x14ac:dyDescent="0.2">
      <c r="K2166" s="61"/>
    </row>
    <row r="2167" spans="1:11" s="59" customFormat="1" ht="15" x14ac:dyDescent="0.25">
      <c r="A2167"/>
      <c r="B2167"/>
      <c r="C2167"/>
      <c r="D2167"/>
      <c r="E2167"/>
      <c r="F2167"/>
      <c r="G2167"/>
      <c r="H2167"/>
      <c r="I2167"/>
      <c r="J2167"/>
    </row>
    <row r="2168" spans="1:11" s="59" customFormat="1" ht="15" x14ac:dyDescent="0.25">
      <c r="A2168"/>
      <c r="B2168"/>
      <c r="C2168"/>
      <c r="D2168"/>
      <c r="E2168"/>
      <c r="F2168"/>
      <c r="G2168"/>
      <c r="H2168"/>
      <c r="I2168"/>
      <c r="J2168"/>
    </row>
    <row r="2169" spans="1:11" ht="12.75" x14ac:dyDescent="0.2"/>
    <row r="2170" spans="1:11" ht="14.25" customHeight="1" x14ac:dyDescent="0.2">
      <c r="K2170" s="68"/>
    </row>
    <row r="2171" spans="1:11" ht="14.25" customHeight="1" x14ac:dyDescent="0.2">
      <c r="K2171" s="68"/>
    </row>
    <row r="2172" spans="1:11" ht="12.75" x14ac:dyDescent="0.2">
      <c r="K2172" s="68"/>
    </row>
    <row r="2173" spans="1:11" ht="14.25" customHeight="1" x14ac:dyDescent="0.2">
      <c r="K2173" s="17"/>
    </row>
    <row r="2174" spans="1:11" ht="12.75" x14ac:dyDescent="0.2">
      <c r="K2174" s="17"/>
    </row>
    <row r="2175" spans="1:11" ht="12.75" x14ac:dyDescent="0.2">
      <c r="K2175" s="17"/>
    </row>
    <row r="2176" spans="1:11" ht="12.75" x14ac:dyDescent="0.2">
      <c r="K2176" s="17"/>
    </row>
    <row r="2177" spans="1:18" ht="12.75" x14ac:dyDescent="0.2">
      <c r="K2177" s="17"/>
    </row>
    <row r="2178" spans="1:18" ht="12.75" x14ac:dyDescent="0.2">
      <c r="K2178" s="17"/>
      <c r="R2178" s="17"/>
    </row>
    <row r="2179" spans="1:18" ht="12.75" x14ac:dyDescent="0.2">
      <c r="K2179" s="17"/>
    </row>
    <row r="2180" spans="1:18" ht="12.75" x14ac:dyDescent="0.2">
      <c r="K2180" s="17"/>
    </row>
    <row r="2181" spans="1:18" ht="12.75" x14ac:dyDescent="0.2"/>
    <row r="2182" spans="1:18" s="17" customFormat="1" ht="12.75" x14ac:dyDescent="0.2">
      <c r="A2182"/>
      <c r="B2182"/>
      <c r="C2182"/>
      <c r="D2182"/>
      <c r="E2182"/>
      <c r="F2182"/>
      <c r="G2182"/>
      <c r="H2182"/>
      <c r="I2182"/>
      <c r="J2182"/>
    </row>
    <row r="2183" spans="1:18" s="92" customFormat="1" ht="15" x14ac:dyDescent="0.2">
      <c r="A2183"/>
      <c r="B2183"/>
      <c r="C2183"/>
      <c r="D2183"/>
      <c r="E2183"/>
      <c r="F2183"/>
      <c r="G2183"/>
      <c r="H2183"/>
      <c r="I2183"/>
      <c r="J2183"/>
      <c r="K2183" s="19"/>
    </row>
    <row r="2184" spans="1:18" ht="12.75" x14ac:dyDescent="0.2"/>
    <row r="2185" spans="1:18" ht="12" customHeight="1" x14ac:dyDescent="0.2"/>
    <row r="2186" spans="1:18" ht="12.75" x14ac:dyDescent="0.2"/>
    <row r="2187" spans="1:18" ht="12.75" x14ac:dyDescent="0.2"/>
    <row r="2188" spans="1:18" ht="12.75" x14ac:dyDescent="0.2">
      <c r="K2188" s="57"/>
    </row>
    <row r="2189" spans="1:18" ht="12.75" x14ac:dyDescent="0.2">
      <c r="K2189" s="58"/>
    </row>
    <row r="2190" spans="1:18" ht="12.75" x14ac:dyDescent="0.2">
      <c r="K2190" s="58"/>
    </row>
    <row r="2191" spans="1:18" ht="12.75" x14ac:dyDescent="0.2"/>
    <row r="2192" spans="1:18" ht="12.75" x14ac:dyDescent="0.2">
      <c r="K2192" s="61"/>
    </row>
    <row r="2193" spans="1:18" ht="12.75" x14ac:dyDescent="0.2">
      <c r="K2193" s="61"/>
    </row>
    <row r="2194" spans="1:18" s="59" customFormat="1" ht="15" x14ac:dyDescent="0.25">
      <c r="A2194"/>
      <c r="B2194"/>
      <c r="C2194"/>
      <c r="D2194"/>
      <c r="E2194"/>
      <c r="F2194"/>
      <c r="G2194"/>
      <c r="H2194"/>
      <c r="I2194"/>
      <c r="J2194"/>
    </row>
    <row r="2195" spans="1:18" s="59" customFormat="1" ht="15" x14ac:dyDescent="0.25">
      <c r="A2195"/>
      <c r="B2195"/>
      <c r="C2195"/>
      <c r="D2195"/>
      <c r="E2195"/>
      <c r="F2195"/>
      <c r="G2195"/>
      <c r="H2195"/>
      <c r="I2195"/>
      <c r="J2195"/>
    </row>
    <row r="2196" spans="1:18" ht="12.75" x14ac:dyDescent="0.2"/>
    <row r="2197" spans="1:18" ht="14.25" customHeight="1" x14ac:dyDescent="0.2">
      <c r="K2197" s="68"/>
    </row>
    <row r="2198" spans="1:18" ht="14.25" customHeight="1" x14ac:dyDescent="0.2">
      <c r="K2198" s="68"/>
    </row>
    <row r="2199" spans="1:18" ht="12.75" x14ac:dyDescent="0.2">
      <c r="K2199" s="68"/>
    </row>
    <row r="2200" spans="1:18" ht="14.25" customHeight="1" x14ac:dyDescent="0.2">
      <c r="K2200" s="17"/>
    </row>
    <row r="2201" spans="1:18" ht="12.75" x14ac:dyDescent="0.2">
      <c r="K2201" s="17"/>
    </row>
    <row r="2202" spans="1:18" ht="12.75" x14ac:dyDescent="0.2">
      <c r="K2202" s="17"/>
    </row>
    <row r="2203" spans="1:18" ht="12.75" x14ac:dyDescent="0.2">
      <c r="K2203" s="17"/>
    </row>
    <row r="2204" spans="1:18" ht="12.75" x14ac:dyDescent="0.2">
      <c r="K2204" s="17"/>
    </row>
    <row r="2205" spans="1:18" ht="12.75" x14ac:dyDescent="0.2">
      <c r="K2205" s="17"/>
      <c r="R2205" s="17"/>
    </row>
    <row r="2206" spans="1:18" ht="12.75" x14ac:dyDescent="0.2">
      <c r="K2206" s="17"/>
    </row>
    <row r="2207" spans="1:18" ht="12.75" x14ac:dyDescent="0.2">
      <c r="K2207" s="17"/>
    </row>
    <row r="2208" spans="1:18" ht="12.75" x14ac:dyDescent="0.2"/>
    <row r="2209" spans="1:11" s="17" customFormat="1" ht="12.75" x14ac:dyDescent="0.2">
      <c r="A2209"/>
      <c r="B2209"/>
      <c r="C2209"/>
      <c r="D2209"/>
      <c r="E2209"/>
      <c r="F2209"/>
      <c r="G2209"/>
      <c r="H2209"/>
      <c r="I2209"/>
      <c r="J2209"/>
    </row>
    <row r="2210" spans="1:11" s="92" customFormat="1" ht="15" x14ac:dyDescent="0.2">
      <c r="A2210"/>
      <c r="B2210"/>
      <c r="C2210"/>
      <c r="D2210"/>
      <c r="E2210"/>
      <c r="F2210"/>
      <c r="G2210"/>
      <c r="H2210"/>
      <c r="I2210"/>
      <c r="J2210"/>
      <c r="K2210" s="19"/>
    </row>
    <row r="2211" spans="1:11" ht="12.75" x14ac:dyDescent="0.2"/>
    <row r="2212" spans="1:11" ht="12" customHeight="1" x14ac:dyDescent="0.2"/>
    <row r="2213" spans="1:11" ht="12.75" x14ac:dyDescent="0.2"/>
    <row r="2214" spans="1:11" ht="12.75" x14ac:dyDescent="0.2"/>
    <row r="2215" spans="1:11" ht="12.75" x14ac:dyDescent="0.2">
      <c r="K2215" s="57"/>
    </row>
    <row r="2216" spans="1:11" ht="12.75" x14ac:dyDescent="0.2">
      <c r="K2216" s="58"/>
    </row>
    <row r="2217" spans="1:11" ht="12.75" x14ac:dyDescent="0.2">
      <c r="K2217" s="58"/>
    </row>
    <row r="2218" spans="1:11" ht="12.75" x14ac:dyDescent="0.2"/>
    <row r="2219" spans="1:11" ht="12.75" x14ac:dyDescent="0.2">
      <c r="K2219" s="61"/>
    </row>
    <row r="2220" spans="1:11" ht="12.75" x14ac:dyDescent="0.2">
      <c r="K2220" s="61"/>
    </row>
    <row r="2221" spans="1:11" s="59" customFormat="1" ht="15" x14ac:dyDescent="0.25">
      <c r="A2221"/>
      <c r="B2221"/>
      <c r="C2221"/>
      <c r="D2221"/>
      <c r="E2221"/>
      <c r="F2221"/>
      <c r="G2221"/>
      <c r="H2221"/>
      <c r="I2221"/>
      <c r="J2221"/>
    </row>
    <row r="2222" spans="1:11" s="59" customFormat="1" ht="15" x14ac:dyDescent="0.25">
      <c r="A2222"/>
      <c r="B2222"/>
      <c r="C2222"/>
      <c r="D2222"/>
      <c r="E2222"/>
      <c r="F2222"/>
      <c r="G2222"/>
      <c r="H2222"/>
      <c r="I2222"/>
      <c r="J2222"/>
    </row>
    <row r="2223" spans="1:11" ht="12.75" x14ac:dyDescent="0.2"/>
    <row r="2224" spans="1:11" ht="14.25" customHeight="1" x14ac:dyDescent="0.2">
      <c r="K2224" s="68"/>
    </row>
    <row r="2225" spans="1:18" ht="14.25" customHeight="1" x14ac:dyDescent="0.2">
      <c r="K2225" s="68"/>
    </row>
    <row r="2226" spans="1:18" ht="12.75" x14ac:dyDescent="0.2">
      <c r="K2226" s="68"/>
    </row>
    <row r="2227" spans="1:18" ht="14.25" customHeight="1" x14ac:dyDescent="0.2">
      <c r="K2227" s="17"/>
    </row>
    <row r="2228" spans="1:18" ht="12.75" x14ac:dyDescent="0.2">
      <c r="K2228" s="17"/>
    </row>
    <row r="2229" spans="1:18" ht="12.75" x14ac:dyDescent="0.2">
      <c r="K2229" s="17"/>
    </row>
    <row r="2230" spans="1:18" ht="12.75" x14ac:dyDescent="0.2">
      <c r="K2230" s="17"/>
    </row>
    <row r="2231" spans="1:18" ht="12.75" x14ac:dyDescent="0.2">
      <c r="K2231" s="17"/>
    </row>
    <row r="2232" spans="1:18" ht="12.75" x14ac:dyDescent="0.2">
      <c r="K2232" s="17"/>
      <c r="R2232" s="17"/>
    </row>
    <row r="2233" spans="1:18" ht="12.75" x14ac:dyDescent="0.2">
      <c r="K2233" s="17"/>
    </row>
    <row r="2234" spans="1:18" ht="12.75" x14ac:dyDescent="0.2">
      <c r="K2234" s="17"/>
    </row>
    <row r="2235" spans="1:18" ht="12.75" x14ac:dyDescent="0.2"/>
    <row r="2236" spans="1:18" s="17" customFormat="1" ht="12.75" x14ac:dyDescent="0.2">
      <c r="A2236"/>
      <c r="B2236"/>
      <c r="C2236"/>
      <c r="D2236"/>
      <c r="E2236"/>
      <c r="F2236"/>
      <c r="G2236"/>
      <c r="H2236"/>
      <c r="I2236"/>
      <c r="J2236"/>
    </row>
    <row r="2237" spans="1:18" s="92" customFormat="1" ht="15" x14ac:dyDescent="0.2">
      <c r="A2237"/>
      <c r="B2237"/>
      <c r="C2237"/>
      <c r="D2237"/>
      <c r="E2237"/>
      <c r="F2237"/>
      <c r="G2237"/>
      <c r="H2237"/>
      <c r="I2237"/>
      <c r="J2237"/>
      <c r="K2237" s="19"/>
    </row>
    <row r="2238" spans="1:18" ht="12.75" x14ac:dyDescent="0.2"/>
    <row r="2239" spans="1:18" ht="12" customHeight="1" x14ac:dyDescent="0.2"/>
    <row r="2240" spans="1:18" ht="12.75" x14ac:dyDescent="0.2"/>
    <row r="2241" spans="1:11" ht="12.75" x14ac:dyDescent="0.2"/>
    <row r="2242" spans="1:11" ht="12.75" x14ac:dyDescent="0.2">
      <c r="K2242" s="57"/>
    </row>
    <row r="2243" spans="1:11" ht="12.75" x14ac:dyDescent="0.2">
      <c r="K2243" s="58"/>
    </row>
    <row r="2244" spans="1:11" ht="12.75" x14ac:dyDescent="0.2">
      <c r="K2244" s="58"/>
    </row>
    <row r="2245" spans="1:11" ht="12.75" x14ac:dyDescent="0.2"/>
    <row r="2246" spans="1:11" ht="12.75" x14ac:dyDescent="0.2">
      <c r="K2246" s="61"/>
    </row>
    <row r="2247" spans="1:11" ht="12.75" x14ac:dyDescent="0.2">
      <c r="K2247" s="61"/>
    </row>
    <row r="2248" spans="1:11" s="59" customFormat="1" ht="15" x14ac:dyDescent="0.25">
      <c r="A2248"/>
      <c r="B2248"/>
      <c r="C2248"/>
      <c r="D2248"/>
      <c r="E2248"/>
      <c r="F2248"/>
      <c r="G2248"/>
      <c r="H2248"/>
      <c r="I2248"/>
      <c r="J2248"/>
    </row>
    <row r="2249" spans="1:11" s="59" customFormat="1" ht="15" x14ac:dyDescent="0.25">
      <c r="A2249"/>
      <c r="B2249"/>
      <c r="C2249"/>
      <c r="D2249"/>
      <c r="E2249"/>
      <c r="F2249"/>
      <c r="G2249"/>
      <c r="H2249"/>
      <c r="I2249"/>
      <c r="J2249"/>
    </row>
    <row r="2250" spans="1:11" ht="12.75" x14ac:dyDescent="0.2"/>
    <row r="2251" spans="1:11" ht="14.25" customHeight="1" x14ac:dyDescent="0.2">
      <c r="K2251" s="68"/>
    </row>
    <row r="2252" spans="1:11" ht="14.25" customHeight="1" x14ac:dyDescent="0.2">
      <c r="K2252" s="68"/>
    </row>
    <row r="2253" spans="1:11" ht="12.75" x14ac:dyDescent="0.2">
      <c r="K2253" s="68"/>
    </row>
    <row r="2254" spans="1:11" ht="14.25" customHeight="1" x14ac:dyDescent="0.2">
      <c r="K2254" s="17"/>
    </row>
    <row r="2255" spans="1:11" ht="12.75" x14ac:dyDescent="0.2">
      <c r="K2255" s="17"/>
    </row>
    <row r="2256" spans="1:11" ht="12.75" x14ac:dyDescent="0.2">
      <c r="K2256" s="17"/>
    </row>
    <row r="2257" spans="1:18" ht="12.75" x14ac:dyDescent="0.2">
      <c r="K2257" s="17"/>
    </row>
    <row r="2258" spans="1:18" ht="12.75" x14ac:dyDescent="0.2">
      <c r="K2258" s="17"/>
    </row>
    <row r="2259" spans="1:18" ht="12.75" x14ac:dyDescent="0.2">
      <c r="K2259" s="17"/>
      <c r="R2259" s="17"/>
    </row>
    <row r="2260" spans="1:18" ht="12.75" x14ac:dyDescent="0.2">
      <c r="K2260" s="17"/>
    </row>
    <row r="2261" spans="1:18" ht="12.75" x14ac:dyDescent="0.2">
      <c r="K2261" s="17"/>
    </row>
    <row r="2262" spans="1:18" ht="12.75" x14ac:dyDescent="0.2"/>
    <row r="2263" spans="1:18" s="17" customFormat="1" ht="12.75" x14ac:dyDescent="0.2">
      <c r="A2263"/>
      <c r="B2263"/>
      <c r="C2263"/>
      <c r="D2263"/>
      <c r="E2263"/>
      <c r="F2263"/>
      <c r="G2263"/>
      <c r="H2263"/>
      <c r="I2263"/>
      <c r="J2263"/>
    </row>
    <row r="2264" spans="1:18" s="92" customFormat="1" ht="15" x14ac:dyDescent="0.2">
      <c r="A2264"/>
      <c r="B2264"/>
      <c r="C2264"/>
      <c r="D2264"/>
      <c r="E2264"/>
      <c r="F2264"/>
      <c r="G2264"/>
      <c r="H2264"/>
      <c r="I2264"/>
      <c r="J2264"/>
      <c r="K2264" s="19"/>
    </row>
    <row r="2265" spans="1:18" ht="12.75" x14ac:dyDescent="0.2"/>
    <row r="2266" spans="1:18" ht="12" customHeight="1" x14ac:dyDescent="0.2"/>
    <row r="2267" spans="1:18" ht="12.75" x14ac:dyDescent="0.2"/>
    <row r="2268" spans="1:18" ht="12.75" x14ac:dyDescent="0.2"/>
    <row r="2269" spans="1:18" ht="12.75" x14ac:dyDescent="0.2">
      <c r="K2269" s="57"/>
    </row>
    <row r="2270" spans="1:18" ht="12.75" x14ac:dyDescent="0.2">
      <c r="K2270" s="58"/>
    </row>
    <row r="2271" spans="1:18" ht="12.75" x14ac:dyDescent="0.2">
      <c r="K2271" s="58"/>
    </row>
    <row r="2272" spans="1:18" ht="12.75" x14ac:dyDescent="0.2"/>
    <row r="2273" spans="1:18" ht="12.75" x14ac:dyDescent="0.2">
      <c r="K2273" s="61"/>
    </row>
    <row r="2274" spans="1:18" ht="12.75" x14ac:dyDescent="0.2">
      <c r="K2274" s="61"/>
    </row>
    <row r="2275" spans="1:18" s="59" customFormat="1" ht="15" x14ac:dyDescent="0.25">
      <c r="A2275"/>
      <c r="B2275"/>
      <c r="C2275"/>
      <c r="D2275"/>
      <c r="E2275"/>
      <c r="F2275"/>
      <c r="G2275"/>
      <c r="H2275"/>
      <c r="I2275"/>
      <c r="J2275"/>
    </row>
    <row r="2276" spans="1:18" s="59" customFormat="1" ht="15" x14ac:dyDescent="0.25">
      <c r="A2276"/>
      <c r="B2276"/>
      <c r="C2276"/>
      <c r="D2276"/>
      <c r="E2276"/>
      <c r="F2276"/>
      <c r="G2276"/>
      <c r="H2276"/>
      <c r="I2276"/>
      <c r="J2276"/>
    </row>
    <row r="2277" spans="1:18" ht="12.75" x14ac:dyDescent="0.2"/>
    <row r="2278" spans="1:18" ht="14.25" customHeight="1" x14ac:dyDescent="0.2">
      <c r="K2278" s="68"/>
    </row>
    <row r="2279" spans="1:18" ht="14.25" customHeight="1" x14ac:dyDescent="0.2">
      <c r="K2279" s="68"/>
    </row>
    <row r="2280" spans="1:18" ht="12.75" x14ac:dyDescent="0.2">
      <c r="K2280" s="68"/>
    </row>
    <row r="2281" spans="1:18" ht="14.25" customHeight="1" x14ac:dyDescent="0.2">
      <c r="K2281" s="17"/>
    </row>
    <row r="2282" spans="1:18" ht="12.75" x14ac:dyDescent="0.2">
      <c r="K2282" s="17"/>
    </row>
    <row r="2283" spans="1:18" ht="12.75" x14ac:dyDescent="0.2">
      <c r="K2283" s="17"/>
    </row>
    <row r="2284" spans="1:18" ht="12.75" x14ac:dyDescent="0.2">
      <c r="K2284" s="17"/>
    </row>
    <row r="2285" spans="1:18" ht="12.75" x14ac:dyDescent="0.2">
      <c r="K2285" s="17"/>
    </row>
    <row r="2286" spans="1:18" ht="12.75" x14ac:dyDescent="0.2">
      <c r="K2286" s="17"/>
      <c r="R2286" s="17"/>
    </row>
    <row r="2287" spans="1:18" ht="12.75" x14ac:dyDescent="0.2">
      <c r="K2287" s="17"/>
    </row>
    <row r="2288" spans="1:18" ht="12.75" x14ac:dyDescent="0.2">
      <c r="K2288" s="17"/>
    </row>
    <row r="2289" spans="1:11" ht="12.75" x14ac:dyDescent="0.2"/>
    <row r="2290" spans="1:11" s="17" customFormat="1" ht="12.75" x14ac:dyDescent="0.2">
      <c r="A2290"/>
      <c r="B2290"/>
      <c r="C2290"/>
      <c r="D2290"/>
      <c r="E2290"/>
      <c r="F2290"/>
      <c r="G2290"/>
      <c r="H2290"/>
      <c r="I2290"/>
      <c r="J2290"/>
    </row>
    <row r="2291" spans="1:11" s="92" customFormat="1" ht="15" x14ac:dyDescent="0.2">
      <c r="A2291"/>
      <c r="B2291"/>
      <c r="C2291"/>
      <c r="D2291"/>
      <c r="E2291"/>
      <c r="F2291"/>
      <c r="G2291"/>
      <c r="H2291"/>
      <c r="I2291"/>
      <c r="J2291"/>
      <c r="K2291" s="19"/>
    </row>
    <row r="2292" spans="1:11" ht="12.75" x14ac:dyDescent="0.2"/>
    <row r="2293" spans="1:11" ht="12" customHeight="1" x14ac:dyDescent="0.2"/>
    <row r="2294" spans="1:11" ht="12.75" x14ac:dyDescent="0.2"/>
    <row r="2295" spans="1:11" ht="12.75" x14ac:dyDescent="0.2"/>
    <row r="2296" spans="1:11" ht="12.75" x14ac:dyDescent="0.2">
      <c r="K2296" s="57"/>
    </row>
    <row r="2297" spans="1:11" ht="12.75" x14ac:dyDescent="0.2">
      <c r="K2297" s="58"/>
    </row>
    <row r="2298" spans="1:11" ht="12.75" x14ac:dyDescent="0.2">
      <c r="K2298" s="58"/>
    </row>
    <row r="2299" spans="1:11" ht="12.75" x14ac:dyDescent="0.2"/>
    <row r="2300" spans="1:11" ht="12.75" x14ac:dyDescent="0.2">
      <c r="K2300" s="61"/>
    </row>
    <row r="2301" spans="1:11" ht="12.75" x14ac:dyDescent="0.2">
      <c r="K2301" s="61"/>
    </row>
    <row r="2302" spans="1:11" s="59" customFormat="1" ht="15" x14ac:dyDescent="0.25">
      <c r="A2302"/>
      <c r="B2302"/>
      <c r="C2302"/>
      <c r="D2302"/>
      <c r="E2302"/>
      <c r="F2302"/>
      <c r="G2302"/>
      <c r="H2302"/>
      <c r="I2302"/>
      <c r="J2302"/>
    </row>
    <row r="2303" spans="1:11" s="59" customFormat="1" ht="15" x14ac:dyDescent="0.25">
      <c r="A2303"/>
      <c r="B2303"/>
      <c r="C2303"/>
      <c r="D2303"/>
      <c r="E2303"/>
      <c r="F2303"/>
      <c r="G2303"/>
      <c r="H2303"/>
      <c r="I2303"/>
      <c r="J2303"/>
    </row>
    <row r="2304" spans="1:11" ht="12.75" x14ac:dyDescent="0.2"/>
    <row r="2305" spans="1:18" ht="14.25" customHeight="1" x14ac:dyDescent="0.2">
      <c r="K2305" s="68"/>
    </row>
    <row r="2306" spans="1:18" ht="14.25" customHeight="1" x14ac:dyDescent="0.2">
      <c r="K2306" s="68"/>
    </row>
    <row r="2307" spans="1:18" ht="12.75" x14ac:dyDescent="0.2">
      <c r="K2307" s="68"/>
    </row>
    <row r="2308" spans="1:18" ht="14.25" customHeight="1" x14ac:dyDescent="0.2">
      <c r="K2308" s="17"/>
    </row>
    <row r="2309" spans="1:18" ht="12.75" x14ac:dyDescent="0.2">
      <c r="K2309" s="17"/>
    </row>
    <row r="2310" spans="1:18" ht="12.75" x14ac:dyDescent="0.2">
      <c r="K2310" s="17"/>
    </row>
    <row r="2311" spans="1:18" ht="12.75" x14ac:dyDescent="0.2">
      <c r="K2311" s="17"/>
    </row>
    <row r="2312" spans="1:18" ht="12.75" x14ac:dyDescent="0.2">
      <c r="K2312" s="17"/>
    </row>
    <row r="2313" spans="1:18" ht="12.75" x14ac:dyDescent="0.2">
      <c r="K2313" s="17"/>
      <c r="R2313" s="17"/>
    </row>
    <row r="2314" spans="1:18" ht="12.75" x14ac:dyDescent="0.2">
      <c r="K2314" s="17"/>
    </row>
    <row r="2315" spans="1:18" ht="12.75" x14ac:dyDescent="0.2">
      <c r="K2315" s="17"/>
    </row>
    <row r="2316" spans="1:18" ht="12.75" x14ac:dyDescent="0.2"/>
    <row r="2317" spans="1:18" s="17" customFormat="1" ht="12.75" x14ac:dyDescent="0.2">
      <c r="A2317"/>
      <c r="B2317"/>
      <c r="C2317"/>
      <c r="D2317"/>
      <c r="E2317"/>
      <c r="F2317"/>
      <c r="G2317"/>
      <c r="H2317"/>
      <c r="I2317"/>
      <c r="J2317"/>
    </row>
    <row r="2318" spans="1:18" s="92" customFormat="1" ht="15" x14ac:dyDescent="0.2">
      <c r="A2318"/>
      <c r="B2318"/>
      <c r="C2318"/>
      <c r="D2318"/>
      <c r="E2318"/>
      <c r="F2318"/>
      <c r="G2318"/>
      <c r="H2318"/>
      <c r="I2318"/>
      <c r="J2318"/>
      <c r="K2318" s="19"/>
    </row>
    <row r="2319" spans="1:18" ht="12.75" x14ac:dyDescent="0.2"/>
    <row r="2320" spans="1:18" ht="12" customHeight="1" x14ac:dyDescent="0.2"/>
    <row r="2321" spans="1:11" ht="12.75" x14ac:dyDescent="0.2"/>
    <row r="2322" spans="1:11" ht="12.75" x14ac:dyDescent="0.2"/>
    <row r="2323" spans="1:11" ht="12.75" x14ac:dyDescent="0.2">
      <c r="K2323" s="57"/>
    </row>
    <row r="2324" spans="1:11" ht="12.75" x14ac:dyDescent="0.2">
      <c r="K2324" s="58"/>
    </row>
    <row r="2325" spans="1:11" ht="12.75" x14ac:dyDescent="0.2">
      <c r="K2325" s="58"/>
    </row>
    <row r="2326" spans="1:11" ht="12.75" x14ac:dyDescent="0.2"/>
    <row r="2327" spans="1:11" ht="12.75" x14ac:dyDescent="0.2">
      <c r="K2327" s="61"/>
    </row>
    <row r="2328" spans="1:11" ht="12.75" x14ac:dyDescent="0.2">
      <c r="K2328" s="61"/>
    </row>
    <row r="2329" spans="1:11" s="59" customFormat="1" ht="15" x14ac:dyDescent="0.25">
      <c r="A2329"/>
      <c r="B2329"/>
      <c r="C2329"/>
      <c r="D2329"/>
      <c r="E2329"/>
      <c r="F2329"/>
      <c r="G2329"/>
      <c r="H2329"/>
      <c r="I2329"/>
      <c r="J2329"/>
    </row>
    <row r="2330" spans="1:11" s="59" customFormat="1" ht="15" x14ac:dyDescent="0.25">
      <c r="A2330"/>
      <c r="B2330"/>
      <c r="C2330"/>
      <c r="D2330"/>
      <c r="E2330"/>
      <c r="F2330"/>
      <c r="G2330"/>
      <c r="H2330"/>
      <c r="I2330"/>
      <c r="J2330"/>
    </row>
    <row r="2331" spans="1:11" ht="12.75" x14ac:dyDescent="0.2"/>
    <row r="2332" spans="1:11" ht="14.25" customHeight="1" x14ac:dyDescent="0.2">
      <c r="K2332" s="68"/>
    </row>
    <row r="2333" spans="1:11" ht="14.25" customHeight="1" x14ac:dyDescent="0.2">
      <c r="K2333" s="68"/>
    </row>
    <row r="2334" spans="1:11" ht="12.75" x14ac:dyDescent="0.2">
      <c r="K2334" s="68"/>
    </row>
    <row r="2335" spans="1:11" ht="14.25" customHeight="1" x14ac:dyDescent="0.2">
      <c r="K2335" s="17"/>
    </row>
    <row r="2336" spans="1:11" ht="12.75" x14ac:dyDescent="0.2">
      <c r="K2336" s="17"/>
    </row>
    <row r="2337" spans="1:18" ht="12.75" x14ac:dyDescent="0.2">
      <c r="K2337" s="17"/>
    </row>
    <row r="2338" spans="1:18" ht="12.75" x14ac:dyDescent="0.2">
      <c r="K2338" s="17"/>
    </row>
    <row r="2339" spans="1:18" ht="12.75" x14ac:dyDescent="0.2">
      <c r="K2339" s="17"/>
    </row>
    <row r="2340" spans="1:18" ht="12.75" x14ac:dyDescent="0.2">
      <c r="K2340" s="17"/>
      <c r="R2340" s="17"/>
    </row>
    <row r="2341" spans="1:18" ht="12.75" x14ac:dyDescent="0.2">
      <c r="K2341" s="17"/>
    </row>
    <row r="2342" spans="1:18" ht="12.75" x14ac:dyDescent="0.2">
      <c r="K2342" s="17"/>
    </row>
    <row r="2343" spans="1:18" ht="12.75" x14ac:dyDescent="0.2"/>
    <row r="2344" spans="1:18" s="17" customFormat="1" ht="12.75" x14ac:dyDescent="0.2">
      <c r="A2344"/>
      <c r="B2344"/>
      <c r="C2344"/>
      <c r="D2344"/>
      <c r="E2344"/>
      <c r="F2344"/>
      <c r="G2344"/>
      <c r="H2344"/>
      <c r="I2344"/>
      <c r="J2344"/>
    </row>
    <row r="2345" spans="1:18" s="92" customFormat="1" ht="15" x14ac:dyDescent="0.2">
      <c r="A2345"/>
      <c r="B2345"/>
      <c r="C2345"/>
      <c r="D2345"/>
      <c r="E2345"/>
      <c r="F2345"/>
      <c r="G2345"/>
      <c r="H2345"/>
      <c r="I2345"/>
      <c r="J2345"/>
      <c r="K2345" s="19"/>
    </row>
    <row r="2346" spans="1:18" ht="12.75" x14ac:dyDescent="0.2"/>
    <row r="2347" spans="1:18" ht="12" customHeight="1" x14ac:dyDescent="0.2"/>
    <row r="2348" spans="1:18" ht="12.75" x14ac:dyDescent="0.2"/>
    <row r="2349" spans="1:18" ht="12.75" x14ac:dyDescent="0.2"/>
    <row r="2350" spans="1:18" ht="12.75" x14ac:dyDescent="0.2">
      <c r="K2350" s="57"/>
    </row>
    <row r="2351" spans="1:18" ht="12.75" x14ac:dyDescent="0.2">
      <c r="K2351" s="58"/>
    </row>
    <row r="2352" spans="1:18" ht="12.75" x14ac:dyDescent="0.2">
      <c r="K2352" s="58"/>
    </row>
    <row r="2353" spans="1:18" ht="12.75" x14ac:dyDescent="0.2"/>
    <row r="2354" spans="1:18" ht="12.75" x14ac:dyDescent="0.2">
      <c r="K2354" s="61"/>
    </row>
    <row r="2355" spans="1:18" ht="12.75" x14ac:dyDescent="0.2">
      <c r="K2355" s="61"/>
    </row>
    <row r="2356" spans="1:18" s="59" customFormat="1" ht="15" x14ac:dyDescent="0.25">
      <c r="A2356"/>
      <c r="B2356"/>
      <c r="C2356"/>
      <c r="D2356"/>
      <c r="E2356"/>
      <c r="F2356"/>
      <c r="G2356"/>
      <c r="H2356"/>
      <c r="I2356"/>
      <c r="J2356"/>
    </row>
    <row r="2357" spans="1:18" s="59" customFormat="1" ht="15" x14ac:dyDescent="0.25">
      <c r="A2357"/>
      <c r="B2357"/>
      <c r="C2357"/>
      <c r="D2357"/>
      <c r="E2357"/>
      <c r="F2357"/>
      <c r="G2357"/>
      <c r="H2357"/>
      <c r="I2357"/>
      <c r="J2357"/>
    </row>
    <row r="2358" spans="1:18" ht="12.75" x14ac:dyDescent="0.2"/>
    <row r="2359" spans="1:18" ht="14.25" customHeight="1" x14ac:dyDescent="0.2">
      <c r="K2359" s="68"/>
    </row>
    <row r="2360" spans="1:18" ht="14.25" customHeight="1" x14ac:dyDescent="0.2">
      <c r="K2360" s="68"/>
    </row>
    <row r="2361" spans="1:18" ht="12.75" x14ac:dyDescent="0.2">
      <c r="K2361" s="68"/>
    </row>
    <row r="2362" spans="1:18" ht="14.25" customHeight="1" x14ac:dyDescent="0.2">
      <c r="K2362" s="17"/>
    </row>
    <row r="2363" spans="1:18" ht="12.75" x14ac:dyDescent="0.2">
      <c r="K2363" s="17"/>
    </row>
    <row r="2364" spans="1:18" ht="12.75" x14ac:dyDescent="0.2">
      <c r="K2364" s="17"/>
    </row>
    <row r="2365" spans="1:18" ht="12.75" x14ac:dyDescent="0.2">
      <c r="K2365" s="17"/>
    </row>
    <row r="2366" spans="1:18" ht="12.75" x14ac:dyDescent="0.2">
      <c r="K2366" s="17"/>
    </row>
    <row r="2367" spans="1:18" ht="12.75" x14ac:dyDescent="0.2">
      <c r="K2367" s="17"/>
      <c r="R2367" s="17"/>
    </row>
    <row r="2368" spans="1:18" ht="12.75" x14ac:dyDescent="0.2">
      <c r="K2368" s="17"/>
    </row>
    <row r="2369" spans="1:11" ht="12.75" x14ac:dyDescent="0.2">
      <c r="K2369" s="17"/>
    </row>
    <row r="2370" spans="1:11" ht="12.75" x14ac:dyDescent="0.2"/>
    <row r="2371" spans="1:11" s="17" customFormat="1" ht="12.75" x14ac:dyDescent="0.2">
      <c r="A2371"/>
      <c r="B2371"/>
      <c r="C2371"/>
      <c r="D2371"/>
      <c r="E2371"/>
      <c r="F2371"/>
      <c r="G2371"/>
      <c r="H2371"/>
      <c r="I2371"/>
      <c r="J2371"/>
    </row>
    <row r="2372" spans="1:11" s="92" customFormat="1" ht="15" x14ac:dyDescent="0.2">
      <c r="A2372"/>
      <c r="B2372"/>
      <c r="C2372"/>
      <c r="D2372"/>
      <c r="E2372"/>
      <c r="F2372"/>
      <c r="G2372"/>
      <c r="H2372"/>
      <c r="I2372"/>
      <c r="J2372"/>
      <c r="K2372" s="19"/>
    </row>
    <row r="2373" spans="1:11" ht="12.75" x14ac:dyDescent="0.2"/>
    <row r="2374" spans="1:11" ht="12" customHeight="1" x14ac:dyDescent="0.2"/>
    <row r="2375" spans="1:11" ht="12.75" x14ac:dyDescent="0.2"/>
    <row r="2376" spans="1:11" ht="12.75" x14ac:dyDescent="0.2"/>
    <row r="2377" spans="1:11" ht="12.75" x14ac:dyDescent="0.2">
      <c r="K2377" s="57"/>
    </row>
    <row r="2378" spans="1:11" ht="12.75" x14ac:dyDescent="0.2">
      <c r="K2378" s="58"/>
    </row>
    <row r="2379" spans="1:11" ht="12.75" x14ac:dyDescent="0.2">
      <c r="K2379" s="58"/>
    </row>
    <row r="2380" spans="1:11" ht="12.75" x14ac:dyDescent="0.2"/>
    <row r="2381" spans="1:11" ht="12.75" x14ac:dyDescent="0.2">
      <c r="K2381" s="61"/>
    </row>
    <row r="2382" spans="1:11" ht="12.75" x14ac:dyDescent="0.2">
      <c r="K2382" s="61"/>
    </row>
    <row r="2383" spans="1:11" s="59" customFormat="1" ht="15" x14ac:dyDescent="0.25">
      <c r="A2383"/>
      <c r="B2383"/>
      <c r="C2383"/>
      <c r="D2383"/>
      <c r="E2383"/>
      <c r="F2383"/>
      <c r="G2383"/>
      <c r="H2383"/>
      <c r="I2383"/>
      <c r="J2383"/>
    </row>
    <row r="2384" spans="1:11" s="59" customFormat="1" ht="15" x14ac:dyDescent="0.25">
      <c r="A2384"/>
      <c r="B2384"/>
      <c r="C2384"/>
      <c r="D2384"/>
      <c r="E2384"/>
      <c r="F2384"/>
      <c r="G2384"/>
      <c r="H2384"/>
      <c r="I2384"/>
      <c r="J2384"/>
    </row>
    <row r="2385" spans="1:18" ht="12.75" x14ac:dyDescent="0.2"/>
    <row r="2386" spans="1:18" ht="14.25" customHeight="1" x14ac:dyDescent="0.2">
      <c r="K2386" s="68"/>
    </row>
    <row r="2387" spans="1:18" ht="14.25" customHeight="1" x14ac:dyDescent="0.2">
      <c r="K2387" s="68"/>
    </row>
    <row r="2388" spans="1:18" ht="12.75" x14ac:dyDescent="0.2">
      <c r="K2388" s="68"/>
    </row>
    <row r="2389" spans="1:18" ht="14.25" customHeight="1" x14ac:dyDescent="0.2">
      <c r="K2389" s="17"/>
    </row>
    <row r="2390" spans="1:18" ht="12.75" x14ac:dyDescent="0.2">
      <c r="K2390" s="17"/>
    </row>
    <row r="2391" spans="1:18" ht="12.75" x14ac:dyDescent="0.2">
      <c r="K2391" s="17"/>
    </row>
    <row r="2392" spans="1:18" ht="12.75" x14ac:dyDescent="0.2">
      <c r="K2392" s="17"/>
    </row>
    <row r="2393" spans="1:18" ht="12.75" x14ac:dyDescent="0.2">
      <c r="K2393" s="17"/>
    </row>
    <row r="2394" spans="1:18" ht="12.75" x14ac:dyDescent="0.2">
      <c r="K2394" s="17"/>
      <c r="R2394" s="17"/>
    </row>
    <row r="2395" spans="1:18" ht="12.75" x14ac:dyDescent="0.2">
      <c r="K2395" s="17"/>
    </row>
    <row r="2396" spans="1:18" ht="12.75" x14ac:dyDescent="0.2">
      <c r="K2396" s="17"/>
    </row>
    <row r="2397" spans="1:18" ht="12.75" x14ac:dyDescent="0.2"/>
    <row r="2398" spans="1:18" s="17" customFormat="1" ht="12.75" x14ac:dyDescent="0.2">
      <c r="A2398"/>
      <c r="B2398"/>
      <c r="C2398"/>
      <c r="D2398"/>
      <c r="E2398"/>
      <c r="F2398"/>
      <c r="G2398"/>
      <c r="H2398"/>
      <c r="I2398"/>
      <c r="J2398"/>
    </row>
    <row r="2399" spans="1:18" s="92" customFormat="1" ht="15" x14ac:dyDescent="0.2">
      <c r="A2399"/>
      <c r="B2399"/>
      <c r="C2399"/>
      <c r="D2399"/>
      <c r="E2399"/>
      <c r="F2399"/>
      <c r="G2399"/>
      <c r="H2399"/>
      <c r="I2399"/>
      <c r="J2399"/>
      <c r="K2399" s="19"/>
    </row>
    <row r="2400" spans="1:18" ht="12.75" x14ac:dyDescent="0.2"/>
    <row r="2401" spans="1:11" ht="12" customHeight="1" x14ac:dyDescent="0.2"/>
    <row r="2402" spans="1:11" ht="12.75" x14ac:dyDescent="0.2"/>
    <row r="2403" spans="1:11" ht="12.75" x14ac:dyDescent="0.2"/>
    <row r="2404" spans="1:11" ht="12.75" x14ac:dyDescent="0.2">
      <c r="K2404" s="57"/>
    </row>
    <row r="2405" spans="1:11" ht="12.75" x14ac:dyDescent="0.2">
      <c r="K2405" s="58"/>
    </row>
    <row r="2406" spans="1:11" ht="12.75" x14ac:dyDescent="0.2">
      <c r="K2406" s="58"/>
    </row>
    <row r="2407" spans="1:11" ht="12.75" x14ac:dyDescent="0.2"/>
    <row r="2408" spans="1:11" ht="12.75" x14ac:dyDescent="0.2">
      <c r="K2408" s="61"/>
    </row>
    <row r="2409" spans="1:11" ht="12.75" x14ac:dyDescent="0.2">
      <c r="K2409" s="61"/>
    </row>
    <row r="2410" spans="1:11" s="59" customFormat="1" ht="15" x14ac:dyDescent="0.25">
      <c r="A2410"/>
      <c r="B2410"/>
      <c r="C2410"/>
      <c r="D2410"/>
      <c r="E2410"/>
      <c r="F2410"/>
      <c r="G2410"/>
      <c r="H2410"/>
      <c r="I2410"/>
      <c r="J2410"/>
    </row>
    <row r="2411" spans="1:11" s="59" customFormat="1" ht="15" x14ac:dyDescent="0.25">
      <c r="A2411"/>
      <c r="B2411"/>
      <c r="C2411"/>
      <c r="D2411"/>
      <c r="E2411"/>
      <c r="F2411"/>
      <c r="G2411"/>
      <c r="H2411"/>
      <c r="I2411"/>
      <c r="J2411"/>
    </row>
    <row r="2412" spans="1:11" ht="12.75" x14ac:dyDescent="0.2"/>
    <row r="2413" spans="1:11" ht="14.25" customHeight="1" x14ac:dyDescent="0.2">
      <c r="K2413" s="68"/>
    </row>
    <row r="2414" spans="1:11" ht="14.25" customHeight="1" x14ac:dyDescent="0.2">
      <c r="K2414" s="68"/>
    </row>
    <row r="2415" spans="1:11" ht="12.75" x14ac:dyDescent="0.2">
      <c r="K2415" s="68"/>
    </row>
    <row r="2416" spans="1:11" ht="14.25" customHeight="1" x14ac:dyDescent="0.2">
      <c r="K2416" s="17"/>
    </row>
    <row r="2417" spans="1:18" ht="12.75" x14ac:dyDescent="0.2">
      <c r="K2417" s="17"/>
    </row>
    <row r="2418" spans="1:18" ht="12.75" x14ac:dyDescent="0.2">
      <c r="K2418" s="17"/>
    </row>
    <row r="2419" spans="1:18" ht="12.75" x14ac:dyDescent="0.2">
      <c r="K2419" s="17"/>
    </row>
    <row r="2420" spans="1:18" ht="12.75" x14ac:dyDescent="0.2">
      <c r="K2420" s="17"/>
    </row>
    <row r="2421" spans="1:18" ht="12.75" x14ac:dyDescent="0.2">
      <c r="K2421" s="17"/>
      <c r="R2421" s="17"/>
    </row>
    <row r="2422" spans="1:18" ht="12.75" x14ac:dyDescent="0.2">
      <c r="K2422" s="17"/>
    </row>
    <row r="2423" spans="1:18" ht="12.75" x14ac:dyDescent="0.2">
      <c r="K2423" s="17"/>
    </row>
    <row r="2424" spans="1:18" ht="12.75" x14ac:dyDescent="0.2"/>
    <row r="2425" spans="1:18" s="17" customFormat="1" ht="12.75" x14ac:dyDescent="0.2">
      <c r="A2425"/>
      <c r="B2425"/>
      <c r="C2425"/>
      <c r="D2425"/>
      <c r="E2425"/>
      <c r="F2425"/>
      <c r="G2425"/>
      <c r="H2425"/>
      <c r="I2425"/>
      <c r="J2425"/>
    </row>
    <row r="2426" spans="1:18" s="92" customFormat="1" ht="15" x14ac:dyDescent="0.2">
      <c r="A2426"/>
      <c r="B2426"/>
      <c r="C2426"/>
      <c r="D2426"/>
      <c r="E2426"/>
      <c r="F2426"/>
      <c r="G2426"/>
      <c r="H2426"/>
      <c r="I2426"/>
      <c r="J2426"/>
      <c r="K2426" s="19"/>
    </row>
    <row r="2427" spans="1:18" ht="12.75" x14ac:dyDescent="0.2"/>
    <row r="2428" spans="1:18" ht="12" customHeight="1" x14ac:dyDescent="0.2"/>
    <row r="2429" spans="1:18" ht="12.75" x14ac:dyDescent="0.2"/>
    <row r="2430" spans="1:18" ht="12.75" x14ac:dyDescent="0.2"/>
    <row r="2431" spans="1:18" ht="12.75" x14ac:dyDescent="0.2">
      <c r="K2431" s="57"/>
    </row>
    <row r="2432" spans="1:18" ht="12.75" x14ac:dyDescent="0.2">
      <c r="K2432" s="58"/>
    </row>
    <row r="2433" spans="1:18" ht="12.75" x14ac:dyDescent="0.2">
      <c r="K2433" s="58"/>
    </row>
    <row r="2434" spans="1:18" ht="12.75" x14ac:dyDescent="0.2"/>
    <row r="2435" spans="1:18" ht="12.75" x14ac:dyDescent="0.2">
      <c r="K2435" s="61"/>
    </row>
    <row r="2436" spans="1:18" ht="12.75" x14ac:dyDescent="0.2">
      <c r="K2436" s="61"/>
    </row>
    <row r="2437" spans="1:18" s="59" customFormat="1" ht="15" x14ac:dyDescent="0.25">
      <c r="A2437"/>
      <c r="B2437"/>
      <c r="C2437"/>
      <c r="D2437"/>
      <c r="E2437"/>
      <c r="F2437"/>
      <c r="G2437"/>
      <c r="H2437"/>
      <c r="I2437"/>
      <c r="J2437"/>
    </row>
    <row r="2438" spans="1:18" s="59" customFormat="1" ht="15" x14ac:dyDescent="0.25">
      <c r="A2438"/>
      <c r="B2438"/>
      <c r="C2438"/>
      <c r="D2438"/>
      <c r="E2438"/>
      <c r="F2438"/>
      <c r="G2438"/>
      <c r="H2438"/>
      <c r="I2438"/>
      <c r="J2438"/>
    </row>
    <row r="2439" spans="1:18" ht="12.75" x14ac:dyDescent="0.2"/>
    <row r="2440" spans="1:18" ht="14.25" customHeight="1" x14ac:dyDescent="0.2">
      <c r="K2440" s="68"/>
    </row>
    <row r="2441" spans="1:18" ht="14.25" customHeight="1" x14ac:dyDescent="0.2">
      <c r="K2441" s="68"/>
    </row>
    <row r="2442" spans="1:18" ht="12.75" x14ac:dyDescent="0.2">
      <c r="K2442" s="68"/>
    </row>
    <row r="2443" spans="1:18" ht="14.25" customHeight="1" x14ac:dyDescent="0.2">
      <c r="K2443" s="17"/>
    </row>
    <row r="2444" spans="1:18" ht="12.75" x14ac:dyDescent="0.2">
      <c r="K2444" s="17"/>
    </row>
    <row r="2445" spans="1:18" ht="12.75" x14ac:dyDescent="0.2">
      <c r="K2445" s="17"/>
    </row>
    <row r="2446" spans="1:18" ht="12.75" x14ac:dyDescent="0.2">
      <c r="K2446" s="17"/>
    </row>
    <row r="2447" spans="1:18" ht="12.75" x14ac:dyDescent="0.2">
      <c r="K2447" s="17"/>
    </row>
    <row r="2448" spans="1:18" ht="12.75" x14ac:dyDescent="0.2">
      <c r="K2448" s="17"/>
      <c r="R2448" s="17"/>
    </row>
    <row r="2449" spans="1:11" ht="12.75" x14ac:dyDescent="0.2">
      <c r="K2449" s="17"/>
    </row>
    <row r="2450" spans="1:11" ht="12.75" x14ac:dyDescent="0.2">
      <c r="K2450" s="17"/>
    </row>
    <row r="2451" spans="1:11" ht="12.75" x14ac:dyDescent="0.2"/>
    <row r="2452" spans="1:11" s="17" customFormat="1" ht="12.75" x14ac:dyDescent="0.2">
      <c r="A2452"/>
      <c r="B2452"/>
      <c r="C2452"/>
      <c r="D2452"/>
      <c r="E2452"/>
      <c r="F2452"/>
      <c r="G2452"/>
      <c r="H2452"/>
      <c r="I2452"/>
      <c r="J2452"/>
    </row>
    <row r="2453" spans="1:11" s="92" customFormat="1" ht="15" x14ac:dyDescent="0.2">
      <c r="A2453"/>
      <c r="B2453"/>
      <c r="C2453"/>
      <c r="D2453"/>
      <c r="E2453"/>
      <c r="F2453"/>
      <c r="G2453"/>
      <c r="H2453"/>
      <c r="I2453"/>
      <c r="J2453"/>
      <c r="K2453" s="19"/>
    </row>
    <row r="2454" spans="1:11" ht="12.75" x14ac:dyDescent="0.2"/>
    <row r="2455" spans="1:11" ht="12" customHeight="1" x14ac:dyDescent="0.2"/>
    <row r="2456" spans="1:11" ht="12.75" x14ac:dyDescent="0.2"/>
    <row r="2457" spans="1:11" ht="12.75" x14ac:dyDescent="0.2"/>
    <row r="2458" spans="1:11" ht="12.75" x14ac:dyDescent="0.2">
      <c r="K2458" s="57"/>
    </row>
    <row r="2459" spans="1:11" ht="12.75" x14ac:dyDescent="0.2">
      <c r="K2459" s="58"/>
    </row>
    <row r="2460" spans="1:11" ht="12.75" x14ac:dyDescent="0.2">
      <c r="K2460" s="58"/>
    </row>
    <row r="2461" spans="1:11" ht="12.75" x14ac:dyDescent="0.2"/>
    <row r="2462" spans="1:11" ht="12.75" x14ac:dyDescent="0.2">
      <c r="K2462" s="61"/>
    </row>
    <row r="2463" spans="1:11" ht="12.75" x14ac:dyDescent="0.2">
      <c r="K2463" s="61"/>
    </row>
    <row r="2464" spans="1:11" s="59" customFormat="1" ht="15" x14ac:dyDescent="0.25">
      <c r="A2464"/>
      <c r="B2464"/>
      <c r="C2464"/>
      <c r="D2464"/>
      <c r="E2464"/>
      <c r="F2464"/>
      <c r="G2464"/>
      <c r="H2464"/>
      <c r="I2464"/>
      <c r="J2464"/>
    </row>
    <row r="2465" spans="1:18" s="59" customFormat="1" ht="15" x14ac:dyDescent="0.25">
      <c r="A2465"/>
      <c r="B2465"/>
      <c r="C2465"/>
      <c r="D2465"/>
      <c r="E2465"/>
      <c r="F2465"/>
      <c r="G2465"/>
      <c r="H2465"/>
      <c r="I2465"/>
      <c r="J2465"/>
    </row>
    <row r="2466" spans="1:18" ht="12.75" x14ac:dyDescent="0.2"/>
    <row r="2467" spans="1:18" ht="14.25" customHeight="1" x14ac:dyDescent="0.2">
      <c r="K2467" s="68"/>
    </row>
    <row r="2468" spans="1:18" ht="14.25" customHeight="1" x14ac:dyDescent="0.2">
      <c r="K2468" s="68"/>
    </row>
    <row r="2469" spans="1:18" ht="12.75" x14ac:dyDescent="0.2">
      <c r="K2469" s="68"/>
    </row>
    <row r="2470" spans="1:18" ht="14.25" customHeight="1" x14ac:dyDescent="0.2">
      <c r="K2470" s="17"/>
    </row>
    <row r="2471" spans="1:18" ht="12.75" x14ac:dyDescent="0.2">
      <c r="K2471" s="17"/>
    </row>
    <row r="2472" spans="1:18" ht="12.75" x14ac:dyDescent="0.2">
      <c r="K2472" s="17"/>
    </row>
    <row r="2473" spans="1:18" ht="12.75" x14ac:dyDescent="0.2">
      <c r="K2473" s="17"/>
    </row>
    <row r="2474" spans="1:18" ht="12.75" x14ac:dyDescent="0.2">
      <c r="K2474" s="17"/>
    </row>
    <row r="2475" spans="1:18" ht="12.75" x14ac:dyDescent="0.2">
      <c r="K2475" s="17"/>
      <c r="R2475" s="17"/>
    </row>
    <row r="2476" spans="1:18" ht="12.75" x14ac:dyDescent="0.2">
      <c r="K2476" s="17"/>
    </row>
    <row r="2477" spans="1:18" ht="12.75" x14ac:dyDescent="0.2">
      <c r="K2477" s="17"/>
    </row>
    <row r="2478" spans="1:18" ht="12.75" x14ac:dyDescent="0.2"/>
    <row r="2479" spans="1:18" s="17" customFormat="1" ht="12.75" x14ac:dyDescent="0.2">
      <c r="A2479"/>
      <c r="B2479"/>
      <c r="C2479"/>
      <c r="D2479"/>
      <c r="E2479"/>
      <c r="F2479"/>
      <c r="G2479"/>
      <c r="H2479"/>
      <c r="I2479"/>
      <c r="J2479"/>
    </row>
    <row r="2480" spans="1:18" s="92" customFormat="1" ht="15" x14ac:dyDescent="0.2">
      <c r="A2480"/>
      <c r="B2480"/>
      <c r="C2480"/>
      <c r="D2480"/>
      <c r="E2480"/>
      <c r="F2480"/>
      <c r="G2480"/>
      <c r="H2480"/>
      <c r="I2480"/>
      <c r="J2480"/>
      <c r="K2480" s="19"/>
    </row>
    <row r="2481" spans="1:11" ht="12.75" x14ac:dyDescent="0.2"/>
    <row r="2482" spans="1:11" ht="12" customHeight="1" x14ac:dyDescent="0.2"/>
    <row r="2483" spans="1:11" ht="12.75" x14ac:dyDescent="0.2"/>
    <row r="2484" spans="1:11" ht="12.75" x14ac:dyDescent="0.2"/>
    <row r="2485" spans="1:11" ht="12.75" x14ac:dyDescent="0.2">
      <c r="K2485" s="57"/>
    </row>
    <row r="2486" spans="1:11" ht="12.75" x14ac:dyDescent="0.2">
      <c r="K2486" s="58"/>
    </row>
    <row r="2487" spans="1:11" ht="12.75" x14ac:dyDescent="0.2">
      <c r="K2487" s="58"/>
    </row>
    <row r="2488" spans="1:11" ht="12.75" x14ac:dyDescent="0.2"/>
    <row r="2489" spans="1:11" ht="12.75" x14ac:dyDescent="0.2">
      <c r="K2489" s="61"/>
    </row>
    <row r="2490" spans="1:11" ht="12.75" x14ac:dyDescent="0.2">
      <c r="K2490" s="61"/>
    </row>
    <row r="2491" spans="1:11" s="59" customFormat="1" ht="15" x14ac:dyDescent="0.25">
      <c r="A2491"/>
      <c r="B2491"/>
      <c r="C2491"/>
      <c r="D2491"/>
      <c r="E2491"/>
      <c r="F2491"/>
      <c r="G2491"/>
      <c r="H2491"/>
      <c r="I2491"/>
      <c r="J2491"/>
    </row>
    <row r="2492" spans="1:11" s="59" customFormat="1" ht="15" x14ac:dyDescent="0.25">
      <c r="A2492"/>
      <c r="B2492"/>
      <c r="C2492"/>
      <c r="D2492"/>
      <c r="E2492"/>
      <c r="F2492"/>
      <c r="G2492"/>
      <c r="H2492"/>
      <c r="I2492"/>
      <c r="J2492"/>
    </row>
    <row r="2493" spans="1:11" ht="12.75" x14ac:dyDescent="0.2"/>
    <row r="2494" spans="1:11" ht="14.25" customHeight="1" x14ac:dyDescent="0.2">
      <c r="K2494" s="68"/>
    </row>
    <row r="2495" spans="1:11" ht="14.25" customHeight="1" x14ac:dyDescent="0.2">
      <c r="K2495" s="68"/>
    </row>
    <row r="2496" spans="1:11" ht="12.75" x14ac:dyDescent="0.2">
      <c r="K2496" s="68"/>
    </row>
    <row r="2497" spans="1:18" ht="14.25" customHeight="1" x14ac:dyDescent="0.2">
      <c r="K2497" s="17"/>
    </row>
    <row r="2498" spans="1:18" ht="12.75" x14ac:dyDescent="0.2">
      <c r="K2498" s="17"/>
    </row>
    <row r="2499" spans="1:18" ht="12.75" x14ac:dyDescent="0.2">
      <c r="K2499" s="17"/>
    </row>
    <row r="2500" spans="1:18" ht="12.75" x14ac:dyDescent="0.2">
      <c r="K2500" s="17"/>
    </row>
    <row r="2501" spans="1:18" ht="12.75" x14ac:dyDescent="0.2">
      <c r="K2501" s="17"/>
    </row>
    <row r="2502" spans="1:18" ht="12.75" x14ac:dyDescent="0.2">
      <c r="K2502" s="17"/>
      <c r="R2502" s="17"/>
    </row>
    <row r="2503" spans="1:18" ht="12.75" x14ac:dyDescent="0.2">
      <c r="K2503" s="17"/>
    </row>
    <row r="2504" spans="1:18" ht="12.75" x14ac:dyDescent="0.2">
      <c r="K2504" s="17"/>
    </row>
    <row r="2505" spans="1:18" ht="12.75" x14ac:dyDescent="0.2"/>
    <row r="2506" spans="1:18" s="17" customFormat="1" ht="12.75" x14ac:dyDescent="0.2">
      <c r="A2506"/>
      <c r="B2506"/>
      <c r="C2506"/>
      <c r="D2506"/>
      <c r="E2506"/>
      <c r="F2506"/>
      <c r="G2506"/>
      <c r="H2506"/>
      <c r="I2506"/>
      <c r="J2506"/>
    </row>
    <row r="2507" spans="1:18" s="92" customFormat="1" ht="15" x14ac:dyDescent="0.2">
      <c r="A2507"/>
      <c r="B2507"/>
      <c r="C2507"/>
      <c r="D2507"/>
      <c r="E2507"/>
      <c r="F2507"/>
      <c r="G2507"/>
      <c r="H2507"/>
      <c r="I2507"/>
      <c r="J2507"/>
      <c r="K2507" s="19"/>
    </row>
    <row r="2508" spans="1:18" ht="12.75" x14ac:dyDescent="0.2"/>
    <row r="2509" spans="1:18" ht="12" customHeight="1" x14ac:dyDescent="0.2"/>
    <row r="2510" spans="1:18" ht="12.75" x14ac:dyDescent="0.2"/>
    <row r="2511" spans="1:18" ht="12.75" x14ac:dyDescent="0.2"/>
    <row r="2512" spans="1:18" ht="12.75" x14ac:dyDescent="0.2">
      <c r="K2512" s="57"/>
    </row>
    <row r="2513" spans="1:11" ht="12.75" x14ac:dyDescent="0.2">
      <c r="K2513" s="58"/>
    </row>
    <row r="2514" spans="1:11" ht="12.75" x14ac:dyDescent="0.2">
      <c r="K2514" s="58"/>
    </row>
    <row r="2515" spans="1:11" ht="12.75" x14ac:dyDescent="0.2"/>
    <row r="2516" spans="1:11" ht="12.75" x14ac:dyDescent="0.2">
      <c r="K2516" s="61"/>
    </row>
    <row r="2517" spans="1:11" ht="12.75" x14ac:dyDescent="0.2">
      <c r="K2517" s="61"/>
    </row>
    <row r="2518" spans="1:11" s="59" customFormat="1" ht="15" x14ac:dyDescent="0.25">
      <c r="A2518"/>
      <c r="B2518"/>
      <c r="C2518"/>
      <c r="D2518"/>
      <c r="E2518"/>
      <c r="F2518"/>
      <c r="G2518"/>
      <c r="H2518"/>
      <c r="I2518"/>
      <c r="J2518"/>
    </row>
    <row r="2519" spans="1:11" s="59" customFormat="1" ht="15" x14ac:dyDescent="0.25">
      <c r="A2519"/>
      <c r="B2519"/>
      <c r="C2519"/>
      <c r="D2519"/>
      <c r="E2519"/>
      <c r="F2519"/>
      <c r="G2519"/>
      <c r="H2519"/>
      <c r="I2519"/>
      <c r="J2519"/>
    </row>
    <row r="2520" spans="1:11" ht="12.75" x14ac:dyDescent="0.2"/>
    <row r="2521" spans="1:11" ht="14.25" customHeight="1" x14ac:dyDescent="0.2">
      <c r="K2521" s="68"/>
    </row>
    <row r="2522" spans="1:11" ht="14.25" customHeight="1" x14ac:dyDescent="0.2">
      <c r="K2522" s="68"/>
    </row>
    <row r="2523" spans="1:11" ht="12.75" x14ac:dyDescent="0.2">
      <c r="K2523" s="68"/>
    </row>
    <row r="2524" spans="1:11" ht="14.25" customHeight="1" x14ac:dyDescent="0.2">
      <c r="K2524" s="17"/>
    </row>
    <row r="2525" spans="1:11" ht="12.75" x14ac:dyDescent="0.2">
      <c r="K2525" s="17"/>
    </row>
    <row r="2526" spans="1:11" ht="12.75" x14ac:dyDescent="0.2">
      <c r="K2526" s="17"/>
    </row>
    <row r="2527" spans="1:11" ht="12.75" x14ac:dyDescent="0.2">
      <c r="K2527" s="17"/>
    </row>
    <row r="2528" spans="1:11" ht="12.75" x14ac:dyDescent="0.2">
      <c r="K2528" s="17"/>
    </row>
    <row r="2529" spans="1:18" ht="12.75" x14ac:dyDescent="0.2">
      <c r="K2529" s="17"/>
      <c r="R2529" s="17"/>
    </row>
    <row r="2530" spans="1:18" ht="12.75" x14ac:dyDescent="0.2">
      <c r="K2530" s="17"/>
    </row>
    <row r="2531" spans="1:18" ht="12.75" x14ac:dyDescent="0.2">
      <c r="K2531" s="17"/>
    </row>
    <row r="2532" spans="1:18" ht="12.75" x14ac:dyDescent="0.2"/>
    <row r="2533" spans="1:18" s="17" customFormat="1" ht="12.75" x14ac:dyDescent="0.2">
      <c r="A2533"/>
      <c r="B2533"/>
      <c r="C2533"/>
      <c r="D2533"/>
      <c r="E2533"/>
      <c r="F2533"/>
      <c r="G2533"/>
      <c r="H2533"/>
      <c r="I2533"/>
      <c r="J2533"/>
    </row>
    <row r="2534" spans="1:18" s="92" customFormat="1" ht="15" x14ac:dyDescent="0.2">
      <c r="A2534"/>
      <c r="B2534"/>
      <c r="C2534"/>
      <c r="D2534"/>
      <c r="E2534"/>
      <c r="F2534"/>
      <c r="G2534"/>
      <c r="H2534"/>
      <c r="I2534"/>
      <c r="J2534"/>
      <c r="K2534" s="19"/>
    </row>
    <row r="2535" spans="1:18" ht="12.75" x14ac:dyDescent="0.2"/>
    <row r="2536" spans="1:18" ht="12" customHeight="1" x14ac:dyDescent="0.2"/>
    <row r="2537" spans="1:18" ht="12.75" x14ac:dyDescent="0.2"/>
    <row r="2538" spans="1:18" ht="12.75" x14ac:dyDescent="0.2"/>
    <row r="2539" spans="1:18" ht="12.75" x14ac:dyDescent="0.2">
      <c r="K2539" s="57"/>
    </row>
    <row r="2540" spans="1:18" ht="12.75" x14ac:dyDescent="0.2">
      <c r="K2540" s="58"/>
    </row>
    <row r="2541" spans="1:18" ht="12.75" x14ac:dyDescent="0.2">
      <c r="K2541" s="58"/>
    </row>
    <row r="2542" spans="1:18" ht="12.75" x14ac:dyDescent="0.2"/>
    <row r="2543" spans="1:18" ht="12.75" x14ac:dyDescent="0.2">
      <c r="K2543" s="61"/>
    </row>
    <row r="2544" spans="1:18" ht="12.75" x14ac:dyDescent="0.2">
      <c r="K2544" s="61"/>
    </row>
    <row r="2545" spans="1:18" s="59" customFormat="1" ht="15" x14ac:dyDescent="0.25">
      <c r="A2545"/>
      <c r="B2545"/>
      <c r="C2545"/>
      <c r="D2545"/>
      <c r="E2545"/>
      <c r="F2545"/>
      <c r="G2545"/>
      <c r="H2545"/>
      <c r="I2545"/>
      <c r="J2545"/>
    </row>
    <row r="2546" spans="1:18" s="59" customFormat="1" ht="15" x14ac:dyDescent="0.25">
      <c r="A2546"/>
      <c r="B2546"/>
      <c r="C2546"/>
      <c r="D2546"/>
      <c r="E2546"/>
      <c r="F2546"/>
      <c r="G2546"/>
      <c r="H2546"/>
      <c r="I2546"/>
      <c r="J2546"/>
    </row>
    <row r="2547" spans="1:18" ht="12.75" x14ac:dyDescent="0.2"/>
    <row r="2548" spans="1:18" ht="14.25" customHeight="1" x14ac:dyDescent="0.2">
      <c r="K2548" s="68"/>
    </row>
    <row r="2549" spans="1:18" ht="14.25" customHeight="1" x14ac:dyDescent="0.2">
      <c r="K2549" s="68"/>
    </row>
    <row r="2550" spans="1:18" ht="12.75" x14ac:dyDescent="0.2">
      <c r="K2550" s="68"/>
    </row>
    <row r="2551" spans="1:18" ht="14.25" customHeight="1" x14ac:dyDescent="0.2">
      <c r="K2551" s="17"/>
    </row>
    <row r="2552" spans="1:18" ht="12.75" x14ac:dyDescent="0.2">
      <c r="K2552" s="17"/>
    </row>
    <row r="2553" spans="1:18" ht="12.75" x14ac:dyDescent="0.2">
      <c r="K2553" s="17"/>
    </row>
    <row r="2554" spans="1:18" ht="12.75" x14ac:dyDescent="0.2">
      <c r="K2554" s="17"/>
    </row>
    <row r="2555" spans="1:18" ht="12.75" x14ac:dyDescent="0.2">
      <c r="K2555" s="17"/>
    </row>
    <row r="2556" spans="1:18" ht="12.75" x14ac:dyDescent="0.2">
      <c r="K2556" s="17"/>
      <c r="R2556" s="17"/>
    </row>
    <row r="2557" spans="1:18" ht="12.75" x14ac:dyDescent="0.2">
      <c r="K2557" s="17"/>
    </row>
    <row r="2558" spans="1:18" ht="12.75" x14ac:dyDescent="0.2">
      <c r="K2558" s="17"/>
    </row>
    <row r="2559" spans="1:18" ht="12.75" x14ac:dyDescent="0.2"/>
    <row r="2560" spans="1:18" s="17" customFormat="1" ht="12.75" x14ac:dyDescent="0.2">
      <c r="A2560"/>
      <c r="B2560"/>
      <c r="C2560"/>
      <c r="D2560"/>
      <c r="E2560"/>
      <c r="F2560"/>
      <c r="G2560"/>
      <c r="H2560"/>
      <c r="I2560"/>
      <c r="J2560"/>
    </row>
    <row r="2561" spans="1:11" s="92" customFormat="1" ht="15" x14ac:dyDescent="0.2">
      <c r="A2561"/>
      <c r="B2561"/>
      <c r="C2561"/>
      <c r="D2561"/>
      <c r="E2561"/>
      <c r="F2561"/>
      <c r="G2561"/>
      <c r="H2561"/>
      <c r="I2561"/>
      <c r="J2561"/>
      <c r="K2561" s="19"/>
    </row>
    <row r="2562" spans="1:11" ht="12.75" x14ac:dyDescent="0.2"/>
    <row r="2563" spans="1:11" ht="12" customHeight="1" x14ac:dyDescent="0.2"/>
    <row r="2564" spans="1:11" ht="12.75" x14ac:dyDescent="0.2"/>
    <row r="2565" spans="1:11" ht="12.75" x14ac:dyDescent="0.2"/>
    <row r="2566" spans="1:11" ht="12.75" x14ac:dyDescent="0.2">
      <c r="K2566" s="57"/>
    </row>
    <row r="2567" spans="1:11" ht="12.75" x14ac:dyDescent="0.2">
      <c r="K2567" s="58"/>
    </row>
    <row r="2568" spans="1:11" ht="12.75" x14ac:dyDescent="0.2">
      <c r="K2568" s="58"/>
    </row>
    <row r="2569" spans="1:11" ht="12.75" x14ac:dyDescent="0.2"/>
    <row r="2570" spans="1:11" ht="12.75" x14ac:dyDescent="0.2">
      <c r="K2570" s="61"/>
    </row>
    <row r="2571" spans="1:11" ht="12.75" x14ac:dyDescent="0.2">
      <c r="K2571" s="61"/>
    </row>
    <row r="2572" spans="1:11" s="59" customFormat="1" ht="15" x14ac:dyDescent="0.25">
      <c r="A2572"/>
      <c r="B2572"/>
      <c r="C2572"/>
      <c r="D2572"/>
      <c r="E2572"/>
      <c r="F2572"/>
      <c r="G2572"/>
      <c r="H2572"/>
      <c r="I2572"/>
      <c r="J2572"/>
    </row>
    <row r="2573" spans="1:11" s="59" customFormat="1" ht="15" x14ac:dyDescent="0.25">
      <c r="A2573"/>
      <c r="B2573"/>
      <c r="C2573"/>
      <c r="D2573"/>
      <c r="E2573"/>
      <c r="F2573"/>
      <c r="G2573"/>
      <c r="H2573"/>
      <c r="I2573"/>
      <c r="J2573"/>
    </row>
    <row r="2574" spans="1:11" ht="12.75" x14ac:dyDescent="0.2"/>
    <row r="2575" spans="1:11" ht="14.25" customHeight="1" x14ac:dyDescent="0.2">
      <c r="K2575" s="68"/>
    </row>
    <row r="2576" spans="1:11" ht="14.25" customHeight="1" x14ac:dyDescent="0.2">
      <c r="K2576" s="68"/>
    </row>
    <row r="2577" spans="1:18" ht="12.75" x14ac:dyDescent="0.2">
      <c r="K2577" s="68"/>
    </row>
    <row r="2578" spans="1:18" ht="14.25" customHeight="1" x14ac:dyDescent="0.2">
      <c r="K2578" s="17"/>
    </row>
    <row r="2579" spans="1:18" ht="12.75" x14ac:dyDescent="0.2">
      <c r="K2579" s="17"/>
    </row>
    <row r="2580" spans="1:18" ht="12.75" x14ac:dyDescent="0.2">
      <c r="K2580" s="17"/>
    </row>
    <row r="2581" spans="1:18" ht="12.75" x14ac:dyDescent="0.2">
      <c r="K2581" s="17"/>
    </row>
    <row r="2582" spans="1:18" ht="12.75" x14ac:dyDescent="0.2">
      <c r="K2582" s="17"/>
    </row>
    <row r="2583" spans="1:18" ht="12.75" x14ac:dyDescent="0.2">
      <c r="K2583" s="17"/>
      <c r="R2583" s="17"/>
    </row>
    <row r="2584" spans="1:18" ht="12.75" x14ac:dyDescent="0.2">
      <c r="K2584" s="17"/>
    </row>
    <row r="2585" spans="1:18" ht="12.75" x14ac:dyDescent="0.2">
      <c r="K2585" s="17"/>
    </row>
    <row r="2586" spans="1:18" ht="12.75" x14ac:dyDescent="0.2"/>
    <row r="2587" spans="1:18" s="17" customFormat="1" ht="12.75" x14ac:dyDescent="0.2">
      <c r="A2587"/>
      <c r="B2587"/>
      <c r="C2587"/>
      <c r="D2587"/>
      <c r="E2587"/>
      <c r="F2587"/>
      <c r="G2587"/>
      <c r="H2587"/>
      <c r="I2587"/>
      <c r="J2587"/>
    </row>
    <row r="2588" spans="1:18" s="92" customFormat="1" ht="15" x14ac:dyDescent="0.2">
      <c r="A2588"/>
      <c r="B2588"/>
      <c r="C2588"/>
      <c r="D2588"/>
      <c r="E2588"/>
      <c r="F2588"/>
      <c r="G2588"/>
      <c r="H2588"/>
      <c r="I2588"/>
      <c r="J2588"/>
      <c r="K2588" s="19"/>
    </row>
    <row r="2589" spans="1:18" ht="12.75" x14ac:dyDescent="0.2"/>
    <row r="2590" spans="1:18" ht="12" customHeight="1" x14ac:dyDescent="0.2"/>
    <row r="2591" spans="1:18" ht="12.75" x14ac:dyDescent="0.2"/>
    <row r="2592" spans="1:18" ht="12.75" x14ac:dyDescent="0.2"/>
    <row r="2593" spans="1:11" ht="12.75" x14ac:dyDescent="0.2">
      <c r="K2593" s="57"/>
    </row>
    <row r="2594" spans="1:11" ht="12.75" x14ac:dyDescent="0.2">
      <c r="K2594" s="58"/>
    </row>
    <row r="2595" spans="1:11" ht="12.75" x14ac:dyDescent="0.2">
      <c r="K2595" s="58"/>
    </row>
    <row r="2596" spans="1:11" ht="12.75" x14ac:dyDescent="0.2"/>
    <row r="2597" spans="1:11" ht="12.75" x14ac:dyDescent="0.2">
      <c r="K2597" s="61"/>
    </row>
    <row r="2598" spans="1:11" ht="12.75" x14ac:dyDescent="0.2">
      <c r="K2598" s="61"/>
    </row>
    <row r="2599" spans="1:11" s="59" customFormat="1" ht="15" x14ac:dyDescent="0.25">
      <c r="A2599"/>
      <c r="B2599"/>
      <c r="C2599"/>
      <c r="D2599"/>
      <c r="E2599"/>
      <c r="F2599"/>
      <c r="G2599"/>
      <c r="H2599"/>
      <c r="I2599"/>
      <c r="J2599"/>
    </row>
    <row r="2600" spans="1:11" s="59" customFormat="1" ht="15" x14ac:dyDescent="0.25">
      <c r="A2600"/>
      <c r="B2600"/>
      <c r="C2600"/>
      <c r="D2600"/>
      <c r="E2600"/>
      <c r="F2600"/>
      <c r="G2600"/>
      <c r="H2600"/>
      <c r="I2600"/>
      <c r="J2600"/>
    </row>
    <row r="2601" spans="1:11" ht="12.75" x14ac:dyDescent="0.2"/>
    <row r="2602" spans="1:11" ht="14.25" customHeight="1" x14ac:dyDescent="0.2">
      <c r="K2602" s="68"/>
    </row>
    <row r="2603" spans="1:11" ht="14.25" customHeight="1" x14ac:dyDescent="0.2">
      <c r="K2603" s="68"/>
    </row>
    <row r="2604" spans="1:11" ht="12.75" x14ac:dyDescent="0.2">
      <c r="K2604" s="68"/>
    </row>
    <row r="2605" spans="1:11" ht="14.25" customHeight="1" x14ac:dyDescent="0.2">
      <c r="K2605" s="17"/>
    </row>
    <row r="2606" spans="1:11" ht="12.75" x14ac:dyDescent="0.2">
      <c r="K2606" s="17"/>
    </row>
    <row r="2607" spans="1:11" ht="12.75" x14ac:dyDescent="0.2">
      <c r="K2607" s="17"/>
    </row>
    <row r="2608" spans="1:11" ht="12.75" x14ac:dyDescent="0.2">
      <c r="K2608" s="17"/>
    </row>
    <row r="2609" spans="1:18" ht="12.75" x14ac:dyDescent="0.2">
      <c r="K2609" s="17"/>
    </row>
    <row r="2610" spans="1:18" ht="12.75" x14ac:dyDescent="0.2">
      <c r="K2610" s="17"/>
      <c r="R2610" s="17"/>
    </row>
    <row r="2611" spans="1:18" ht="12.75" x14ac:dyDescent="0.2">
      <c r="K2611" s="17"/>
    </row>
    <row r="2612" spans="1:18" ht="12.75" x14ac:dyDescent="0.2">
      <c r="K2612" s="17"/>
    </row>
    <row r="2613" spans="1:18" ht="12.75" x14ac:dyDescent="0.2"/>
    <row r="2614" spans="1:18" s="17" customFormat="1" ht="12.75" x14ac:dyDescent="0.2">
      <c r="A2614"/>
      <c r="B2614"/>
      <c r="C2614"/>
      <c r="D2614"/>
      <c r="E2614"/>
      <c r="F2614"/>
      <c r="G2614"/>
      <c r="H2614"/>
      <c r="I2614"/>
      <c r="J2614"/>
    </row>
    <row r="2615" spans="1:18" s="92" customFormat="1" ht="15" x14ac:dyDescent="0.2">
      <c r="A2615"/>
      <c r="B2615"/>
      <c r="C2615"/>
      <c r="D2615"/>
      <c r="E2615"/>
      <c r="F2615"/>
      <c r="G2615"/>
      <c r="H2615"/>
      <c r="I2615"/>
      <c r="J2615"/>
      <c r="K2615" s="19"/>
    </row>
    <row r="2616" spans="1:18" ht="12.75" x14ac:dyDescent="0.2"/>
    <row r="2617" spans="1:18" ht="12" customHeight="1" x14ac:dyDescent="0.2"/>
    <row r="2618" spans="1:18" ht="12.75" x14ac:dyDescent="0.2"/>
    <row r="2619" spans="1:18" ht="12.75" x14ac:dyDescent="0.2"/>
    <row r="2620" spans="1:18" ht="12.75" x14ac:dyDescent="0.2">
      <c r="K2620" s="57"/>
    </row>
    <row r="2621" spans="1:18" ht="12.75" x14ac:dyDescent="0.2">
      <c r="K2621" s="58"/>
    </row>
    <row r="2622" spans="1:18" ht="12.75" x14ac:dyDescent="0.2">
      <c r="K2622" s="58"/>
    </row>
    <row r="2623" spans="1:18" ht="12.75" x14ac:dyDescent="0.2"/>
    <row r="2624" spans="1:18" ht="12.75" x14ac:dyDescent="0.2">
      <c r="K2624" s="61"/>
    </row>
    <row r="2625" spans="1:18" ht="12.75" x14ac:dyDescent="0.2">
      <c r="K2625" s="61"/>
    </row>
    <row r="2626" spans="1:18" s="59" customFormat="1" ht="15" x14ac:dyDescent="0.25">
      <c r="A2626"/>
      <c r="B2626"/>
      <c r="C2626"/>
      <c r="D2626"/>
      <c r="E2626"/>
      <c r="F2626"/>
      <c r="G2626"/>
      <c r="H2626"/>
      <c r="I2626"/>
      <c r="J2626"/>
    </row>
    <row r="2627" spans="1:18" s="59" customFormat="1" ht="15" x14ac:dyDescent="0.25">
      <c r="A2627"/>
      <c r="B2627"/>
      <c r="C2627"/>
      <c r="D2627"/>
      <c r="E2627"/>
      <c r="F2627"/>
      <c r="G2627"/>
      <c r="H2627"/>
      <c r="I2627"/>
      <c r="J2627"/>
    </row>
    <row r="2628" spans="1:18" ht="12.75" x14ac:dyDescent="0.2"/>
    <row r="2629" spans="1:18" ht="14.25" customHeight="1" x14ac:dyDescent="0.2">
      <c r="K2629" s="68"/>
    </row>
    <row r="2630" spans="1:18" ht="14.25" customHeight="1" x14ac:dyDescent="0.2">
      <c r="K2630" s="68"/>
    </row>
    <row r="2631" spans="1:18" ht="12.75" x14ac:dyDescent="0.2">
      <c r="K2631" s="68"/>
    </row>
    <row r="2632" spans="1:18" ht="14.25" customHeight="1" x14ac:dyDescent="0.2">
      <c r="K2632" s="17"/>
    </row>
    <row r="2633" spans="1:18" ht="12.75" x14ac:dyDescent="0.2">
      <c r="K2633" s="17"/>
    </row>
    <row r="2634" spans="1:18" ht="12.75" x14ac:dyDescent="0.2">
      <c r="K2634" s="17"/>
    </row>
    <row r="2635" spans="1:18" ht="12.75" x14ac:dyDescent="0.2">
      <c r="K2635" s="17"/>
    </row>
    <row r="2636" spans="1:18" ht="12.75" x14ac:dyDescent="0.2">
      <c r="K2636" s="17"/>
    </row>
    <row r="2637" spans="1:18" ht="12.75" x14ac:dyDescent="0.2">
      <c r="K2637" s="17"/>
      <c r="R2637" s="17"/>
    </row>
    <row r="2638" spans="1:18" ht="12.75" x14ac:dyDescent="0.2">
      <c r="K2638" s="17"/>
    </row>
    <row r="2639" spans="1:18" ht="12.75" x14ac:dyDescent="0.2">
      <c r="K2639" s="17"/>
    </row>
    <row r="2640" spans="1:18" ht="12.75" x14ac:dyDescent="0.2"/>
    <row r="2641" spans="1:11" s="17" customFormat="1" ht="12.75" x14ac:dyDescent="0.2">
      <c r="A2641"/>
      <c r="B2641"/>
      <c r="C2641"/>
      <c r="D2641"/>
      <c r="E2641"/>
      <c r="F2641"/>
      <c r="G2641"/>
      <c r="H2641"/>
      <c r="I2641"/>
      <c r="J2641"/>
    </row>
    <row r="2642" spans="1:11" s="92" customFormat="1" ht="15" x14ac:dyDescent="0.2">
      <c r="A2642"/>
      <c r="B2642"/>
      <c r="C2642"/>
      <c r="D2642"/>
      <c r="E2642"/>
      <c r="F2642"/>
      <c r="G2642"/>
      <c r="H2642"/>
      <c r="I2642"/>
      <c r="J2642"/>
      <c r="K2642" s="19"/>
    </row>
    <row r="2643" spans="1:11" ht="12.75" x14ac:dyDescent="0.2"/>
    <row r="2644" spans="1:11" ht="12" customHeight="1" x14ac:dyDescent="0.2"/>
    <row r="2645" spans="1:11" ht="12.75" x14ac:dyDescent="0.2"/>
    <row r="2646" spans="1:11" ht="12.75" x14ac:dyDescent="0.2"/>
    <row r="2647" spans="1:11" ht="12.75" x14ac:dyDescent="0.2">
      <c r="K2647" s="57"/>
    </row>
    <row r="2648" spans="1:11" ht="12.75" x14ac:dyDescent="0.2">
      <c r="K2648" s="58"/>
    </row>
    <row r="2649" spans="1:11" ht="12.75" x14ac:dyDescent="0.2">
      <c r="K2649" s="58"/>
    </row>
    <row r="2650" spans="1:11" ht="12.75" x14ac:dyDescent="0.2"/>
    <row r="2651" spans="1:11" ht="12.75" x14ac:dyDescent="0.2">
      <c r="K2651" s="61"/>
    </row>
    <row r="2652" spans="1:11" ht="12.75" x14ac:dyDescent="0.2">
      <c r="K2652" s="61"/>
    </row>
    <row r="2653" spans="1:11" s="59" customFormat="1" ht="15" x14ac:dyDescent="0.25">
      <c r="A2653"/>
      <c r="B2653"/>
      <c r="C2653"/>
      <c r="D2653"/>
      <c r="E2653"/>
      <c r="F2653"/>
      <c r="G2653"/>
      <c r="H2653"/>
      <c r="I2653"/>
      <c r="J2653"/>
    </row>
    <row r="2654" spans="1:11" s="59" customFormat="1" ht="15" x14ac:dyDescent="0.25">
      <c r="A2654"/>
      <c r="B2654"/>
      <c r="C2654"/>
      <c r="D2654"/>
      <c r="E2654"/>
      <c r="F2654"/>
      <c r="G2654"/>
      <c r="H2654"/>
      <c r="I2654"/>
      <c r="J2654"/>
    </row>
    <row r="2655" spans="1:11" ht="12.75" x14ac:dyDescent="0.2"/>
    <row r="2656" spans="1:11" ht="14.25" customHeight="1" x14ac:dyDescent="0.2">
      <c r="K2656" s="68"/>
    </row>
    <row r="2657" spans="1:18" ht="14.25" customHeight="1" x14ac:dyDescent="0.2">
      <c r="K2657" s="68"/>
    </row>
    <row r="2658" spans="1:18" ht="12.75" x14ac:dyDescent="0.2">
      <c r="K2658" s="68"/>
    </row>
    <row r="2659" spans="1:18" ht="14.25" customHeight="1" x14ac:dyDescent="0.2">
      <c r="K2659" s="17"/>
    </row>
    <row r="2660" spans="1:18" ht="12.75" x14ac:dyDescent="0.2">
      <c r="K2660" s="17"/>
    </row>
    <row r="2661" spans="1:18" ht="12.75" x14ac:dyDescent="0.2">
      <c r="K2661" s="17"/>
    </row>
    <row r="2662" spans="1:18" ht="12.75" x14ac:dyDescent="0.2">
      <c r="K2662" s="17"/>
    </row>
    <row r="2663" spans="1:18" ht="12.75" x14ac:dyDescent="0.2">
      <c r="K2663" s="17"/>
    </row>
    <row r="2664" spans="1:18" ht="12.75" x14ac:dyDescent="0.2">
      <c r="K2664" s="17"/>
      <c r="R2664" s="17"/>
    </row>
    <row r="2665" spans="1:18" ht="12.75" x14ac:dyDescent="0.2">
      <c r="K2665" s="17"/>
    </row>
    <row r="2666" spans="1:18" ht="12.75" x14ac:dyDescent="0.2">
      <c r="K2666" s="17"/>
    </row>
    <row r="2667" spans="1:18" ht="12.75" x14ac:dyDescent="0.2"/>
    <row r="2668" spans="1:18" s="17" customFormat="1" ht="12.75" x14ac:dyDescent="0.2">
      <c r="A2668"/>
      <c r="B2668"/>
      <c r="C2668"/>
      <c r="D2668"/>
      <c r="E2668"/>
      <c r="F2668"/>
      <c r="G2668"/>
      <c r="H2668"/>
      <c r="I2668"/>
      <c r="J2668"/>
    </row>
    <row r="2669" spans="1:18" s="92" customFormat="1" ht="15" x14ac:dyDescent="0.2">
      <c r="A2669"/>
      <c r="B2669"/>
      <c r="C2669"/>
      <c r="D2669"/>
      <c r="E2669"/>
      <c r="F2669"/>
      <c r="G2669"/>
      <c r="H2669"/>
      <c r="I2669"/>
      <c r="J2669"/>
      <c r="K2669" s="19"/>
    </row>
    <row r="2670" spans="1:18" ht="12.75" x14ac:dyDescent="0.2"/>
    <row r="2671" spans="1:18" ht="12" customHeight="1" x14ac:dyDescent="0.2"/>
    <row r="2672" spans="1:18" ht="12.75" x14ac:dyDescent="0.2"/>
    <row r="2673" spans="1:11" ht="12.75" x14ac:dyDescent="0.2"/>
    <row r="2674" spans="1:11" ht="12.75" x14ac:dyDescent="0.2">
      <c r="K2674" s="57"/>
    </row>
    <row r="2675" spans="1:11" ht="12.75" x14ac:dyDescent="0.2">
      <c r="K2675" s="58"/>
    </row>
    <row r="2676" spans="1:11" ht="12.75" x14ac:dyDescent="0.2">
      <c r="K2676" s="58"/>
    </row>
    <row r="2677" spans="1:11" ht="12.75" x14ac:dyDescent="0.2"/>
    <row r="2678" spans="1:11" ht="12.75" x14ac:dyDescent="0.2">
      <c r="K2678" s="61"/>
    </row>
    <row r="2679" spans="1:11" ht="12.75" x14ac:dyDescent="0.2">
      <c r="K2679" s="61"/>
    </row>
    <row r="2680" spans="1:11" s="59" customFormat="1" ht="15" x14ac:dyDescent="0.25">
      <c r="A2680"/>
      <c r="B2680"/>
      <c r="C2680"/>
      <c r="D2680"/>
      <c r="E2680"/>
      <c r="F2680"/>
      <c r="G2680"/>
      <c r="H2680"/>
      <c r="I2680"/>
      <c r="J2680"/>
    </row>
    <row r="2681" spans="1:11" s="59" customFormat="1" ht="15" x14ac:dyDescent="0.25">
      <c r="A2681"/>
      <c r="B2681"/>
      <c r="C2681"/>
      <c r="D2681"/>
      <c r="E2681"/>
      <c r="F2681"/>
      <c r="G2681"/>
      <c r="H2681"/>
      <c r="I2681"/>
      <c r="J2681"/>
    </row>
    <row r="2682" spans="1:11" ht="12.75" x14ac:dyDescent="0.2"/>
    <row r="2683" spans="1:11" ht="14.25" customHeight="1" x14ac:dyDescent="0.2">
      <c r="K2683" s="68"/>
    </row>
    <row r="2684" spans="1:11" ht="14.25" customHeight="1" x14ac:dyDescent="0.2">
      <c r="K2684" s="68"/>
    </row>
    <row r="2685" spans="1:11" ht="12.75" x14ac:dyDescent="0.2">
      <c r="K2685" s="68"/>
    </row>
    <row r="2686" spans="1:11" ht="14.25" customHeight="1" x14ac:dyDescent="0.2">
      <c r="K2686" s="17"/>
    </row>
    <row r="2687" spans="1:11" ht="12.75" x14ac:dyDescent="0.2">
      <c r="K2687" s="17"/>
    </row>
    <row r="2688" spans="1:11" ht="12.75" x14ac:dyDescent="0.2">
      <c r="K2688" s="17"/>
    </row>
    <row r="2689" spans="1:18" ht="12.75" x14ac:dyDescent="0.2">
      <c r="K2689" s="17"/>
    </row>
    <row r="2690" spans="1:18" ht="12.75" x14ac:dyDescent="0.2">
      <c r="K2690" s="17"/>
    </row>
    <row r="2691" spans="1:18" ht="12.75" x14ac:dyDescent="0.2">
      <c r="K2691" s="17"/>
      <c r="R2691" s="17"/>
    </row>
    <row r="2692" spans="1:18" ht="12.75" x14ac:dyDescent="0.2">
      <c r="K2692" s="17"/>
    </row>
    <row r="2693" spans="1:18" ht="12.75" x14ac:dyDescent="0.2">
      <c r="K2693" s="17"/>
    </row>
    <row r="2694" spans="1:18" ht="12.75" x14ac:dyDescent="0.2"/>
    <row r="2695" spans="1:18" s="17" customFormat="1" ht="12.75" x14ac:dyDescent="0.2">
      <c r="A2695"/>
      <c r="B2695"/>
      <c r="C2695"/>
      <c r="D2695"/>
      <c r="E2695"/>
      <c r="F2695"/>
      <c r="G2695"/>
      <c r="H2695"/>
      <c r="I2695"/>
      <c r="J2695"/>
    </row>
    <row r="2696" spans="1:18" s="92" customFormat="1" ht="15" x14ac:dyDescent="0.2">
      <c r="A2696"/>
      <c r="B2696"/>
      <c r="C2696"/>
      <c r="D2696"/>
      <c r="E2696"/>
      <c r="F2696"/>
      <c r="G2696"/>
      <c r="H2696"/>
      <c r="I2696"/>
      <c r="J2696"/>
      <c r="K2696" s="19"/>
    </row>
    <row r="2697" spans="1:18" ht="12.75" x14ac:dyDescent="0.2"/>
    <row r="2698" spans="1:18" ht="12" customHeight="1" x14ac:dyDescent="0.2"/>
    <row r="2699" spans="1:18" ht="12.75" x14ac:dyDescent="0.2"/>
    <row r="2700" spans="1:18" ht="12.75" x14ac:dyDescent="0.2"/>
    <row r="2701" spans="1:18" ht="12.75" x14ac:dyDescent="0.2">
      <c r="K2701" s="57"/>
    </row>
    <row r="2702" spans="1:18" ht="12.75" x14ac:dyDescent="0.2">
      <c r="K2702" s="58"/>
    </row>
    <row r="2703" spans="1:18" ht="12.75" x14ac:dyDescent="0.2">
      <c r="K2703" s="58"/>
    </row>
    <row r="2704" spans="1:18" ht="12.75" x14ac:dyDescent="0.2"/>
    <row r="2705" spans="1:18" ht="12.75" x14ac:dyDescent="0.2">
      <c r="K2705" s="61"/>
    </row>
    <row r="2706" spans="1:18" ht="12.75" x14ac:dyDescent="0.2">
      <c r="K2706" s="61"/>
    </row>
    <row r="2707" spans="1:18" s="59" customFormat="1" ht="15" x14ac:dyDescent="0.25">
      <c r="A2707"/>
      <c r="B2707"/>
      <c r="C2707"/>
      <c r="D2707"/>
      <c r="E2707"/>
      <c r="F2707"/>
      <c r="G2707"/>
      <c r="H2707"/>
      <c r="I2707"/>
      <c r="J2707"/>
    </row>
    <row r="2708" spans="1:18" s="59" customFormat="1" ht="15" x14ac:dyDescent="0.25">
      <c r="A2708"/>
      <c r="B2708"/>
      <c r="C2708"/>
      <c r="D2708"/>
      <c r="E2708"/>
      <c r="F2708"/>
      <c r="G2708"/>
      <c r="H2708"/>
      <c r="I2708"/>
      <c r="J2708"/>
    </row>
    <row r="2709" spans="1:18" ht="12.75" x14ac:dyDescent="0.2"/>
    <row r="2710" spans="1:18" ht="14.25" customHeight="1" x14ac:dyDescent="0.2">
      <c r="K2710" s="68"/>
    </row>
    <row r="2711" spans="1:18" ht="14.25" customHeight="1" x14ac:dyDescent="0.2">
      <c r="K2711" s="68"/>
    </row>
    <row r="2712" spans="1:18" ht="12.75" x14ac:dyDescent="0.2">
      <c r="K2712" s="68"/>
    </row>
    <row r="2713" spans="1:18" ht="14.25" customHeight="1" x14ac:dyDescent="0.2">
      <c r="K2713" s="17"/>
    </row>
    <row r="2714" spans="1:18" ht="12.75" x14ac:dyDescent="0.2">
      <c r="K2714" s="17"/>
    </row>
    <row r="2715" spans="1:18" ht="12.75" x14ac:dyDescent="0.2">
      <c r="K2715" s="17"/>
    </row>
    <row r="2716" spans="1:18" ht="12.75" x14ac:dyDescent="0.2">
      <c r="K2716" s="17"/>
    </row>
    <row r="2717" spans="1:18" ht="12.75" x14ac:dyDescent="0.2">
      <c r="K2717" s="17"/>
    </row>
    <row r="2718" spans="1:18" ht="12.75" x14ac:dyDescent="0.2">
      <c r="K2718" s="17"/>
      <c r="R2718" s="17"/>
    </row>
    <row r="2719" spans="1:18" ht="12.75" x14ac:dyDescent="0.2">
      <c r="K2719" s="17"/>
    </row>
    <row r="2720" spans="1:18" ht="12.75" x14ac:dyDescent="0.2">
      <c r="K2720" s="17"/>
    </row>
    <row r="2721" spans="1:11" ht="12.75" x14ac:dyDescent="0.2"/>
    <row r="2722" spans="1:11" s="17" customFormat="1" ht="12.75" x14ac:dyDescent="0.2">
      <c r="A2722"/>
      <c r="B2722"/>
      <c r="C2722"/>
      <c r="D2722"/>
      <c r="E2722"/>
      <c r="F2722"/>
      <c r="G2722"/>
      <c r="H2722"/>
      <c r="I2722"/>
      <c r="J2722"/>
    </row>
    <row r="2723" spans="1:11" s="92" customFormat="1" ht="15" x14ac:dyDescent="0.2">
      <c r="A2723"/>
      <c r="B2723"/>
      <c r="C2723"/>
      <c r="D2723"/>
      <c r="E2723"/>
      <c r="F2723"/>
      <c r="G2723"/>
      <c r="H2723"/>
      <c r="I2723"/>
      <c r="J2723"/>
      <c r="K2723" s="19"/>
    </row>
    <row r="2724" spans="1:11" ht="12.75" x14ac:dyDescent="0.2"/>
    <row r="2725" spans="1:11" ht="12" customHeight="1" x14ac:dyDescent="0.2"/>
    <row r="2726" spans="1:11" ht="12.75" x14ac:dyDescent="0.2"/>
    <row r="2727" spans="1:11" ht="12.75" x14ac:dyDescent="0.2"/>
    <row r="2728" spans="1:11" ht="12.75" x14ac:dyDescent="0.2">
      <c r="K2728" s="57"/>
    </row>
    <row r="2729" spans="1:11" ht="12.75" x14ac:dyDescent="0.2">
      <c r="K2729" s="58"/>
    </row>
    <row r="2730" spans="1:11" ht="12.75" x14ac:dyDescent="0.2">
      <c r="K2730" s="58"/>
    </row>
    <row r="2731" spans="1:11" ht="12.75" x14ac:dyDescent="0.2"/>
    <row r="2732" spans="1:11" ht="12.75" x14ac:dyDescent="0.2">
      <c r="K2732" s="61"/>
    </row>
    <row r="2733" spans="1:11" ht="12.75" x14ac:dyDescent="0.2">
      <c r="K2733" s="61"/>
    </row>
    <row r="2734" spans="1:11" s="59" customFormat="1" ht="15" x14ac:dyDescent="0.25">
      <c r="A2734"/>
      <c r="B2734"/>
      <c r="C2734"/>
      <c r="D2734"/>
      <c r="E2734"/>
      <c r="F2734"/>
      <c r="G2734"/>
      <c r="H2734"/>
      <c r="I2734"/>
      <c r="J2734"/>
    </row>
    <row r="2735" spans="1:11" s="59" customFormat="1" ht="15" x14ac:dyDescent="0.25">
      <c r="A2735"/>
      <c r="B2735"/>
      <c r="C2735"/>
      <c r="D2735"/>
      <c r="E2735"/>
      <c r="F2735"/>
      <c r="G2735"/>
      <c r="H2735"/>
      <c r="I2735"/>
      <c r="J2735"/>
    </row>
    <row r="2736" spans="1:11" ht="12.75" x14ac:dyDescent="0.2"/>
    <row r="2737" spans="1:18" ht="14.25" customHeight="1" x14ac:dyDescent="0.2">
      <c r="K2737" s="68"/>
    </row>
    <row r="2738" spans="1:18" ht="14.25" customHeight="1" x14ac:dyDescent="0.2">
      <c r="K2738" s="68"/>
    </row>
    <row r="2739" spans="1:18" ht="12.75" x14ac:dyDescent="0.2">
      <c r="K2739" s="68"/>
    </row>
    <row r="2740" spans="1:18" ht="14.25" customHeight="1" x14ac:dyDescent="0.2">
      <c r="K2740" s="17"/>
    </row>
    <row r="2741" spans="1:18" ht="12.75" x14ac:dyDescent="0.2">
      <c r="K2741" s="17"/>
    </row>
    <row r="2742" spans="1:18" ht="12.75" x14ac:dyDescent="0.2">
      <c r="K2742" s="17"/>
    </row>
    <row r="2743" spans="1:18" ht="12.75" x14ac:dyDescent="0.2">
      <c r="K2743" s="17"/>
    </row>
    <row r="2744" spans="1:18" ht="12.75" x14ac:dyDescent="0.2">
      <c r="K2744" s="17"/>
    </row>
    <row r="2745" spans="1:18" ht="12.75" x14ac:dyDescent="0.2">
      <c r="K2745" s="17"/>
      <c r="R2745" s="17"/>
    </row>
    <row r="2746" spans="1:18" ht="12.75" x14ac:dyDescent="0.2">
      <c r="K2746" s="17"/>
    </row>
    <row r="2747" spans="1:18" ht="12.75" x14ac:dyDescent="0.2">
      <c r="K2747" s="17"/>
    </row>
    <row r="2748" spans="1:18" ht="12.75" x14ac:dyDescent="0.2"/>
    <row r="2749" spans="1:18" s="17" customFormat="1" ht="12.75" x14ac:dyDescent="0.2">
      <c r="A2749"/>
      <c r="B2749"/>
      <c r="C2749"/>
      <c r="D2749"/>
      <c r="E2749"/>
      <c r="F2749"/>
      <c r="G2749"/>
      <c r="H2749"/>
      <c r="I2749"/>
      <c r="J2749"/>
    </row>
    <row r="2750" spans="1:18" s="92" customFormat="1" ht="15" x14ac:dyDescent="0.2">
      <c r="A2750"/>
      <c r="B2750"/>
      <c r="C2750"/>
      <c r="D2750"/>
      <c r="E2750"/>
      <c r="F2750"/>
      <c r="G2750"/>
      <c r="H2750"/>
      <c r="I2750"/>
      <c r="J2750"/>
      <c r="K2750" s="19"/>
    </row>
    <row r="2751" spans="1:18" ht="12.75" x14ac:dyDescent="0.2"/>
    <row r="2752" spans="1:18" ht="12" customHeight="1" x14ac:dyDescent="0.2"/>
    <row r="2753" spans="1:11" ht="12.75" x14ac:dyDescent="0.2"/>
    <row r="2754" spans="1:11" ht="12.75" x14ac:dyDescent="0.2"/>
    <row r="2755" spans="1:11" ht="12.75" x14ac:dyDescent="0.2">
      <c r="K2755" s="57"/>
    </row>
    <row r="2756" spans="1:11" ht="12.75" x14ac:dyDescent="0.2">
      <c r="K2756" s="58"/>
    </row>
    <row r="2757" spans="1:11" ht="12.75" x14ac:dyDescent="0.2">
      <c r="K2757" s="58"/>
    </row>
    <row r="2758" spans="1:11" ht="12.75" x14ac:dyDescent="0.2"/>
    <row r="2759" spans="1:11" ht="12.75" x14ac:dyDescent="0.2">
      <c r="K2759" s="61"/>
    </row>
    <row r="2760" spans="1:11" ht="12.75" x14ac:dyDescent="0.2">
      <c r="K2760" s="61"/>
    </row>
    <row r="2761" spans="1:11" s="59" customFormat="1" ht="15" x14ac:dyDescent="0.25">
      <c r="A2761"/>
      <c r="B2761"/>
      <c r="C2761"/>
      <c r="D2761"/>
      <c r="E2761"/>
      <c r="F2761"/>
      <c r="G2761"/>
      <c r="H2761"/>
      <c r="I2761"/>
      <c r="J2761"/>
    </row>
    <row r="2762" spans="1:11" s="59" customFormat="1" ht="15" x14ac:dyDescent="0.25">
      <c r="A2762"/>
      <c r="B2762"/>
      <c r="C2762"/>
      <c r="D2762"/>
      <c r="E2762"/>
      <c r="F2762"/>
      <c r="G2762"/>
      <c r="H2762"/>
      <c r="I2762"/>
      <c r="J2762"/>
    </row>
    <row r="2763" spans="1:11" ht="12.75" x14ac:dyDescent="0.2"/>
    <row r="2764" spans="1:11" ht="14.25" customHeight="1" x14ac:dyDescent="0.2">
      <c r="K2764" s="68"/>
    </row>
    <row r="2765" spans="1:11" ht="14.25" customHeight="1" x14ac:dyDescent="0.2">
      <c r="K2765" s="68"/>
    </row>
    <row r="2766" spans="1:11" ht="12.75" x14ac:dyDescent="0.2">
      <c r="K2766" s="68"/>
    </row>
    <row r="2767" spans="1:11" ht="14.25" customHeight="1" x14ac:dyDescent="0.2">
      <c r="K2767" s="17"/>
    </row>
    <row r="2768" spans="1:11" ht="12.75" x14ac:dyDescent="0.2">
      <c r="K2768" s="17"/>
    </row>
    <row r="2769" spans="1:18" ht="12.75" x14ac:dyDescent="0.2">
      <c r="K2769" s="17"/>
    </row>
    <row r="2770" spans="1:18" ht="12.75" x14ac:dyDescent="0.2">
      <c r="K2770" s="17"/>
    </row>
    <row r="2771" spans="1:18" ht="12.75" x14ac:dyDescent="0.2">
      <c r="K2771" s="17"/>
    </row>
    <row r="2772" spans="1:18" ht="12.75" x14ac:dyDescent="0.2">
      <c r="K2772" s="17"/>
      <c r="R2772" s="17"/>
    </row>
    <row r="2773" spans="1:18" ht="12.75" x14ac:dyDescent="0.2">
      <c r="K2773" s="17"/>
    </row>
    <row r="2774" spans="1:18" ht="12.75" x14ac:dyDescent="0.2">
      <c r="K2774" s="17"/>
    </row>
    <row r="2775" spans="1:18" ht="12.75" x14ac:dyDescent="0.2"/>
    <row r="2776" spans="1:18" s="17" customFormat="1" ht="12.75" x14ac:dyDescent="0.2">
      <c r="A2776"/>
      <c r="B2776"/>
      <c r="C2776"/>
      <c r="D2776"/>
      <c r="E2776"/>
      <c r="F2776"/>
      <c r="G2776"/>
      <c r="H2776"/>
      <c r="I2776"/>
      <c r="J2776"/>
    </row>
    <row r="2777" spans="1:18" s="92" customFormat="1" ht="15" x14ac:dyDescent="0.2">
      <c r="A2777"/>
      <c r="B2777"/>
      <c r="C2777"/>
      <c r="D2777"/>
      <c r="E2777"/>
      <c r="F2777"/>
      <c r="G2777"/>
      <c r="H2777"/>
      <c r="I2777"/>
      <c r="J2777"/>
      <c r="K2777" s="19"/>
    </row>
    <row r="2778" spans="1:18" ht="12.75" x14ac:dyDescent="0.2"/>
    <row r="2779" spans="1:18" ht="12" customHeight="1" x14ac:dyDescent="0.2"/>
    <row r="2780" spans="1:18" ht="12.75" x14ac:dyDescent="0.2"/>
    <row r="2781" spans="1:18" ht="12.75" x14ac:dyDescent="0.2"/>
    <row r="2782" spans="1:18" ht="12.75" x14ac:dyDescent="0.2">
      <c r="K2782" s="57"/>
    </row>
    <row r="2783" spans="1:18" ht="12.75" x14ac:dyDescent="0.2">
      <c r="K2783" s="58"/>
    </row>
    <row r="2784" spans="1:18" ht="12.75" x14ac:dyDescent="0.2">
      <c r="K2784" s="58"/>
    </row>
    <row r="2785" spans="1:18" ht="12.75" x14ac:dyDescent="0.2"/>
    <row r="2786" spans="1:18" ht="12.75" x14ac:dyDescent="0.2">
      <c r="K2786" s="61"/>
    </row>
    <row r="2787" spans="1:18" ht="12.75" x14ac:dyDescent="0.2">
      <c r="K2787" s="61"/>
    </row>
    <row r="2788" spans="1:18" s="59" customFormat="1" ht="15" x14ac:dyDescent="0.25">
      <c r="A2788"/>
      <c r="B2788"/>
      <c r="C2788"/>
      <c r="D2788"/>
      <c r="E2788"/>
      <c r="F2788"/>
      <c r="G2788"/>
      <c r="H2788"/>
      <c r="I2788"/>
      <c r="J2788"/>
    </row>
    <row r="2789" spans="1:18" s="59" customFormat="1" ht="15" x14ac:dyDescent="0.25">
      <c r="A2789"/>
      <c r="B2789"/>
      <c r="C2789"/>
      <c r="D2789"/>
      <c r="E2789"/>
      <c r="F2789"/>
      <c r="G2789"/>
      <c r="H2789"/>
      <c r="I2789"/>
      <c r="J2789"/>
    </row>
    <row r="2790" spans="1:18" ht="12.75" x14ac:dyDescent="0.2"/>
    <row r="2791" spans="1:18" ht="14.25" customHeight="1" x14ac:dyDescent="0.2">
      <c r="K2791" s="68"/>
    </row>
    <row r="2792" spans="1:18" ht="14.25" customHeight="1" x14ac:dyDescent="0.2">
      <c r="K2792" s="68"/>
    </row>
    <row r="2793" spans="1:18" ht="12.75" x14ac:dyDescent="0.2">
      <c r="K2793" s="68"/>
    </row>
    <row r="2794" spans="1:18" ht="14.25" customHeight="1" x14ac:dyDescent="0.2">
      <c r="K2794" s="17"/>
    </row>
    <row r="2795" spans="1:18" ht="12.75" x14ac:dyDescent="0.2">
      <c r="K2795" s="17"/>
    </row>
    <row r="2796" spans="1:18" ht="12.75" x14ac:dyDescent="0.2">
      <c r="K2796" s="17"/>
    </row>
    <row r="2797" spans="1:18" ht="12.75" x14ac:dyDescent="0.2">
      <c r="K2797" s="17"/>
    </row>
    <row r="2798" spans="1:18" ht="12.75" x14ac:dyDescent="0.2">
      <c r="K2798" s="17"/>
    </row>
    <row r="2799" spans="1:18" ht="12.75" x14ac:dyDescent="0.2">
      <c r="K2799" s="17"/>
      <c r="R2799" s="17"/>
    </row>
    <row r="2800" spans="1:18" ht="12.75" x14ac:dyDescent="0.2">
      <c r="K2800" s="17"/>
    </row>
    <row r="2801" spans="1:11" ht="12.75" x14ac:dyDescent="0.2">
      <c r="K2801" s="17"/>
    </row>
    <row r="2802" spans="1:11" ht="12.75" x14ac:dyDescent="0.2"/>
    <row r="2803" spans="1:11" s="17" customFormat="1" ht="12.75" x14ac:dyDescent="0.2">
      <c r="A2803"/>
      <c r="B2803"/>
      <c r="C2803"/>
      <c r="D2803"/>
      <c r="E2803"/>
      <c r="F2803"/>
      <c r="G2803"/>
      <c r="H2803"/>
      <c r="I2803"/>
      <c r="J2803"/>
    </row>
    <row r="2804" spans="1:11" s="92" customFormat="1" ht="15" x14ac:dyDescent="0.2">
      <c r="A2804"/>
      <c r="B2804"/>
      <c r="C2804"/>
      <c r="D2804"/>
      <c r="E2804"/>
      <c r="F2804"/>
      <c r="G2804"/>
      <c r="H2804"/>
      <c r="I2804"/>
      <c r="J2804"/>
      <c r="K2804" s="19"/>
    </row>
    <row r="2805" spans="1:11" ht="12.75" x14ac:dyDescent="0.2"/>
    <row r="2806" spans="1:11" ht="12" customHeight="1" x14ac:dyDescent="0.2"/>
    <row r="2807" spans="1:11" ht="12.75" x14ac:dyDescent="0.2"/>
    <row r="2808" spans="1:11" ht="12.75" x14ac:dyDescent="0.2"/>
    <row r="2809" spans="1:11" ht="12.75" x14ac:dyDescent="0.2">
      <c r="K2809" s="57"/>
    </row>
    <row r="2810" spans="1:11" ht="12.75" x14ac:dyDescent="0.2">
      <c r="K2810" s="58"/>
    </row>
    <row r="2811" spans="1:11" ht="12.75" x14ac:dyDescent="0.2">
      <c r="K2811" s="58"/>
    </row>
    <row r="2812" spans="1:11" ht="12.75" x14ac:dyDescent="0.2"/>
    <row r="2813" spans="1:11" ht="12.75" x14ac:dyDescent="0.2">
      <c r="K2813" s="61"/>
    </row>
    <row r="2814" spans="1:11" ht="12.75" x14ac:dyDescent="0.2">
      <c r="K2814" s="61"/>
    </row>
    <row r="2815" spans="1:11" s="59" customFormat="1" ht="15" x14ac:dyDescent="0.25">
      <c r="A2815"/>
      <c r="B2815"/>
      <c r="C2815"/>
      <c r="D2815"/>
      <c r="E2815"/>
      <c r="F2815"/>
      <c r="G2815"/>
      <c r="H2815"/>
      <c r="I2815"/>
      <c r="J2815"/>
    </row>
    <row r="2816" spans="1:11" s="59" customFormat="1" ht="15" x14ac:dyDescent="0.25">
      <c r="A2816"/>
      <c r="B2816"/>
      <c r="C2816"/>
      <c r="D2816"/>
      <c r="E2816"/>
      <c r="F2816"/>
      <c r="G2816"/>
      <c r="H2816"/>
      <c r="I2816"/>
      <c r="J2816"/>
    </row>
    <row r="2817" spans="1:18" ht="12.75" x14ac:dyDescent="0.2"/>
    <row r="2818" spans="1:18" ht="14.25" customHeight="1" x14ac:dyDescent="0.2">
      <c r="K2818" s="68"/>
    </row>
    <row r="2819" spans="1:18" ht="14.25" customHeight="1" x14ac:dyDescent="0.2">
      <c r="K2819" s="68"/>
    </row>
    <row r="2820" spans="1:18" ht="12.75" x14ac:dyDescent="0.2">
      <c r="K2820" s="68"/>
    </row>
    <row r="2821" spans="1:18" ht="14.25" customHeight="1" x14ac:dyDescent="0.2">
      <c r="K2821" s="17"/>
    </row>
    <row r="2822" spans="1:18" ht="12.75" x14ac:dyDescent="0.2">
      <c r="K2822" s="17"/>
    </row>
    <row r="2823" spans="1:18" ht="12.75" x14ac:dyDescent="0.2">
      <c r="K2823" s="17"/>
    </row>
    <row r="2824" spans="1:18" ht="12.75" x14ac:dyDescent="0.2">
      <c r="K2824" s="17"/>
    </row>
    <row r="2825" spans="1:18" ht="12.75" x14ac:dyDescent="0.2">
      <c r="K2825" s="17"/>
    </row>
    <row r="2826" spans="1:18" ht="12.75" x14ac:dyDescent="0.2">
      <c r="K2826" s="17"/>
      <c r="R2826" s="17"/>
    </row>
    <row r="2827" spans="1:18" ht="12.75" x14ac:dyDescent="0.2">
      <c r="K2827" s="17"/>
    </row>
    <row r="2828" spans="1:18" ht="12.75" x14ac:dyDescent="0.2">
      <c r="K2828" s="17"/>
    </row>
    <row r="2829" spans="1:18" ht="12.75" x14ac:dyDescent="0.2"/>
    <row r="2830" spans="1:18" s="17" customFormat="1" ht="12.75" x14ac:dyDescent="0.2">
      <c r="A2830"/>
      <c r="B2830"/>
      <c r="C2830"/>
      <c r="D2830"/>
      <c r="E2830"/>
      <c r="F2830"/>
      <c r="G2830"/>
      <c r="H2830"/>
      <c r="I2830"/>
      <c r="J2830"/>
    </row>
    <row r="2831" spans="1:18" s="92" customFormat="1" ht="15" x14ac:dyDescent="0.2">
      <c r="A2831"/>
      <c r="B2831"/>
      <c r="C2831"/>
      <c r="D2831"/>
      <c r="E2831"/>
      <c r="F2831"/>
      <c r="G2831"/>
      <c r="H2831"/>
      <c r="I2831"/>
      <c r="J2831"/>
      <c r="K2831" s="19"/>
    </row>
    <row r="2832" spans="1:18" ht="12.75" x14ac:dyDescent="0.2"/>
    <row r="2833" spans="1:11" ht="12" customHeight="1" x14ac:dyDescent="0.2"/>
    <row r="2834" spans="1:11" ht="12.75" x14ac:dyDescent="0.2"/>
    <row r="2835" spans="1:11" ht="12.75" x14ac:dyDescent="0.2"/>
    <row r="2836" spans="1:11" ht="12.75" x14ac:dyDescent="0.2">
      <c r="K2836" s="57"/>
    </row>
    <row r="2837" spans="1:11" ht="12.75" x14ac:dyDescent="0.2">
      <c r="K2837" s="58"/>
    </row>
    <row r="2838" spans="1:11" ht="12.75" x14ac:dyDescent="0.2">
      <c r="K2838" s="58"/>
    </row>
    <row r="2839" spans="1:11" ht="12.75" x14ac:dyDescent="0.2"/>
    <row r="2840" spans="1:11" ht="12.75" x14ac:dyDescent="0.2">
      <c r="K2840" s="61"/>
    </row>
    <row r="2841" spans="1:11" ht="12.75" x14ac:dyDescent="0.2">
      <c r="K2841" s="61"/>
    </row>
    <row r="2842" spans="1:11" s="59" customFormat="1" ht="15" x14ac:dyDescent="0.25">
      <c r="A2842"/>
      <c r="B2842"/>
      <c r="C2842"/>
      <c r="D2842"/>
      <c r="E2842"/>
      <c r="F2842"/>
      <c r="G2842"/>
      <c r="H2842"/>
      <c r="I2842"/>
      <c r="J2842"/>
    </row>
    <row r="2843" spans="1:11" s="59" customFormat="1" ht="15" x14ac:dyDescent="0.25">
      <c r="A2843"/>
      <c r="B2843"/>
      <c r="C2843"/>
      <c r="D2843"/>
      <c r="E2843"/>
      <c r="F2843"/>
      <c r="G2843"/>
      <c r="H2843"/>
      <c r="I2843"/>
      <c r="J2843"/>
    </row>
    <row r="2844" spans="1:11" ht="12.75" x14ac:dyDescent="0.2"/>
    <row r="2845" spans="1:11" ht="14.25" customHeight="1" x14ac:dyDescent="0.2">
      <c r="K2845" s="68"/>
    </row>
    <row r="2846" spans="1:11" ht="14.25" customHeight="1" x14ac:dyDescent="0.2">
      <c r="K2846" s="68"/>
    </row>
    <row r="2847" spans="1:11" ht="12.75" x14ac:dyDescent="0.2">
      <c r="K2847" s="68"/>
    </row>
    <row r="2848" spans="1:11" ht="14.25" customHeight="1" x14ac:dyDescent="0.2">
      <c r="K2848" s="17"/>
    </row>
    <row r="2849" spans="1:18" ht="12.75" x14ac:dyDescent="0.2">
      <c r="K2849" s="17"/>
    </row>
    <row r="2850" spans="1:18" ht="12.75" x14ac:dyDescent="0.2">
      <c r="K2850" s="17"/>
    </row>
    <row r="2851" spans="1:18" ht="12.75" x14ac:dyDescent="0.2">
      <c r="K2851" s="17"/>
    </row>
    <row r="2852" spans="1:18" ht="12.75" x14ac:dyDescent="0.2">
      <c r="K2852" s="17"/>
    </row>
    <row r="2853" spans="1:18" ht="12.75" x14ac:dyDescent="0.2">
      <c r="K2853" s="17"/>
      <c r="R2853" s="17"/>
    </row>
    <row r="2854" spans="1:18" ht="12.75" x14ac:dyDescent="0.2">
      <c r="K2854" s="17"/>
    </row>
    <row r="2855" spans="1:18" ht="12.75" x14ac:dyDescent="0.2">
      <c r="K2855" s="17"/>
    </row>
    <row r="2856" spans="1:18" ht="12.75" x14ac:dyDescent="0.2"/>
    <row r="2857" spans="1:18" s="17" customFormat="1" ht="12.75" x14ac:dyDescent="0.2">
      <c r="A2857"/>
      <c r="B2857"/>
      <c r="C2857"/>
      <c r="D2857"/>
      <c r="E2857"/>
      <c r="F2857"/>
      <c r="G2857"/>
      <c r="H2857"/>
      <c r="I2857"/>
      <c r="J2857"/>
    </row>
    <row r="2858" spans="1:18" s="92" customFormat="1" ht="15" x14ac:dyDescent="0.2">
      <c r="A2858"/>
      <c r="B2858"/>
      <c r="C2858"/>
      <c r="D2858"/>
      <c r="E2858"/>
      <c r="F2858"/>
      <c r="G2858"/>
      <c r="H2858"/>
      <c r="I2858"/>
      <c r="J2858"/>
      <c r="K2858" s="19"/>
    </row>
    <row r="2859" spans="1:18" ht="12.75" x14ac:dyDescent="0.2"/>
    <row r="2860" spans="1:18" ht="12" customHeight="1" x14ac:dyDescent="0.2"/>
    <row r="2861" spans="1:18" ht="12.75" x14ac:dyDescent="0.2"/>
    <row r="2862" spans="1:18" ht="12.75" x14ac:dyDescent="0.2"/>
    <row r="2863" spans="1:18" ht="12.75" x14ac:dyDescent="0.2">
      <c r="K2863" s="57"/>
    </row>
    <row r="2864" spans="1:18" ht="12.75" x14ac:dyDescent="0.2">
      <c r="K2864" s="58"/>
    </row>
    <row r="2865" spans="1:18" ht="12.75" x14ac:dyDescent="0.2">
      <c r="K2865" s="58"/>
    </row>
    <row r="2866" spans="1:18" ht="12.75" x14ac:dyDescent="0.2"/>
    <row r="2867" spans="1:18" ht="12.75" x14ac:dyDescent="0.2">
      <c r="K2867" s="61"/>
    </row>
    <row r="2868" spans="1:18" ht="12.75" x14ac:dyDescent="0.2">
      <c r="K2868" s="61"/>
    </row>
    <row r="2869" spans="1:18" s="59" customFormat="1" ht="15" x14ac:dyDescent="0.25">
      <c r="A2869"/>
      <c r="B2869"/>
      <c r="C2869"/>
      <c r="D2869"/>
      <c r="E2869"/>
      <c r="F2869"/>
      <c r="G2869"/>
      <c r="H2869"/>
      <c r="I2869"/>
      <c r="J2869"/>
    </row>
    <row r="2870" spans="1:18" s="59" customFormat="1" ht="15" x14ac:dyDescent="0.25">
      <c r="A2870"/>
      <c r="B2870"/>
      <c r="C2870"/>
      <c r="D2870"/>
      <c r="E2870"/>
      <c r="F2870"/>
      <c r="G2870"/>
      <c r="H2870"/>
      <c r="I2870"/>
      <c r="J2870"/>
    </row>
    <row r="2871" spans="1:18" ht="12.75" x14ac:dyDescent="0.2"/>
    <row r="2872" spans="1:18" ht="14.25" customHeight="1" x14ac:dyDescent="0.2">
      <c r="K2872" s="68"/>
    </row>
    <row r="2873" spans="1:18" ht="14.25" customHeight="1" x14ac:dyDescent="0.2">
      <c r="K2873" s="68"/>
    </row>
    <row r="2874" spans="1:18" ht="12.75" x14ac:dyDescent="0.2">
      <c r="K2874" s="68"/>
    </row>
    <row r="2875" spans="1:18" ht="14.25" customHeight="1" x14ac:dyDescent="0.2">
      <c r="K2875" s="17"/>
    </row>
    <row r="2876" spans="1:18" ht="12.75" x14ac:dyDescent="0.2">
      <c r="K2876" s="17"/>
    </row>
    <row r="2877" spans="1:18" ht="12.75" x14ac:dyDescent="0.2">
      <c r="K2877" s="17"/>
    </row>
    <row r="2878" spans="1:18" ht="12.75" x14ac:dyDescent="0.2">
      <c r="K2878" s="17"/>
    </row>
    <row r="2879" spans="1:18" ht="12.75" x14ac:dyDescent="0.2">
      <c r="K2879" s="17"/>
    </row>
    <row r="2880" spans="1:18" ht="12.75" x14ac:dyDescent="0.2">
      <c r="K2880" s="17"/>
      <c r="R2880" s="17"/>
    </row>
    <row r="2881" spans="1:11" ht="12.75" x14ac:dyDescent="0.2">
      <c r="K2881" s="17"/>
    </row>
    <row r="2882" spans="1:11" ht="12.75" x14ac:dyDescent="0.2">
      <c r="K2882" s="17"/>
    </row>
    <row r="2883" spans="1:11" ht="12.75" x14ac:dyDescent="0.2"/>
    <row r="2884" spans="1:11" s="17" customFormat="1" ht="12.75" x14ac:dyDescent="0.2">
      <c r="A2884"/>
      <c r="B2884"/>
      <c r="C2884"/>
      <c r="D2884"/>
      <c r="E2884"/>
      <c r="F2884"/>
      <c r="G2884"/>
      <c r="H2884"/>
      <c r="I2884"/>
      <c r="J2884"/>
    </row>
    <row r="2885" spans="1:11" s="92" customFormat="1" ht="15" x14ac:dyDescent="0.2">
      <c r="A2885"/>
      <c r="B2885"/>
      <c r="C2885"/>
      <c r="D2885"/>
      <c r="E2885"/>
      <c r="F2885"/>
      <c r="G2885"/>
      <c r="H2885"/>
      <c r="I2885"/>
      <c r="J2885"/>
      <c r="K2885" s="19"/>
    </row>
    <row r="2886" spans="1:11" ht="12.75" x14ac:dyDescent="0.2"/>
    <row r="2887" spans="1:11" ht="12" customHeight="1" x14ac:dyDescent="0.2"/>
    <row r="2888" spans="1:11" ht="12.75" x14ac:dyDescent="0.2"/>
    <row r="2889" spans="1:11" ht="12.75" x14ac:dyDescent="0.2"/>
    <row r="2890" spans="1:11" ht="12.75" x14ac:dyDescent="0.2">
      <c r="K2890" s="57"/>
    </row>
    <row r="2891" spans="1:11" ht="12.75" x14ac:dyDescent="0.2">
      <c r="K2891" s="58"/>
    </row>
    <row r="2892" spans="1:11" ht="12.75" x14ac:dyDescent="0.2">
      <c r="K2892" s="58"/>
    </row>
    <row r="2893" spans="1:11" ht="12.75" x14ac:dyDescent="0.2"/>
    <row r="2894" spans="1:11" ht="12.75" x14ac:dyDescent="0.2">
      <c r="K2894" s="61"/>
    </row>
    <row r="2895" spans="1:11" ht="12.75" x14ac:dyDescent="0.2">
      <c r="K2895" s="61"/>
    </row>
    <row r="2896" spans="1:11" s="59" customFormat="1" ht="15" x14ac:dyDescent="0.25">
      <c r="A2896"/>
      <c r="B2896"/>
      <c r="C2896"/>
      <c r="D2896"/>
      <c r="E2896"/>
      <c r="F2896"/>
      <c r="G2896"/>
      <c r="H2896"/>
      <c r="I2896"/>
      <c r="J2896"/>
    </row>
    <row r="2897" spans="1:18" s="59" customFormat="1" ht="15" x14ac:dyDescent="0.25">
      <c r="A2897"/>
      <c r="B2897"/>
      <c r="C2897"/>
      <c r="D2897"/>
      <c r="E2897"/>
      <c r="F2897"/>
      <c r="G2897"/>
      <c r="H2897"/>
      <c r="I2897"/>
      <c r="J2897"/>
    </row>
    <row r="2898" spans="1:18" ht="12.75" x14ac:dyDescent="0.2"/>
    <row r="2899" spans="1:18" ht="14.25" customHeight="1" x14ac:dyDescent="0.2">
      <c r="K2899" s="68"/>
    </row>
    <row r="2900" spans="1:18" ht="14.25" customHeight="1" x14ac:dyDescent="0.2">
      <c r="K2900" s="68"/>
    </row>
    <row r="2901" spans="1:18" ht="12.75" x14ac:dyDescent="0.2">
      <c r="K2901" s="68"/>
    </row>
    <row r="2902" spans="1:18" ht="14.25" customHeight="1" x14ac:dyDescent="0.2">
      <c r="K2902" s="17"/>
    </row>
    <row r="2903" spans="1:18" ht="12.75" x14ac:dyDescent="0.2">
      <c r="K2903" s="17"/>
    </row>
    <row r="2904" spans="1:18" ht="12.75" x14ac:dyDescent="0.2">
      <c r="K2904" s="17"/>
    </row>
    <row r="2905" spans="1:18" ht="12.75" x14ac:dyDescent="0.2">
      <c r="K2905" s="17"/>
    </row>
    <row r="2906" spans="1:18" ht="12.75" x14ac:dyDescent="0.2">
      <c r="K2906" s="17"/>
    </row>
    <row r="2907" spans="1:18" ht="12.75" x14ac:dyDescent="0.2">
      <c r="K2907" s="17"/>
      <c r="R2907" s="17"/>
    </row>
    <row r="2908" spans="1:18" ht="12.75" x14ac:dyDescent="0.2">
      <c r="K2908" s="17"/>
    </row>
    <row r="2909" spans="1:18" ht="12.75" x14ac:dyDescent="0.2">
      <c r="K2909" s="17"/>
    </row>
    <row r="2910" spans="1:18" ht="12.75" x14ac:dyDescent="0.2"/>
    <row r="2911" spans="1:18" s="17" customFormat="1" ht="12.75" x14ac:dyDescent="0.2">
      <c r="A2911"/>
      <c r="B2911"/>
      <c r="C2911"/>
      <c r="D2911"/>
      <c r="E2911"/>
      <c r="F2911"/>
      <c r="G2911"/>
      <c r="H2911"/>
      <c r="I2911"/>
      <c r="J2911"/>
    </row>
    <row r="2912" spans="1:18" s="92" customFormat="1" ht="15" x14ac:dyDescent="0.2">
      <c r="A2912"/>
      <c r="B2912"/>
      <c r="C2912"/>
      <c r="D2912"/>
      <c r="E2912"/>
      <c r="F2912"/>
      <c r="G2912"/>
      <c r="H2912"/>
      <c r="I2912"/>
      <c r="J2912"/>
      <c r="K2912" s="19"/>
    </row>
    <row r="2913" spans="1:11" ht="12.75" x14ac:dyDescent="0.2"/>
    <row r="2914" spans="1:11" ht="12" customHeight="1" x14ac:dyDescent="0.2"/>
    <row r="2915" spans="1:11" ht="12.75" x14ac:dyDescent="0.2"/>
    <row r="2916" spans="1:11" ht="12.75" x14ac:dyDescent="0.2"/>
    <row r="2917" spans="1:11" ht="12.75" x14ac:dyDescent="0.2">
      <c r="K2917" s="57"/>
    </row>
    <row r="2918" spans="1:11" ht="12.75" x14ac:dyDescent="0.2">
      <c r="K2918" s="58"/>
    </row>
    <row r="2919" spans="1:11" ht="12.75" x14ac:dyDescent="0.2">
      <c r="K2919" s="58"/>
    </row>
    <row r="2920" spans="1:11" ht="12.75" x14ac:dyDescent="0.2"/>
    <row r="2921" spans="1:11" ht="12.75" x14ac:dyDescent="0.2">
      <c r="K2921" s="61"/>
    </row>
    <row r="2922" spans="1:11" ht="12.75" x14ac:dyDescent="0.2">
      <c r="K2922" s="61"/>
    </row>
    <row r="2923" spans="1:11" s="59" customFormat="1" ht="15" x14ac:dyDescent="0.25">
      <c r="A2923"/>
      <c r="B2923"/>
      <c r="C2923"/>
      <c r="D2923"/>
      <c r="E2923"/>
      <c r="F2923"/>
      <c r="G2923"/>
      <c r="H2923"/>
      <c r="I2923"/>
      <c r="J2923"/>
    </row>
    <row r="2924" spans="1:11" s="59" customFormat="1" ht="15" x14ac:dyDescent="0.25">
      <c r="A2924"/>
      <c r="B2924"/>
      <c r="C2924"/>
      <c r="D2924"/>
      <c r="E2924"/>
      <c r="F2924"/>
      <c r="G2924"/>
      <c r="H2924"/>
      <c r="I2924"/>
      <c r="J2924"/>
    </row>
    <row r="2925" spans="1:11" ht="12.75" x14ac:dyDescent="0.2"/>
    <row r="2926" spans="1:11" ht="14.25" customHeight="1" x14ac:dyDescent="0.2">
      <c r="K2926" s="68"/>
    </row>
    <row r="2927" spans="1:11" ht="14.25" customHeight="1" x14ac:dyDescent="0.2">
      <c r="K2927" s="68"/>
    </row>
    <row r="2928" spans="1:11" ht="12.75" x14ac:dyDescent="0.2">
      <c r="K2928" s="68"/>
    </row>
    <row r="2929" spans="1:18" ht="14.25" customHeight="1" x14ac:dyDescent="0.2">
      <c r="K2929" s="17"/>
    </row>
    <row r="2930" spans="1:18" ht="12.75" x14ac:dyDescent="0.2">
      <c r="K2930" s="17"/>
    </row>
    <row r="2931" spans="1:18" ht="12.75" x14ac:dyDescent="0.2">
      <c r="K2931" s="17"/>
    </row>
    <row r="2932" spans="1:18" ht="12.75" x14ac:dyDescent="0.2">
      <c r="K2932" s="17"/>
    </row>
    <row r="2933" spans="1:18" ht="12.75" x14ac:dyDescent="0.2">
      <c r="K2933" s="17"/>
    </row>
    <row r="2934" spans="1:18" ht="12.75" x14ac:dyDescent="0.2">
      <c r="K2934" s="17"/>
      <c r="R2934" s="17"/>
    </row>
    <row r="2935" spans="1:18" ht="12.75" x14ac:dyDescent="0.2">
      <c r="K2935" s="17"/>
    </row>
    <row r="2936" spans="1:18" ht="12.75" x14ac:dyDescent="0.2">
      <c r="K2936" s="17"/>
    </row>
    <row r="2937" spans="1:18" ht="12.75" x14ac:dyDescent="0.2"/>
    <row r="2938" spans="1:18" s="17" customFormat="1" ht="12.75" x14ac:dyDescent="0.2">
      <c r="A2938"/>
      <c r="B2938"/>
      <c r="C2938"/>
      <c r="D2938"/>
      <c r="E2938"/>
      <c r="F2938"/>
      <c r="G2938"/>
      <c r="H2938"/>
      <c r="I2938"/>
      <c r="J2938"/>
    </row>
    <row r="2939" spans="1:18" s="92" customFormat="1" ht="15" x14ac:dyDescent="0.2">
      <c r="A2939"/>
      <c r="B2939"/>
      <c r="C2939"/>
      <c r="D2939"/>
      <c r="E2939"/>
      <c r="F2939"/>
      <c r="G2939"/>
      <c r="H2939"/>
      <c r="I2939"/>
      <c r="J2939"/>
      <c r="K2939" s="19"/>
    </row>
    <row r="2940" spans="1:18" ht="12.75" x14ac:dyDescent="0.2"/>
    <row r="2941" spans="1:18" ht="12" customHeight="1" x14ac:dyDescent="0.2"/>
    <row r="2942" spans="1:18" ht="12.75" x14ac:dyDescent="0.2"/>
    <row r="2943" spans="1:18" ht="12.75" x14ac:dyDescent="0.2"/>
    <row r="2944" spans="1:18" ht="12.75" x14ac:dyDescent="0.2">
      <c r="K2944" s="57"/>
    </row>
    <row r="2945" spans="1:11" ht="12.75" x14ac:dyDescent="0.2">
      <c r="K2945" s="58"/>
    </row>
    <row r="2946" spans="1:11" ht="12.75" x14ac:dyDescent="0.2">
      <c r="K2946" s="58"/>
    </row>
    <row r="2947" spans="1:11" ht="12.75" x14ac:dyDescent="0.2"/>
    <row r="2948" spans="1:11" ht="12.75" x14ac:dyDescent="0.2">
      <c r="K2948" s="61"/>
    </row>
    <row r="2949" spans="1:11" ht="12.75" x14ac:dyDescent="0.2">
      <c r="K2949" s="61"/>
    </row>
    <row r="2950" spans="1:11" s="59" customFormat="1" ht="15" x14ac:dyDescent="0.25">
      <c r="A2950"/>
      <c r="B2950"/>
      <c r="C2950"/>
      <c r="D2950"/>
      <c r="E2950"/>
      <c r="F2950"/>
      <c r="G2950"/>
      <c r="H2950"/>
      <c r="I2950"/>
      <c r="J2950"/>
    </row>
    <row r="2951" spans="1:11" s="59" customFormat="1" ht="15" x14ac:dyDescent="0.25">
      <c r="A2951"/>
      <c r="B2951"/>
      <c r="C2951"/>
      <c r="D2951"/>
      <c r="E2951"/>
      <c r="F2951"/>
      <c r="G2951"/>
      <c r="H2951"/>
      <c r="I2951"/>
      <c r="J2951"/>
    </row>
    <row r="2952" spans="1:11" ht="12.75" x14ac:dyDescent="0.2"/>
    <row r="2953" spans="1:11" ht="14.25" customHeight="1" x14ac:dyDescent="0.2">
      <c r="K2953" s="68"/>
    </row>
    <row r="2954" spans="1:11" ht="14.25" customHeight="1" x14ac:dyDescent="0.2">
      <c r="K2954" s="68"/>
    </row>
    <row r="2955" spans="1:11" ht="12.75" x14ac:dyDescent="0.2">
      <c r="K2955" s="68"/>
    </row>
    <row r="2956" spans="1:11" ht="14.25" customHeight="1" x14ac:dyDescent="0.2">
      <c r="K2956" s="17"/>
    </row>
    <row r="2957" spans="1:11" ht="12.75" x14ac:dyDescent="0.2">
      <c r="K2957" s="17"/>
    </row>
    <row r="2958" spans="1:11" ht="12.75" x14ac:dyDescent="0.2">
      <c r="K2958" s="17"/>
    </row>
    <row r="2959" spans="1:11" ht="12.75" x14ac:dyDescent="0.2">
      <c r="K2959" s="17"/>
    </row>
    <row r="2960" spans="1:11" ht="12.75" x14ac:dyDescent="0.2">
      <c r="K2960" s="17"/>
    </row>
    <row r="2961" spans="1:18" ht="12.75" x14ac:dyDescent="0.2">
      <c r="K2961" s="17"/>
      <c r="R2961" s="17"/>
    </row>
    <row r="2962" spans="1:18" ht="12.75" x14ac:dyDescent="0.2">
      <c r="K2962" s="17"/>
    </row>
    <row r="2963" spans="1:18" ht="12.75" x14ac:dyDescent="0.2">
      <c r="K2963" s="17"/>
    </row>
    <row r="2964" spans="1:18" ht="12.75" x14ac:dyDescent="0.2"/>
    <row r="2965" spans="1:18" s="17" customFormat="1" ht="12.75" x14ac:dyDescent="0.2">
      <c r="A2965"/>
      <c r="B2965"/>
      <c r="C2965"/>
      <c r="D2965"/>
      <c r="E2965"/>
      <c r="F2965"/>
      <c r="G2965"/>
      <c r="H2965"/>
      <c r="I2965"/>
      <c r="J2965"/>
    </row>
    <row r="2966" spans="1:18" s="92" customFormat="1" ht="15" x14ac:dyDescent="0.2">
      <c r="A2966"/>
      <c r="B2966"/>
      <c r="C2966"/>
      <c r="D2966"/>
      <c r="E2966"/>
      <c r="F2966"/>
      <c r="G2966"/>
      <c r="H2966"/>
      <c r="I2966"/>
      <c r="J2966"/>
      <c r="K2966" s="19"/>
    </row>
    <row r="2967" spans="1:18" ht="12.75" x14ac:dyDescent="0.2"/>
    <row r="2968" spans="1:18" ht="12" customHeight="1" x14ac:dyDescent="0.2"/>
    <row r="2969" spans="1:18" ht="12.75" x14ac:dyDescent="0.2"/>
    <row r="2970" spans="1:18" ht="12.75" x14ac:dyDescent="0.2"/>
    <row r="2971" spans="1:18" ht="12.75" x14ac:dyDescent="0.2">
      <c r="K2971" s="57"/>
    </row>
    <row r="2972" spans="1:18" ht="12.75" x14ac:dyDescent="0.2">
      <c r="K2972" s="58"/>
    </row>
    <row r="2973" spans="1:18" ht="12.75" x14ac:dyDescent="0.2">
      <c r="K2973" s="58"/>
    </row>
    <row r="2974" spans="1:18" ht="12.75" x14ac:dyDescent="0.2"/>
    <row r="2975" spans="1:18" ht="12.75" x14ac:dyDescent="0.2">
      <c r="K2975" s="61"/>
    </row>
    <row r="2976" spans="1:18" ht="12.75" x14ac:dyDescent="0.2">
      <c r="K2976" s="61"/>
    </row>
    <row r="2977" spans="1:18" s="59" customFormat="1" ht="15" x14ac:dyDescent="0.25">
      <c r="A2977"/>
      <c r="B2977"/>
      <c r="C2977"/>
      <c r="D2977"/>
      <c r="E2977"/>
      <c r="F2977"/>
      <c r="G2977"/>
      <c r="H2977"/>
      <c r="I2977"/>
      <c r="J2977"/>
    </row>
    <row r="2978" spans="1:18" s="59" customFormat="1" ht="15" x14ac:dyDescent="0.25">
      <c r="A2978"/>
      <c r="B2978"/>
      <c r="C2978"/>
      <c r="D2978"/>
      <c r="E2978"/>
      <c r="F2978"/>
      <c r="G2978"/>
      <c r="H2978"/>
      <c r="I2978"/>
      <c r="J2978"/>
    </row>
    <row r="2979" spans="1:18" ht="12.75" x14ac:dyDescent="0.2"/>
    <row r="2980" spans="1:18" ht="14.25" customHeight="1" x14ac:dyDescent="0.2">
      <c r="K2980" s="68"/>
    </row>
    <row r="2981" spans="1:18" ht="14.25" customHeight="1" x14ac:dyDescent="0.2">
      <c r="K2981" s="68"/>
    </row>
    <row r="2982" spans="1:18" ht="12.75" x14ac:dyDescent="0.2">
      <c r="K2982" s="68"/>
    </row>
    <row r="2983" spans="1:18" ht="14.25" customHeight="1" x14ac:dyDescent="0.2">
      <c r="K2983" s="17"/>
    </row>
    <row r="2984" spans="1:18" ht="12.75" x14ac:dyDescent="0.2">
      <c r="K2984" s="17"/>
    </row>
    <row r="2985" spans="1:18" ht="12.75" x14ac:dyDescent="0.2">
      <c r="K2985" s="17"/>
    </row>
    <row r="2986" spans="1:18" ht="12.75" x14ac:dyDescent="0.2">
      <c r="K2986" s="17"/>
    </row>
    <row r="2987" spans="1:18" ht="12.75" x14ac:dyDescent="0.2">
      <c r="K2987" s="17"/>
    </row>
    <row r="2988" spans="1:18" ht="12.75" x14ac:dyDescent="0.2">
      <c r="K2988" s="17"/>
      <c r="R2988" s="17"/>
    </row>
    <row r="2989" spans="1:18" ht="12.75" x14ac:dyDescent="0.2">
      <c r="K2989" s="17"/>
    </row>
    <row r="2990" spans="1:18" ht="12.75" x14ac:dyDescent="0.2">
      <c r="K2990" s="17"/>
    </row>
    <row r="2991" spans="1:18" ht="12.75" x14ac:dyDescent="0.2"/>
    <row r="2992" spans="1:18" s="17" customFormat="1" ht="12.75" x14ac:dyDescent="0.2">
      <c r="A2992"/>
      <c r="B2992"/>
      <c r="C2992"/>
      <c r="D2992"/>
      <c r="E2992"/>
      <c r="F2992"/>
      <c r="G2992"/>
      <c r="H2992"/>
      <c r="I2992"/>
      <c r="J2992"/>
    </row>
    <row r="2993" spans="1:11" s="92" customFormat="1" ht="15" x14ac:dyDescent="0.2">
      <c r="A2993"/>
      <c r="B2993"/>
      <c r="C2993"/>
      <c r="D2993"/>
      <c r="E2993"/>
      <c r="F2993"/>
      <c r="G2993"/>
      <c r="H2993"/>
      <c r="I2993"/>
      <c r="J2993"/>
      <c r="K2993" s="19"/>
    </row>
    <row r="2994" spans="1:11" ht="12.75" x14ac:dyDescent="0.2"/>
    <row r="2995" spans="1:11" ht="12" customHeight="1" x14ac:dyDescent="0.2"/>
    <row r="2996" spans="1:11" ht="12.75" x14ac:dyDescent="0.2"/>
    <row r="2997" spans="1:11" ht="12.75" x14ac:dyDescent="0.2"/>
    <row r="2998" spans="1:11" ht="12.75" x14ac:dyDescent="0.2">
      <c r="K2998" s="57"/>
    </row>
    <row r="2999" spans="1:11" ht="12.75" x14ac:dyDescent="0.2">
      <c r="K2999" s="58"/>
    </row>
    <row r="3000" spans="1:11" ht="12.75" x14ac:dyDescent="0.2">
      <c r="K3000" s="58"/>
    </row>
    <row r="3001" spans="1:11" ht="12.75" x14ac:dyDescent="0.2"/>
    <row r="3002" spans="1:11" ht="12.75" x14ac:dyDescent="0.2">
      <c r="K3002" s="61"/>
    </row>
    <row r="3003" spans="1:11" ht="12.75" x14ac:dyDescent="0.2">
      <c r="K3003" s="61"/>
    </row>
    <row r="3004" spans="1:11" s="59" customFormat="1" ht="15" x14ac:dyDescent="0.25">
      <c r="A3004"/>
      <c r="B3004"/>
      <c r="C3004"/>
      <c r="D3004"/>
      <c r="E3004"/>
      <c r="F3004"/>
      <c r="G3004"/>
      <c r="H3004"/>
      <c r="I3004"/>
      <c r="J3004"/>
    </row>
    <row r="3005" spans="1:11" s="59" customFormat="1" ht="15" x14ac:dyDescent="0.25">
      <c r="A3005"/>
      <c r="B3005"/>
      <c r="C3005"/>
      <c r="D3005"/>
      <c r="E3005"/>
      <c r="F3005"/>
      <c r="G3005"/>
      <c r="H3005"/>
      <c r="I3005"/>
      <c r="J3005"/>
    </row>
    <row r="3006" spans="1:11" ht="12.75" x14ac:dyDescent="0.2"/>
    <row r="3007" spans="1:11" ht="14.25" customHeight="1" x14ac:dyDescent="0.2">
      <c r="K3007" s="68"/>
    </row>
    <row r="3008" spans="1:11" ht="14.25" customHeight="1" x14ac:dyDescent="0.2">
      <c r="K3008" s="68"/>
    </row>
    <row r="3009" spans="1:18" ht="12.75" x14ac:dyDescent="0.2">
      <c r="K3009" s="68"/>
    </row>
    <row r="3010" spans="1:18" ht="14.25" customHeight="1" x14ac:dyDescent="0.2">
      <c r="K3010" s="17"/>
    </row>
    <row r="3011" spans="1:18" ht="12.75" x14ac:dyDescent="0.2">
      <c r="K3011" s="17"/>
    </row>
    <row r="3012" spans="1:18" ht="12.75" x14ac:dyDescent="0.2">
      <c r="K3012" s="17"/>
    </row>
    <row r="3013" spans="1:18" ht="12.75" x14ac:dyDescent="0.2">
      <c r="K3013" s="17"/>
    </row>
    <row r="3014" spans="1:18" ht="12.75" x14ac:dyDescent="0.2">
      <c r="K3014" s="17"/>
    </row>
    <row r="3015" spans="1:18" ht="12.75" x14ac:dyDescent="0.2">
      <c r="K3015" s="17"/>
      <c r="R3015" s="17"/>
    </row>
    <row r="3016" spans="1:18" ht="12.75" x14ac:dyDescent="0.2">
      <c r="K3016" s="17"/>
    </row>
    <row r="3017" spans="1:18" ht="12.75" x14ac:dyDescent="0.2">
      <c r="K3017" s="17"/>
    </row>
    <row r="3018" spans="1:18" ht="12.75" x14ac:dyDescent="0.2"/>
    <row r="3019" spans="1:18" s="17" customFormat="1" ht="12.75" x14ac:dyDescent="0.2">
      <c r="A3019"/>
      <c r="B3019"/>
      <c r="C3019"/>
      <c r="D3019"/>
      <c r="E3019"/>
      <c r="F3019"/>
      <c r="G3019"/>
      <c r="H3019"/>
      <c r="I3019"/>
      <c r="J3019"/>
    </row>
    <row r="3020" spans="1:18" s="92" customFormat="1" ht="15" x14ac:dyDescent="0.2">
      <c r="A3020"/>
      <c r="B3020"/>
      <c r="C3020"/>
      <c r="D3020"/>
      <c r="E3020"/>
      <c r="F3020"/>
      <c r="G3020"/>
      <c r="H3020"/>
      <c r="I3020"/>
      <c r="J3020"/>
      <c r="K3020" s="19"/>
    </row>
    <row r="3021" spans="1:18" ht="12.75" x14ac:dyDescent="0.2"/>
    <row r="3022" spans="1:18" ht="12" customHeight="1" x14ac:dyDescent="0.2"/>
    <row r="3023" spans="1:18" ht="12.75" x14ac:dyDescent="0.2"/>
    <row r="3024" spans="1:18" ht="12.75" x14ac:dyDescent="0.2"/>
    <row r="3025" spans="1:11" ht="12.75" x14ac:dyDescent="0.2">
      <c r="K3025" s="57"/>
    </row>
    <row r="3026" spans="1:11" ht="12.75" x14ac:dyDescent="0.2">
      <c r="K3026" s="58"/>
    </row>
    <row r="3027" spans="1:11" ht="12.75" x14ac:dyDescent="0.2">
      <c r="K3027" s="58"/>
    </row>
    <row r="3028" spans="1:11" ht="12.75" x14ac:dyDescent="0.2"/>
    <row r="3029" spans="1:11" ht="12.75" x14ac:dyDescent="0.2">
      <c r="K3029" s="61"/>
    </row>
    <row r="3030" spans="1:11" ht="12.75" x14ac:dyDescent="0.2">
      <c r="K3030" s="61"/>
    </row>
    <row r="3031" spans="1:11" s="59" customFormat="1" ht="15" x14ac:dyDescent="0.25">
      <c r="A3031"/>
      <c r="B3031"/>
      <c r="C3031"/>
      <c r="D3031"/>
      <c r="E3031"/>
      <c r="F3031"/>
      <c r="G3031"/>
      <c r="H3031"/>
      <c r="I3031"/>
      <c r="J3031"/>
    </row>
    <row r="3032" spans="1:11" s="59" customFormat="1" ht="15" x14ac:dyDescent="0.25">
      <c r="A3032"/>
      <c r="B3032"/>
      <c r="C3032"/>
      <c r="D3032"/>
      <c r="E3032"/>
      <c r="F3032"/>
      <c r="G3032"/>
      <c r="H3032"/>
      <c r="I3032"/>
      <c r="J3032"/>
    </row>
    <row r="3033" spans="1:11" ht="12.75" x14ac:dyDescent="0.2"/>
    <row r="3034" spans="1:11" ht="14.25" customHeight="1" x14ac:dyDescent="0.2">
      <c r="K3034" s="68"/>
    </row>
    <row r="3035" spans="1:11" ht="14.25" customHeight="1" x14ac:dyDescent="0.2">
      <c r="K3035" s="68"/>
    </row>
    <row r="3036" spans="1:11" ht="12.75" x14ac:dyDescent="0.2">
      <c r="K3036" s="68"/>
    </row>
    <row r="3037" spans="1:11" ht="14.25" customHeight="1" x14ac:dyDescent="0.2">
      <c r="K3037" s="17"/>
    </row>
    <row r="3038" spans="1:11" ht="12.75" x14ac:dyDescent="0.2">
      <c r="K3038" s="17"/>
    </row>
    <row r="3039" spans="1:11" ht="12.75" x14ac:dyDescent="0.2">
      <c r="K3039" s="17"/>
    </row>
    <row r="3040" spans="1:11" ht="12.75" x14ac:dyDescent="0.2">
      <c r="K3040" s="17"/>
    </row>
    <row r="3041" spans="1:18" ht="12.75" x14ac:dyDescent="0.2">
      <c r="K3041" s="17"/>
    </row>
    <row r="3042" spans="1:18" ht="12.75" x14ac:dyDescent="0.2">
      <c r="K3042" s="17"/>
      <c r="R3042" s="17"/>
    </row>
    <row r="3043" spans="1:18" ht="12.75" x14ac:dyDescent="0.2">
      <c r="K3043" s="17"/>
    </row>
    <row r="3044" spans="1:18" ht="12.75" x14ac:dyDescent="0.2">
      <c r="K3044" s="17"/>
    </row>
    <row r="3045" spans="1:18" ht="12.75" x14ac:dyDescent="0.2"/>
    <row r="3046" spans="1:18" s="17" customFormat="1" ht="12.75" x14ac:dyDescent="0.2">
      <c r="A3046"/>
      <c r="B3046"/>
      <c r="C3046"/>
      <c r="D3046"/>
      <c r="E3046"/>
      <c r="F3046"/>
      <c r="G3046"/>
      <c r="H3046"/>
      <c r="I3046"/>
      <c r="J3046"/>
    </row>
    <row r="3047" spans="1:18" s="92" customFormat="1" ht="15" x14ac:dyDescent="0.2">
      <c r="A3047"/>
      <c r="B3047"/>
      <c r="C3047"/>
      <c r="D3047"/>
      <c r="E3047"/>
      <c r="F3047"/>
      <c r="G3047"/>
      <c r="H3047"/>
      <c r="I3047"/>
      <c r="J3047"/>
      <c r="K3047" s="19"/>
    </row>
    <row r="3048" spans="1:18" ht="12.75" x14ac:dyDescent="0.2"/>
    <row r="3049" spans="1:18" ht="12" customHeight="1" x14ac:dyDescent="0.2"/>
    <row r="3050" spans="1:18" ht="12.75" x14ac:dyDescent="0.2"/>
    <row r="3051" spans="1:18" ht="12.75" x14ac:dyDescent="0.2"/>
    <row r="3052" spans="1:18" ht="12.75" x14ac:dyDescent="0.2">
      <c r="K3052" s="57"/>
    </row>
    <row r="3053" spans="1:18" ht="12.75" x14ac:dyDescent="0.2">
      <c r="K3053" s="58"/>
    </row>
    <row r="3054" spans="1:18" ht="12.75" x14ac:dyDescent="0.2">
      <c r="K3054" s="58"/>
    </row>
    <row r="3055" spans="1:18" ht="12.75" x14ac:dyDescent="0.2"/>
    <row r="3056" spans="1:18" ht="12.75" x14ac:dyDescent="0.2">
      <c r="K3056" s="61"/>
    </row>
    <row r="3057" spans="1:18" ht="12.75" x14ac:dyDescent="0.2">
      <c r="K3057" s="61"/>
    </row>
    <row r="3058" spans="1:18" s="59" customFormat="1" ht="15" x14ac:dyDescent="0.25">
      <c r="A3058"/>
      <c r="B3058"/>
      <c r="C3058"/>
      <c r="D3058"/>
      <c r="E3058"/>
      <c r="F3058"/>
      <c r="G3058"/>
      <c r="H3058"/>
      <c r="I3058"/>
      <c r="J3058"/>
    </row>
    <row r="3059" spans="1:18" s="59" customFormat="1" ht="15" x14ac:dyDescent="0.25">
      <c r="A3059"/>
      <c r="B3059"/>
      <c r="C3059"/>
      <c r="D3059"/>
      <c r="E3059"/>
      <c r="F3059"/>
      <c r="G3059"/>
      <c r="H3059"/>
      <c r="I3059"/>
      <c r="J3059"/>
    </row>
    <row r="3060" spans="1:18" ht="12.75" x14ac:dyDescent="0.2"/>
    <row r="3061" spans="1:18" ht="14.25" customHeight="1" x14ac:dyDescent="0.2">
      <c r="K3061" s="68"/>
    </row>
    <row r="3062" spans="1:18" ht="14.25" customHeight="1" x14ac:dyDescent="0.2">
      <c r="K3062" s="68"/>
    </row>
    <row r="3063" spans="1:18" ht="12.75" x14ac:dyDescent="0.2">
      <c r="K3063" s="68"/>
    </row>
    <row r="3064" spans="1:18" ht="14.25" customHeight="1" x14ac:dyDescent="0.2">
      <c r="K3064" s="17"/>
    </row>
    <row r="3065" spans="1:18" ht="12.75" x14ac:dyDescent="0.2">
      <c r="K3065" s="17"/>
    </row>
    <row r="3066" spans="1:18" ht="12.75" x14ac:dyDescent="0.2">
      <c r="K3066" s="17"/>
    </row>
    <row r="3067" spans="1:18" ht="12.75" x14ac:dyDescent="0.2">
      <c r="K3067" s="17"/>
    </row>
    <row r="3068" spans="1:18" ht="12.75" x14ac:dyDescent="0.2">
      <c r="K3068" s="17"/>
    </row>
    <row r="3069" spans="1:18" ht="12.75" x14ac:dyDescent="0.2">
      <c r="K3069" s="17"/>
      <c r="R3069" s="17"/>
    </row>
    <row r="3070" spans="1:18" ht="12.75" x14ac:dyDescent="0.2">
      <c r="K3070" s="17"/>
    </row>
    <row r="3071" spans="1:18" ht="12.75" x14ac:dyDescent="0.2">
      <c r="K3071" s="17"/>
    </row>
    <row r="3072" spans="1:18" ht="12.75" x14ac:dyDescent="0.2"/>
    <row r="3073" spans="1:11" s="17" customFormat="1" ht="12.75" x14ac:dyDescent="0.2">
      <c r="A3073"/>
      <c r="B3073"/>
      <c r="C3073"/>
      <c r="D3073"/>
      <c r="E3073"/>
      <c r="F3073"/>
      <c r="G3073"/>
      <c r="H3073"/>
      <c r="I3073"/>
      <c r="J3073"/>
    </row>
    <row r="3074" spans="1:11" s="92" customFormat="1" ht="15" x14ac:dyDescent="0.2">
      <c r="A3074"/>
      <c r="B3074"/>
      <c r="C3074"/>
      <c r="D3074"/>
      <c r="E3074"/>
      <c r="F3074"/>
      <c r="G3074"/>
      <c r="H3074"/>
      <c r="I3074"/>
      <c r="J3074"/>
      <c r="K3074" s="19"/>
    </row>
    <row r="3075" spans="1:11" ht="12.75" x14ac:dyDescent="0.2"/>
    <row r="3076" spans="1:11" ht="12" customHeight="1" x14ac:dyDescent="0.2"/>
    <row r="3077" spans="1:11" ht="12.75" x14ac:dyDescent="0.2"/>
    <row r="3078" spans="1:11" ht="12.75" x14ac:dyDescent="0.2"/>
    <row r="3079" spans="1:11" ht="12.75" x14ac:dyDescent="0.2">
      <c r="K3079" s="57"/>
    </row>
    <row r="3080" spans="1:11" ht="12.75" x14ac:dyDescent="0.2">
      <c r="K3080" s="58"/>
    </row>
    <row r="3081" spans="1:11" ht="12.75" x14ac:dyDescent="0.2">
      <c r="K3081" s="58"/>
    </row>
    <row r="3082" spans="1:11" ht="12.75" x14ac:dyDescent="0.2"/>
    <row r="3083" spans="1:11" ht="12.75" x14ac:dyDescent="0.2">
      <c r="K3083" s="61"/>
    </row>
    <row r="3084" spans="1:11" ht="12.75" x14ac:dyDescent="0.2">
      <c r="K3084" s="61"/>
    </row>
    <row r="3085" spans="1:11" s="59" customFormat="1" ht="15" x14ac:dyDescent="0.25">
      <c r="A3085"/>
      <c r="B3085"/>
      <c r="C3085"/>
      <c r="D3085"/>
      <c r="E3085"/>
      <c r="F3085"/>
      <c r="G3085"/>
      <c r="H3085"/>
      <c r="I3085"/>
      <c r="J3085"/>
    </row>
    <row r="3086" spans="1:11" s="59" customFormat="1" ht="15" x14ac:dyDescent="0.25">
      <c r="A3086"/>
      <c r="B3086"/>
      <c r="C3086"/>
      <c r="D3086"/>
      <c r="E3086"/>
      <c r="F3086"/>
      <c r="G3086"/>
      <c r="H3086"/>
      <c r="I3086"/>
      <c r="J3086"/>
    </row>
    <row r="3087" spans="1:11" ht="12.75" x14ac:dyDescent="0.2"/>
    <row r="3088" spans="1:11" ht="14.25" customHeight="1" x14ac:dyDescent="0.2">
      <c r="K3088" s="68"/>
    </row>
    <row r="3089" spans="1:18" ht="14.25" customHeight="1" x14ac:dyDescent="0.2">
      <c r="K3089" s="68"/>
    </row>
    <row r="3090" spans="1:18" ht="12.75" x14ac:dyDescent="0.2">
      <c r="K3090" s="68"/>
    </row>
    <row r="3091" spans="1:18" ht="14.25" customHeight="1" x14ac:dyDescent="0.2">
      <c r="K3091" s="17"/>
    </row>
    <row r="3092" spans="1:18" ht="12.75" x14ac:dyDescent="0.2">
      <c r="K3092" s="17"/>
    </row>
    <row r="3093" spans="1:18" ht="12.75" x14ac:dyDescent="0.2">
      <c r="K3093" s="17"/>
    </row>
    <row r="3094" spans="1:18" ht="12.75" x14ac:dyDescent="0.2">
      <c r="K3094" s="17"/>
    </row>
    <row r="3095" spans="1:18" ht="12.75" x14ac:dyDescent="0.2">
      <c r="K3095" s="17"/>
    </row>
    <row r="3096" spans="1:18" ht="12.75" x14ac:dyDescent="0.2">
      <c r="K3096" s="17"/>
      <c r="R3096" s="17"/>
    </row>
    <row r="3097" spans="1:18" ht="12.75" x14ac:dyDescent="0.2">
      <c r="K3097" s="17"/>
    </row>
    <row r="3098" spans="1:18" ht="12.75" x14ac:dyDescent="0.2">
      <c r="K3098" s="17"/>
    </row>
    <row r="3099" spans="1:18" ht="12.75" x14ac:dyDescent="0.2"/>
    <row r="3100" spans="1:18" s="17" customFormat="1" ht="12.75" x14ac:dyDescent="0.2">
      <c r="A3100"/>
      <c r="B3100"/>
      <c r="C3100"/>
      <c r="D3100"/>
      <c r="E3100"/>
      <c r="F3100"/>
      <c r="G3100"/>
      <c r="H3100"/>
      <c r="I3100"/>
      <c r="J3100"/>
    </row>
    <row r="3101" spans="1:18" s="92" customFormat="1" ht="15" x14ac:dyDescent="0.2">
      <c r="A3101"/>
      <c r="B3101"/>
      <c r="C3101"/>
      <c r="D3101"/>
      <c r="E3101"/>
      <c r="F3101"/>
      <c r="G3101"/>
      <c r="H3101"/>
      <c r="I3101"/>
      <c r="J3101"/>
      <c r="K3101" s="19"/>
    </row>
    <row r="3102" spans="1:18" ht="12.75" x14ac:dyDescent="0.2"/>
    <row r="3103" spans="1:18" ht="12" customHeight="1" x14ac:dyDescent="0.2"/>
    <row r="3104" spans="1:18" ht="12.75" x14ac:dyDescent="0.2"/>
    <row r="3105" spans="1:11" ht="12.75" x14ac:dyDescent="0.2"/>
    <row r="3106" spans="1:11" ht="12.75" x14ac:dyDescent="0.2">
      <c r="K3106" s="57"/>
    </row>
    <row r="3107" spans="1:11" ht="12.75" x14ac:dyDescent="0.2">
      <c r="K3107" s="58"/>
    </row>
    <row r="3108" spans="1:11" ht="12.75" x14ac:dyDescent="0.2">
      <c r="K3108" s="58"/>
    </row>
    <row r="3109" spans="1:11" ht="12.75" x14ac:dyDescent="0.2"/>
    <row r="3110" spans="1:11" ht="12.75" x14ac:dyDescent="0.2">
      <c r="K3110" s="61"/>
    </row>
    <row r="3111" spans="1:11" ht="12.75" x14ac:dyDescent="0.2">
      <c r="K3111" s="61"/>
    </row>
    <row r="3112" spans="1:11" s="59" customFormat="1" ht="15" x14ac:dyDescent="0.25">
      <c r="A3112"/>
      <c r="B3112"/>
      <c r="C3112"/>
      <c r="D3112"/>
      <c r="E3112"/>
      <c r="F3112"/>
      <c r="G3112"/>
      <c r="H3112"/>
      <c r="I3112"/>
      <c r="J3112"/>
    </row>
    <row r="3113" spans="1:11" s="59" customFormat="1" ht="15" x14ac:dyDescent="0.25">
      <c r="A3113"/>
      <c r="B3113"/>
      <c r="C3113"/>
      <c r="D3113"/>
      <c r="E3113"/>
      <c r="F3113"/>
      <c r="G3113"/>
      <c r="H3113"/>
      <c r="I3113"/>
      <c r="J3113"/>
    </row>
    <row r="3114" spans="1:11" ht="12.75" x14ac:dyDescent="0.2"/>
    <row r="3115" spans="1:11" ht="14.25" customHeight="1" x14ac:dyDescent="0.2">
      <c r="K3115" s="68"/>
    </row>
    <row r="3116" spans="1:11" ht="14.25" customHeight="1" x14ac:dyDescent="0.2">
      <c r="K3116" s="68"/>
    </row>
    <row r="3117" spans="1:11" ht="12.75" x14ac:dyDescent="0.2">
      <c r="K3117" s="68"/>
    </row>
    <row r="3118" spans="1:11" ht="14.25" customHeight="1" x14ac:dyDescent="0.2">
      <c r="K3118" s="17"/>
    </row>
    <row r="3119" spans="1:11" ht="12.75" x14ac:dyDescent="0.2">
      <c r="K3119" s="17"/>
    </row>
    <row r="3120" spans="1:11" ht="12.75" x14ac:dyDescent="0.2">
      <c r="K3120" s="17"/>
    </row>
    <row r="3121" spans="1:18" ht="12.75" x14ac:dyDescent="0.2">
      <c r="K3121" s="17"/>
    </row>
    <row r="3122" spans="1:18" ht="12.75" x14ac:dyDescent="0.2">
      <c r="K3122" s="17"/>
    </row>
    <row r="3123" spans="1:18" ht="12.75" x14ac:dyDescent="0.2">
      <c r="K3123" s="17"/>
      <c r="R3123" s="17"/>
    </row>
    <row r="3124" spans="1:18" ht="12.75" x14ac:dyDescent="0.2">
      <c r="K3124" s="17"/>
    </row>
    <row r="3125" spans="1:18" ht="12.75" x14ac:dyDescent="0.2">
      <c r="K3125" s="17"/>
    </row>
    <row r="3126" spans="1:18" ht="12.75" x14ac:dyDescent="0.2"/>
    <row r="3127" spans="1:18" s="17" customFormat="1" ht="12.75" x14ac:dyDescent="0.2">
      <c r="A3127"/>
      <c r="B3127"/>
      <c r="C3127"/>
      <c r="D3127"/>
      <c r="E3127"/>
      <c r="F3127"/>
      <c r="G3127"/>
      <c r="H3127"/>
      <c r="I3127"/>
      <c r="J3127"/>
    </row>
    <row r="3128" spans="1:18" s="92" customFormat="1" ht="15" x14ac:dyDescent="0.2">
      <c r="A3128"/>
      <c r="B3128"/>
      <c r="C3128"/>
      <c r="D3128"/>
      <c r="E3128"/>
      <c r="F3128"/>
      <c r="G3128"/>
      <c r="H3128"/>
      <c r="I3128"/>
      <c r="J3128"/>
      <c r="K3128" s="19"/>
    </row>
    <row r="3129" spans="1:18" ht="12.75" x14ac:dyDescent="0.2"/>
    <row r="3130" spans="1:18" ht="12" customHeight="1" x14ac:dyDescent="0.2"/>
    <row r="3131" spans="1:18" ht="12.75" x14ac:dyDescent="0.2"/>
    <row r="3132" spans="1:18" ht="12.75" x14ac:dyDescent="0.2"/>
    <row r="3133" spans="1:18" ht="12.75" x14ac:dyDescent="0.2">
      <c r="K3133" s="57"/>
    </row>
    <row r="3134" spans="1:18" ht="12.75" x14ac:dyDescent="0.2">
      <c r="K3134" s="58"/>
    </row>
    <row r="3135" spans="1:18" ht="12.75" x14ac:dyDescent="0.2">
      <c r="K3135" s="58"/>
    </row>
    <row r="3136" spans="1:18" ht="12.75" x14ac:dyDescent="0.2"/>
    <row r="3137" spans="1:18" ht="12.75" x14ac:dyDescent="0.2">
      <c r="K3137" s="61"/>
    </row>
    <row r="3138" spans="1:18" ht="12.75" x14ac:dyDescent="0.2">
      <c r="K3138" s="61"/>
    </row>
    <row r="3139" spans="1:18" s="59" customFormat="1" ht="15" x14ac:dyDescent="0.25">
      <c r="A3139"/>
      <c r="B3139"/>
      <c r="C3139"/>
      <c r="D3139"/>
      <c r="E3139"/>
      <c r="F3139"/>
      <c r="G3139"/>
      <c r="H3139"/>
      <c r="I3139"/>
      <c r="J3139"/>
    </row>
    <row r="3140" spans="1:18" s="59" customFormat="1" ht="15" x14ac:dyDescent="0.25">
      <c r="A3140"/>
      <c r="B3140"/>
      <c r="C3140"/>
      <c r="D3140"/>
      <c r="E3140"/>
      <c r="F3140"/>
      <c r="G3140"/>
      <c r="H3140"/>
      <c r="I3140"/>
      <c r="J3140"/>
    </row>
    <row r="3141" spans="1:18" ht="12.75" x14ac:dyDescent="0.2"/>
    <row r="3142" spans="1:18" ht="14.25" customHeight="1" x14ac:dyDescent="0.2">
      <c r="K3142" s="68"/>
    </row>
    <row r="3143" spans="1:18" ht="14.25" customHeight="1" x14ac:dyDescent="0.2">
      <c r="K3143" s="68"/>
    </row>
    <row r="3144" spans="1:18" ht="12.75" x14ac:dyDescent="0.2">
      <c r="K3144" s="68"/>
    </row>
    <row r="3145" spans="1:18" ht="14.25" customHeight="1" x14ac:dyDescent="0.2">
      <c r="K3145" s="17"/>
    </row>
    <row r="3146" spans="1:18" ht="12.75" x14ac:dyDescent="0.2">
      <c r="K3146" s="17"/>
    </row>
    <row r="3147" spans="1:18" ht="12.75" x14ac:dyDescent="0.2">
      <c r="K3147" s="17"/>
    </row>
    <row r="3148" spans="1:18" ht="12.75" x14ac:dyDescent="0.2">
      <c r="K3148" s="17"/>
    </row>
    <row r="3149" spans="1:18" ht="12.75" x14ac:dyDescent="0.2">
      <c r="K3149" s="17"/>
    </row>
    <row r="3150" spans="1:18" ht="12.75" x14ac:dyDescent="0.2">
      <c r="K3150" s="17"/>
      <c r="R3150" s="17"/>
    </row>
    <row r="3151" spans="1:18" ht="12.75" x14ac:dyDescent="0.2">
      <c r="K3151" s="17"/>
    </row>
    <row r="3152" spans="1:18" ht="12.75" x14ac:dyDescent="0.2">
      <c r="K3152" s="17"/>
    </row>
    <row r="3153" spans="1:11" ht="12.75" x14ac:dyDescent="0.2"/>
    <row r="3154" spans="1:11" s="17" customFormat="1" ht="12.75" x14ac:dyDescent="0.2">
      <c r="A3154"/>
      <c r="B3154"/>
      <c r="C3154"/>
      <c r="D3154"/>
      <c r="E3154"/>
      <c r="F3154"/>
      <c r="G3154"/>
      <c r="H3154"/>
      <c r="I3154"/>
      <c r="J3154"/>
    </row>
    <row r="3155" spans="1:11" s="92" customFormat="1" ht="15" x14ac:dyDescent="0.2">
      <c r="A3155"/>
      <c r="B3155"/>
      <c r="C3155"/>
      <c r="D3155"/>
      <c r="E3155"/>
      <c r="F3155"/>
      <c r="G3155"/>
      <c r="H3155"/>
      <c r="I3155"/>
      <c r="J3155"/>
      <c r="K3155" s="19"/>
    </row>
    <row r="3156" spans="1:11" ht="12.75" x14ac:dyDescent="0.2"/>
    <row r="3157" spans="1:11" ht="12" customHeight="1" x14ac:dyDescent="0.2"/>
    <row r="3158" spans="1:11" ht="12.75" x14ac:dyDescent="0.2"/>
    <row r="3159" spans="1:11" ht="12.75" x14ac:dyDescent="0.2"/>
    <row r="3160" spans="1:11" ht="12.75" x14ac:dyDescent="0.2">
      <c r="K3160" s="57"/>
    </row>
    <row r="3161" spans="1:11" ht="12.75" x14ac:dyDescent="0.2">
      <c r="K3161" s="58"/>
    </row>
    <row r="3162" spans="1:11" ht="12.75" x14ac:dyDescent="0.2">
      <c r="K3162" s="58"/>
    </row>
    <row r="3163" spans="1:11" ht="12.75" x14ac:dyDescent="0.2"/>
    <row r="3164" spans="1:11" ht="12.75" x14ac:dyDescent="0.2">
      <c r="K3164" s="61"/>
    </row>
    <row r="3165" spans="1:11" ht="12.75" x14ac:dyDescent="0.2">
      <c r="K3165" s="61"/>
    </row>
    <row r="3166" spans="1:11" s="59" customFormat="1" ht="15" x14ac:dyDescent="0.25">
      <c r="A3166"/>
      <c r="B3166"/>
      <c r="C3166"/>
      <c r="D3166"/>
      <c r="E3166"/>
      <c r="F3166"/>
      <c r="G3166"/>
      <c r="H3166"/>
      <c r="I3166"/>
      <c r="J3166"/>
    </row>
    <row r="3167" spans="1:11" s="59" customFormat="1" ht="15" x14ac:dyDescent="0.25">
      <c r="A3167"/>
      <c r="B3167"/>
      <c r="C3167"/>
      <c r="D3167"/>
      <c r="E3167"/>
      <c r="F3167"/>
      <c r="G3167"/>
      <c r="H3167"/>
      <c r="I3167"/>
      <c r="J3167"/>
    </row>
    <row r="3168" spans="1:11" ht="12.75" x14ac:dyDescent="0.2"/>
    <row r="3169" spans="1:18" ht="14.25" customHeight="1" x14ac:dyDescent="0.2">
      <c r="K3169" s="68"/>
    </row>
    <row r="3170" spans="1:18" ht="14.25" customHeight="1" x14ac:dyDescent="0.2">
      <c r="K3170" s="68"/>
    </row>
    <row r="3171" spans="1:18" ht="12.75" x14ac:dyDescent="0.2">
      <c r="K3171" s="68"/>
    </row>
    <row r="3172" spans="1:18" ht="14.25" customHeight="1" x14ac:dyDescent="0.2">
      <c r="K3172" s="17"/>
    </row>
    <row r="3173" spans="1:18" ht="12.75" x14ac:dyDescent="0.2">
      <c r="K3173" s="17"/>
    </row>
    <row r="3174" spans="1:18" ht="12.75" x14ac:dyDescent="0.2">
      <c r="K3174" s="17"/>
    </row>
    <row r="3175" spans="1:18" ht="12.75" x14ac:dyDescent="0.2">
      <c r="K3175" s="17"/>
    </row>
    <row r="3176" spans="1:18" ht="12.75" x14ac:dyDescent="0.2">
      <c r="K3176" s="17"/>
    </row>
    <row r="3177" spans="1:18" ht="12.75" x14ac:dyDescent="0.2">
      <c r="K3177" s="17"/>
      <c r="R3177" s="17"/>
    </row>
    <row r="3178" spans="1:18" ht="12.75" x14ac:dyDescent="0.2">
      <c r="K3178" s="17"/>
    </row>
    <row r="3179" spans="1:18" ht="12.75" x14ac:dyDescent="0.2">
      <c r="K3179" s="17"/>
    </row>
    <row r="3180" spans="1:18" ht="12.75" x14ac:dyDescent="0.2"/>
    <row r="3181" spans="1:18" s="17" customFormat="1" ht="12.75" x14ac:dyDescent="0.2">
      <c r="A3181"/>
      <c r="B3181"/>
      <c r="C3181"/>
      <c r="D3181"/>
      <c r="E3181"/>
      <c r="F3181"/>
      <c r="G3181"/>
      <c r="H3181"/>
      <c r="I3181"/>
      <c r="J3181"/>
    </row>
    <row r="3182" spans="1:18" s="92" customFormat="1" ht="15" x14ac:dyDescent="0.2">
      <c r="A3182"/>
      <c r="B3182"/>
      <c r="C3182"/>
      <c r="D3182"/>
      <c r="E3182"/>
      <c r="F3182"/>
      <c r="G3182"/>
      <c r="H3182"/>
      <c r="I3182"/>
      <c r="J3182"/>
      <c r="K3182" s="19"/>
    </row>
    <row r="3183" spans="1:18" ht="12.75" x14ac:dyDescent="0.2"/>
    <row r="3184" spans="1:18" ht="12" customHeight="1" x14ac:dyDescent="0.2"/>
    <row r="3185" spans="1:11" ht="12.75" x14ac:dyDescent="0.2"/>
    <row r="3186" spans="1:11" ht="12.75" x14ac:dyDescent="0.2"/>
    <row r="3187" spans="1:11" ht="12.75" x14ac:dyDescent="0.2">
      <c r="K3187" s="57"/>
    </row>
    <row r="3188" spans="1:11" ht="12.75" x14ac:dyDescent="0.2">
      <c r="K3188" s="58"/>
    </row>
    <row r="3189" spans="1:11" ht="12.75" x14ac:dyDescent="0.2">
      <c r="K3189" s="58"/>
    </row>
    <row r="3190" spans="1:11" ht="12.75" x14ac:dyDescent="0.2"/>
    <row r="3191" spans="1:11" ht="12.75" x14ac:dyDescent="0.2">
      <c r="K3191" s="61"/>
    </row>
    <row r="3192" spans="1:11" ht="12.75" x14ac:dyDescent="0.2">
      <c r="K3192" s="61"/>
    </row>
    <row r="3193" spans="1:11" s="59" customFormat="1" ht="15" x14ac:dyDescent="0.25">
      <c r="A3193"/>
      <c r="B3193"/>
      <c r="C3193"/>
      <c r="D3193"/>
      <c r="E3193"/>
      <c r="F3193"/>
      <c r="G3193"/>
      <c r="H3193"/>
      <c r="I3193"/>
      <c r="J3193"/>
    </row>
    <row r="3194" spans="1:11" s="59" customFormat="1" ht="15" x14ac:dyDescent="0.25">
      <c r="A3194"/>
      <c r="B3194"/>
      <c r="C3194"/>
      <c r="D3194"/>
      <c r="E3194"/>
      <c r="F3194"/>
      <c r="G3194"/>
      <c r="H3194"/>
      <c r="I3194"/>
      <c r="J3194"/>
    </row>
    <row r="3195" spans="1:11" ht="12.75" x14ac:dyDescent="0.2"/>
    <row r="3196" spans="1:11" ht="14.25" customHeight="1" x14ac:dyDescent="0.2">
      <c r="K3196" s="68"/>
    </row>
    <row r="3197" spans="1:11" ht="14.25" customHeight="1" x14ac:dyDescent="0.2">
      <c r="K3197" s="68"/>
    </row>
    <row r="3198" spans="1:11" ht="12.75" x14ac:dyDescent="0.2">
      <c r="K3198" s="68"/>
    </row>
    <row r="3199" spans="1:11" ht="14.25" customHeight="1" x14ac:dyDescent="0.2">
      <c r="K3199" s="17"/>
    </row>
    <row r="3200" spans="1:11" ht="12.75" x14ac:dyDescent="0.2">
      <c r="K3200" s="17"/>
    </row>
    <row r="3201" spans="1:18" ht="12.75" x14ac:dyDescent="0.2">
      <c r="K3201" s="17"/>
    </row>
    <row r="3202" spans="1:18" ht="12.75" x14ac:dyDescent="0.2">
      <c r="K3202" s="17"/>
    </row>
    <row r="3203" spans="1:18" ht="12.75" x14ac:dyDescent="0.2">
      <c r="K3203" s="17"/>
    </row>
    <row r="3204" spans="1:18" ht="12.75" x14ac:dyDescent="0.2">
      <c r="K3204" s="17"/>
      <c r="R3204" s="17"/>
    </row>
    <row r="3205" spans="1:18" ht="12.75" x14ac:dyDescent="0.2">
      <c r="K3205" s="17"/>
    </row>
    <row r="3206" spans="1:18" ht="12.75" x14ac:dyDescent="0.2">
      <c r="K3206" s="17"/>
    </row>
    <row r="3207" spans="1:18" ht="12.75" x14ac:dyDescent="0.2"/>
    <row r="3208" spans="1:18" s="17" customFormat="1" ht="12.75" x14ac:dyDescent="0.2">
      <c r="A3208"/>
      <c r="B3208"/>
      <c r="C3208"/>
      <c r="D3208"/>
      <c r="E3208"/>
      <c r="F3208"/>
      <c r="G3208"/>
      <c r="H3208"/>
      <c r="I3208"/>
      <c r="J3208"/>
    </row>
    <row r="3209" spans="1:18" s="92" customFormat="1" ht="15" x14ac:dyDescent="0.2">
      <c r="A3209"/>
      <c r="B3209"/>
      <c r="C3209"/>
      <c r="D3209"/>
      <c r="E3209"/>
      <c r="F3209"/>
      <c r="G3209"/>
      <c r="H3209"/>
      <c r="I3209"/>
      <c r="J3209"/>
      <c r="K3209" s="19"/>
    </row>
    <row r="3210" spans="1:18" ht="12.75" x14ac:dyDescent="0.2"/>
    <row r="3211" spans="1:18" ht="12" customHeight="1" x14ac:dyDescent="0.2"/>
    <row r="3212" spans="1:18" ht="12.75" x14ac:dyDescent="0.2"/>
    <row r="3213" spans="1:18" ht="12.75" x14ac:dyDescent="0.2"/>
    <row r="3214" spans="1:18" ht="12.75" x14ac:dyDescent="0.2">
      <c r="K3214" s="57"/>
    </row>
    <row r="3215" spans="1:18" ht="12.75" x14ac:dyDescent="0.2">
      <c r="K3215" s="58"/>
    </row>
    <row r="3216" spans="1:18" ht="12.75" x14ac:dyDescent="0.2">
      <c r="K3216" s="58"/>
    </row>
    <row r="3217" spans="1:18" ht="12.75" x14ac:dyDescent="0.2"/>
    <row r="3218" spans="1:18" ht="12.75" x14ac:dyDescent="0.2">
      <c r="K3218" s="61"/>
    </row>
    <row r="3219" spans="1:18" ht="12.75" x14ac:dyDescent="0.2">
      <c r="K3219" s="61"/>
    </row>
    <row r="3220" spans="1:18" s="59" customFormat="1" ht="15" x14ac:dyDescent="0.25">
      <c r="A3220"/>
      <c r="B3220"/>
      <c r="C3220"/>
      <c r="D3220"/>
      <c r="E3220"/>
      <c r="F3220"/>
      <c r="G3220"/>
      <c r="H3220"/>
      <c r="I3220"/>
      <c r="J3220"/>
    </row>
    <row r="3221" spans="1:18" s="59" customFormat="1" ht="15" x14ac:dyDescent="0.25">
      <c r="A3221"/>
      <c r="B3221"/>
      <c r="C3221"/>
      <c r="D3221"/>
      <c r="E3221"/>
      <c r="F3221"/>
      <c r="G3221"/>
      <c r="H3221"/>
      <c r="I3221"/>
      <c r="J3221"/>
    </row>
    <row r="3222" spans="1:18" ht="12.75" x14ac:dyDescent="0.2"/>
    <row r="3223" spans="1:18" ht="14.25" customHeight="1" x14ac:dyDescent="0.2">
      <c r="K3223" s="68"/>
    </row>
    <row r="3224" spans="1:18" ht="14.25" customHeight="1" x14ac:dyDescent="0.2">
      <c r="K3224" s="68"/>
    </row>
    <row r="3225" spans="1:18" ht="12.75" x14ac:dyDescent="0.2">
      <c r="K3225" s="68"/>
    </row>
    <row r="3226" spans="1:18" ht="14.25" customHeight="1" x14ac:dyDescent="0.2">
      <c r="K3226" s="17"/>
    </row>
    <row r="3227" spans="1:18" ht="12.75" x14ac:dyDescent="0.2">
      <c r="K3227" s="17"/>
    </row>
    <row r="3228" spans="1:18" ht="12.75" x14ac:dyDescent="0.2">
      <c r="K3228" s="17"/>
    </row>
    <row r="3229" spans="1:18" ht="12.75" x14ac:dyDescent="0.2">
      <c r="K3229" s="17"/>
    </row>
    <row r="3230" spans="1:18" ht="12.75" x14ac:dyDescent="0.2">
      <c r="K3230" s="17"/>
    </row>
    <row r="3231" spans="1:18" ht="12.75" x14ac:dyDescent="0.2">
      <c r="K3231" s="17"/>
      <c r="R3231" s="17"/>
    </row>
    <row r="3232" spans="1:18" ht="12.75" x14ac:dyDescent="0.2">
      <c r="K3232" s="17"/>
    </row>
    <row r="3233" spans="1:11" ht="12.75" x14ac:dyDescent="0.2">
      <c r="K3233" s="17"/>
    </row>
    <row r="3234" spans="1:11" ht="12.75" x14ac:dyDescent="0.2"/>
    <row r="3235" spans="1:11" s="17" customFormat="1" ht="12.75" x14ac:dyDescent="0.2">
      <c r="A3235"/>
      <c r="B3235"/>
      <c r="C3235"/>
      <c r="D3235"/>
      <c r="E3235"/>
      <c r="F3235"/>
      <c r="G3235"/>
      <c r="H3235"/>
      <c r="I3235"/>
      <c r="J3235"/>
    </row>
    <row r="3236" spans="1:11" s="92" customFormat="1" ht="15" x14ac:dyDescent="0.2">
      <c r="A3236"/>
      <c r="B3236"/>
      <c r="C3236"/>
      <c r="D3236"/>
      <c r="E3236"/>
      <c r="F3236"/>
      <c r="G3236"/>
      <c r="H3236"/>
      <c r="I3236"/>
      <c r="J3236"/>
      <c r="K3236" s="19"/>
    </row>
    <row r="3237" spans="1:11" ht="12.75" x14ac:dyDescent="0.2"/>
    <row r="3238" spans="1:11" ht="12" customHeight="1" x14ac:dyDescent="0.2"/>
    <row r="3239" spans="1:11" ht="12.75" x14ac:dyDescent="0.2"/>
    <row r="3240" spans="1:11" ht="12.75" x14ac:dyDescent="0.2"/>
    <row r="3241" spans="1:11" ht="12.75" x14ac:dyDescent="0.2">
      <c r="K3241" s="57"/>
    </row>
    <row r="3242" spans="1:11" ht="12.75" x14ac:dyDescent="0.2">
      <c r="K3242" s="58"/>
    </row>
    <row r="3243" spans="1:11" ht="12.75" x14ac:dyDescent="0.2">
      <c r="K3243" s="58"/>
    </row>
    <row r="3244" spans="1:11" ht="12.75" x14ac:dyDescent="0.2"/>
    <row r="3245" spans="1:11" ht="12.75" x14ac:dyDescent="0.2">
      <c r="K3245" s="61"/>
    </row>
    <row r="3246" spans="1:11" ht="12.75" x14ac:dyDescent="0.2">
      <c r="K3246" s="61"/>
    </row>
    <row r="3247" spans="1:11" s="59" customFormat="1" ht="15" x14ac:dyDescent="0.25">
      <c r="A3247"/>
      <c r="B3247"/>
      <c r="C3247"/>
      <c r="D3247"/>
      <c r="E3247"/>
      <c r="F3247"/>
      <c r="G3247"/>
      <c r="H3247"/>
      <c r="I3247"/>
      <c r="J3247"/>
    </row>
    <row r="3248" spans="1:11" s="59" customFormat="1" ht="15" x14ac:dyDescent="0.25">
      <c r="A3248"/>
      <c r="B3248"/>
      <c r="C3248"/>
      <c r="D3248"/>
      <c r="E3248"/>
      <c r="F3248"/>
      <c r="G3248"/>
      <c r="H3248"/>
      <c r="I3248"/>
      <c r="J3248"/>
    </row>
    <row r="3249" spans="1:18" ht="12.75" x14ac:dyDescent="0.2"/>
    <row r="3250" spans="1:18" ht="14.25" customHeight="1" x14ac:dyDescent="0.2">
      <c r="K3250" s="68"/>
    </row>
    <row r="3251" spans="1:18" ht="14.25" customHeight="1" x14ac:dyDescent="0.2">
      <c r="K3251" s="68"/>
    </row>
    <row r="3252" spans="1:18" ht="12.75" x14ac:dyDescent="0.2">
      <c r="K3252" s="68"/>
    </row>
    <row r="3253" spans="1:18" ht="14.25" customHeight="1" x14ac:dyDescent="0.2">
      <c r="K3253" s="17"/>
    </row>
    <row r="3254" spans="1:18" ht="12.75" x14ac:dyDescent="0.2">
      <c r="K3254" s="17"/>
    </row>
    <row r="3255" spans="1:18" ht="12.75" x14ac:dyDescent="0.2">
      <c r="K3255" s="17"/>
    </row>
    <row r="3256" spans="1:18" ht="12.75" x14ac:dyDescent="0.2">
      <c r="K3256" s="17"/>
    </row>
    <row r="3257" spans="1:18" ht="12.75" x14ac:dyDescent="0.2">
      <c r="K3257" s="17"/>
    </row>
    <row r="3258" spans="1:18" ht="12.75" x14ac:dyDescent="0.2">
      <c r="K3258" s="17"/>
      <c r="R3258" s="17"/>
    </row>
    <row r="3259" spans="1:18" ht="12.75" x14ac:dyDescent="0.2">
      <c r="K3259" s="17"/>
    </row>
    <row r="3260" spans="1:18" ht="12.75" x14ac:dyDescent="0.2">
      <c r="K3260" s="17"/>
    </row>
    <row r="3261" spans="1:18" ht="12.75" x14ac:dyDescent="0.2"/>
    <row r="3262" spans="1:18" s="17" customFormat="1" ht="12.75" x14ac:dyDescent="0.2">
      <c r="A3262"/>
      <c r="B3262"/>
      <c r="C3262"/>
      <c r="D3262"/>
      <c r="E3262"/>
      <c r="F3262"/>
      <c r="G3262"/>
      <c r="H3262"/>
      <c r="I3262"/>
      <c r="J3262"/>
    </row>
    <row r="3263" spans="1:18" s="92" customFormat="1" ht="15" x14ac:dyDescent="0.2">
      <c r="A3263"/>
      <c r="B3263"/>
      <c r="C3263"/>
      <c r="D3263"/>
      <c r="E3263"/>
      <c r="F3263"/>
      <c r="G3263"/>
      <c r="H3263"/>
      <c r="I3263"/>
      <c r="J3263"/>
      <c r="K3263" s="19"/>
    </row>
    <row r="3264" spans="1:18" ht="12.75" x14ac:dyDescent="0.2"/>
    <row r="3265" spans="1:11" ht="12" customHeight="1" x14ac:dyDescent="0.2"/>
    <row r="3266" spans="1:11" ht="12.75" x14ac:dyDescent="0.2"/>
    <row r="3267" spans="1:11" ht="12.75" x14ac:dyDescent="0.2"/>
    <row r="3268" spans="1:11" ht="12.75" x14ac:dyDescent="0.2">
      <c r="K3268" s="57"/>
    </row>
    <row r="3269" spans="1:11" ht="12.75" x14ac:dyDescent="0.2">
      <c r="K3269" s="58"/>
    </row>
    <row r="3270" spans="1:11" ht="12.75" x14ac:dyDescent="0.2">
      <c r="K3270" s="58"/>
    </row>
    <row r="3271" spans="1:11" ht="12.75" x14ac:dyDescent="0.2"/>
    <row r="3272" spans="1:11" ht="12.75" x14ac:dyDescent="0.2">
      <c r="K3272" s="61"/>
    </row>
    <row r="3273" spans="1:11" ht="12.75" x14ac:dyDescent="0.2">
      <c r="K3273" s="61"/>
    </row>
    <row r="3274" spans="1:11" s="59" customFormat="1" ht="15" x14ac:dyDescent="0.25">
      <c r="A3274"/>
      <c r="B3274"/>
      <c r="C3274"/>
      <c r="D3274"/>
      <c r="E3274"/>
      <c r="F3274"/>
      <c r="G3274"/>
      <c r="H3274"/>
      <c r="I3274"/>
      <c r="J3274"/>
    </row>
    <row r="3275" spans="1:11" s="59" customFormat="1" ht="15" x14ac:dyDescent="0.25">
      <c r="A3275"/>
      <c r="B3275"/>
      <c r="C3275"/>
      <c r="D3275"/>
      <c r="E3275"/>
      <c r="F3275"/>
      <c r="G3275"/>
      <c r="H3275"/>
      <c r="I3275"/>
      <c r="J3275"/>
    </row>
    <row r="3276" spans="1:11" ht="12.75" x14ac:dyDescent="0.2"/>
    <row r="3277" spans="1:11" ht="14.25" customHeight="1" x14ac:dyDescent="0.2">
      <c r="K3277" s="68"/>
    </row>
    <row r="3278" spans="1:11" ht="14.25" customHeight="1" x14ac:dyDescent="0.2">
      <c r="K3278" s="68"/>
    </row>
    <row r="3279" spans="1:11" ht="12.75" x14ac:dyDescent="0.2">
      <c r="K3279" s="68"/>
    </row>
    <row r="3280" spans="1:11" ht="14.25" customHeight="1" x14ac:dyDescent="0.2">
      <c r="K3280" s="17"/>
    </row>
    <row r="3281" spans="1:18" ht="12.75" x14ac:dyDescent="0.2">
      <c r="K3281" s="17"/>
    </row>
    <row r="3282" spans="1:18" ht="12.75" x14ac:dyDescent="0.2">
      <c r="K3282" s="17"/>
    </row>
    <row r="3283" spans="1:18" ht="12.75" x14ac:dyDescent="0.2">
      <c r="K3283" s="17"/>
    </row>
    <row r="3284" spans="1:18" ht="12.75" x14ac:dyDescent="0.2">
      <c r="K3284" s="17"/>
    </row>
    <row r="3285" spans="1:18" ht="12.75" x14ac:dyDescent="0.2">
      <c r="K3285" s="17"/>
      <c r="R3285" s="17"/>
    </row>
    <row r="3286" spans="1:18" ht="12.75" x14ac:dyDescent="0.2">
      <c r="K3286" s="17"/>
    </row>
    <row r="3287" spans="1:18" ht="12.75" x14ac:dyDescent="0.2">
      <c r="K3287" s="17"/>
    </row>
    <row r="3288" spans="1:18" ht="12.75" x14ac:dyDescent="0.2"/>
    <row r="3289" spans="1:18" s="17" customFormat="1" ht="12.75" x14ac:dyDescent="0.2">
      <c r="A3289"/>
      <c r="B3289"/>
      <c r="C3289"/>
      <c r="D3289"/>
      <c r="E3289"/>
      <c r="F3289"/>
      <c r="G3289"/>
      <c r="H3289"/>
      <c r="I3289"/>
      <c r="J3289"/>
    </row>
    <row r="3290" spans="1:18" s="92" customFormat="1" ht="15" x14ac:dyDescent="0.2">
      <c r="A3290"/>
      <c r="B3290"/>
      <c r="C3290"/>
      <c r="D3290"/>
      <c r="E3290"/>
      <c r="F3290"/>
      <c r="G3290"/>
      <c r="H3290"/>
      <c r="I3290"/>
      <c r="J3290"/>
      <c r="K3290" s="19"/>
    </row>
    <row r="3291" spans="1:18" ht="12.75" x14ac:dyDescent="0.2"/>
    <row r="3292" spans="1:18" ht="12" customHeight="1" x14ac:dyDescent="0.2"/>
    <row r="3293" spans="1:18" ht="12.75" x14ac:dyDescent="0.2"/>
    <row r="3294" spans="1:18" ht="12.75" x14ac:dyDescent="0.2"/>
    <row r="3295" spans="1:18" ht="12.75" x14ac:dyDescent="0.2">
      <c r="K3295" s="57"/>
    </row>
    <row r="3296" spans="1:18" ht="12.75" x14ac:dyDescent="0.2">
      <c r="K3296" s="58"/>
    </row>
    <row r="3297" spans="1:18" ht="12.75" x14ac:dyDescent="0.2">
      <c r="K3297" s="58"/>
    </row>
    <row r="3298" spans="1:18" ht="12.75" x14ac:dyDescent="0.2"/>
    <row r="3299" spans="1:18" ht="12.75" x14ac:dyDescent="0.2">
      <c r="K3299" s="61"/>
    </row>
    <row r="3300" spans="1:18" ht="12.75" x14ac:dyDescent="0.2">
      <c r="K3300" s="61"/>
    </row>
    <row r="3301" spans="1:18" s="59" customFormat="1" ht="15" x14ac:dyDescent="0.25">
      <c r="A3301"/>
      <c r="B3301"/>
      <c r="C3301"/>
      <c r="D3301"/>
      <c r="E3301"/>
      <c r="F3301"/>
      <c r="G3301"/>
      <c r="H3301"/>
      <c r="I3301"/>
      <c r="J3301"/>
    </row>
    <row r="3302" spans="1:18" s="59" customFormat="1" ht="15" x14ac:dyDescent="0.25">
      <c r="A3302"/>
      <c r="B3302"/>
      <c r="C3302"/>
      <c r="D3302"/>
      <c r="E3302"/>
      <c r="F3302"/>
      <c r="G3302"/>
      <c r="H3302"/>
      <c r="I3302"/>
      <c r="J3302"/>
    </row>
    <row r="3303" spans="1:18" ht="12.75" x14ac:dyDescent="0.2"/>
    <row r="3304" spans="1:18" ht="14.25" customHeight="1" x14ac:dyDescent="0.2">
      <c r="K3304" s="68"/>
    </row>
    <row r="3305" spans="1:18" ht="14.25" customHeight="1" x14ac:dyDescent="0.2">
      <c r="K3305" s="68"/>
    </row>
    <row r="3306" spans="1:18" ht="12.75" x14ac:dyDescent="0.2">
      <c r="K3306" s="68"/>
    </row>
    <row r="3307" spans="1:18" ht="14.25" customHeight="1" x14ac:dyDescent="0.2">
      <c r="K3307" s="17"/>
    </row>
    <row r="3308" spans="1:18" ht="12.75" x14ac:dyDescent="0.2">
      <c r="K3308" s="17"/>
    </row>
    <row r="3309" spans="1:18" ht="12.75" x14ac:dyDescent="0.2">
      <c r="K3309" s="17"/>
    </row>
    <row r="3310" spans="1:18" ht="12.75" x14ac:dyDescent="0.2">
      <c r="K3310" s="17"/>
    </row>
    <row r="3311" spans="1:18" ht="12.75" x14ac:dyDescent="0.2">
      <c r="K3311" s="17"/>
    </row>
    <row r="3312" spans="1:18" ht="12.75" x14ac:dyDescent="0.2">
      <c r="K3312" s="17"/>
      <c r="R3312" s="17"/>
    </row>
    <row r="3313" spans="1:11" ht="12.75" x14ac:dyDescent="0.2">
      <c r="K3313" s="17"/>
    </row>
    <row r="3314" spans="1:11" ht="12.75" x14ac:dyDescent="0.2">
      <c r="K3314" s="17"/>
    </row>
    <row r="3315" spans="1:11" ht="12.75" x14ac:dyDescent="0.2"/>
    <row r="3316" spans="1:11" s="17" customFormat="1" ht="12.75" x14ac:dyDescent="0.2">
      <c r="A3316"/>
      <c r="B3316"/>
      <c r="C3316"/>
      <c r="D3316"/>
      <c r="E3316"/>
      <c r="F3316"/>
      <c r="G3316"/>
      <c r="H3316"/>
      <c r="I3316"/>
      <c r="J3316"/>
    </row>
    <row r="3317" spans="1:11" s="92" customFormat="1" ht="15" x14ac:dyDescent="0.2">
      <c r="A3317"/>
      <c r="B3317"/>
      <c r="C3317"/>
      <c r="D3317"/>
      <c r="E3317"/>
      <c r="F3317"/>
      <c r="G3317"/>
      <c r="H3317"/>
      <c r="I3317"/>
      <c r="J3317"/>
      <c r="K3317" s="19"/>
    </row>
    <row r="3318" spans="1:11" ht="12.75" x14ac:dyDescent="0.2"/>
    <row r="3319" spans="1:11" ht="12" customHeight="1" x14ac:dyDescent="0.2"/>
    <row r="3320" spans="1:11" ht="12.75" x14ac:dyDescent="0.2"/>
    <row r="3321" spans="1:11" ht="12.75" x14ac:dyDescent="0.2"/>
    <row r="3322" spans="1:11" ht="12.75" x14ac:dyDescent="0.2">
      <c r="K3322" s="57"/>
    </row>
    <row r="3323" spans="1:11" ht="12.75" x14ac:dyDescent="0.2">
      <c r="K3323" s="58"/>
    </row>
    <row r="3324" spans="1:11" ht="12.75" x14ac:dyDescent="0.2">
      <c r="K3324" s="58"/>
    </row>
    <row r="3325" spans="1:11" ht="12.75" x14ac:dyDescent="0.2"/>
    <row r="3326" spans="1:11" ht="12.75" x14ac:dyDescent="0.2">
      <c r="K3326" s="61"/>
    </row>
    <row r="3327" spans="1:11" ht="12.75" x14ac:dyDescent="0.2">
      <c r="K3327" s="61"/>
    </row>
    <row r="3328" spans="1:11" s="59" customFormat="1" ht="15" x14ac:dyDescent="0.25">
      <c r="A3328"/>
      <c r="B3328"/>
      <c r="C3328"/>
      <c r="D3328"/>
      <c r="E3328"/>
      <c r="F3328"/>
      <c r="G3328"/>
      <c r="H3328"/>
      <c r="I3328"/>
      <c r="J3328"/>
    </row>
    <row r="3329" spans="1:18" s="59" customFormat="1" ht="15" x14ac:dyDescent="0.25">
      <c r="A3329"/>
      <c r="B3329"/>
      <c r="C3329"/>
      <c r="D3329"/>
      <c r="E3329"/>
      <c r="F3329"/>
      <c r="G3329"/>
      <c r="H3329"/>
      <c r="I3329"/>
      <c r="J3329"/>
    </row>
    <row r="3330" spans="1:18" ht="12.75" x14ac:dyDescent="0.2"/>
    <row r="3331" spans="1:18" ht="14.25" customHeight="1" x14ac:dyDescent="0.2">
      <c r="K3331" s="68"/>
    </row>
    <row r="3332" spans="1:18" ht="14.25" customHeight="1" x14ac:dyDescent="0.2">
      <c r="K3332" s="68"/>
    </row>
    <row r="3333" spans="1:18" ht="12.75" x14ac:dyDescent="0.2">
      <c r="K3333" s="68"/>
    </row>
    <row r="3334" spans="1:18" ht="14.25" customHeight="1" x14ac:dyDescent="0.2">
      <c r="K3334" s="17"/>
    </row>
    <row r="3335" spans="1:18" ht="12.75" x14ac:dyDescent="0.2">
      <c r="K3335" s="17"/>
    </row>
    <row r="3336" spans="1:18" ht="12.75" x14ac:dyDescent="0.2">
      <c r="K3336" s="17"/>
    </row>
    <row r="3337" spans="1:18" ht="12.75" x14ac:dyDescent="0.2">
      <c r="K3337" s="17"/>
    </row>
    <row r="3338" spans="1:18" ht="12.75" x14ac:dyDescent="0.2">
      <c r="K3338" s="17"/>
    </row>
    <row r="3339" spans="1:18" ht="12.75" x14ac:dyDescent="0.2">
      <c r="K3339" s="17"/>
      <c r="R3339" s="17"/>
    </row>
    <row r="3340" spans="1:18" ht="12.75" x14ac:dyDescent="0.2">
      <c r="K3340" s="17"/>
    </row>
    <row r="3341" spans="1:18" ht="12.75" x14ac:dyDescent="0.2">
      <c r="K3341" s="17"/>
    </row>
    <row r="3342" spans="1:18" ht="12.75" x14ac:dyDescent="0.2"/>
    <row r="3343" spans="1:18" s="17" customFormat="1" ht="12.75" x14ac:dyDescent="0.2">
      <c r="A3343"/>
      <c r="B3343"/>
      <c r="C3343"/>
      <c r="D3343"/>
      <c r="E3343"/>
      <c r="F3343"/>
      <c r="G3343"/>
      <c r="H3343"/>
      <c r="I3343"/>
      <c r="J3343"/>
    </row>
    <row r="3344" spans="1:18" s="92" customFormat="1" ht="15" x14ac:dyDescent="0.2">
      <c r="A3344"/>
      <c r="B3344"/>
      <c r="C3344"/>
      <c r="D3344"/>
      <c r="E3344"/>
      <c r="F3344"/>
      <c r="G3344"/>
      <c r="H3344"/>
      <c r="I3344"/>
      <c r="J3344"/>
      <c r="K3344" s="19"/>
    </row>
    <row r="3345" spans="1:11" ht="12.75" x14ac:dyDescent="0.2"/>
    <row r="3346" spans="1:11" ht="12" customHeight="1" x14ac:dyDescent="0.2"/>
    <row r="3347" spans="1:11" ht="12.75" x14ac:dyDescent="0.2"/>
    <row r="3348" spans="1:11" ht="12.75" x14ac:dyDescent="0.2"/>
    <row r="3349" spans="1:11" ht="12.75" x14ac:dyDescent="0.2">
      <c r="K3349" s="57"/>
    </row>
    <row r="3350" spans="1:11" ht="12.75" x14ac:dyDescent="0.2">
      <c r="K3350" s="58"/>
    </row>
    <row r="3351" spans="1:11" ht="12.75" x14ac:dyDescent="0.2">
      <c r="K3351" s="58"/>
    </row>
    <row r="3352" spans="1:11" ht="12.75" x14ac:dyDescent="0.2"/>
    <row r="3353" spans="1:11" ht="12.75" x14ac:dyDescent="0.2">
      <c r="K3353" s="61"/>
    </row>
    <row r="3354" spans="1:11" ht="12.75" x14ac:dyDescent="0.2">
      <c r="K3354" s="61"/>
    </row>
    <row r="3355" spans="1:11" s="59" customFormat="1" ht="15" x14ac:dyDescent="0.25">
      <c r="A3355"/>
      <c r="B3355"/>
      <c r="C3355"/>
      <c r="D3355"/>
      <c r="E3355"/>
      <c r="F3355"/>
      <c r="G3355"/>
      <c r="H3355"/>
      <c r="I3355"/>
      <c r="J3355"/>
    </row>
    <row r="3356" spans="1:11" s="59" customFormat="1" ht="15" x14ac:dyDescent="0.25">
      <c r="A3356"/>
      <c r="B3356"/>
      <c r="C3356"/>
      <c r="D3356"/>
      <c r="E3356"/>
      <c r="F3356"/>
      <c r="G3356"/>
      <c r="H3356"/>
      <c r="I3356"/>
      <c r="J3356"/>
    </row>
    <row r="3357" spans="1:11" ht="12.75" x14ac:dyDescent="0.2"/>
    <row r="3358" spans="1:11" ht="14.25" customHeight="1" x14ac:dyDescent="0.2">
      <c r="K3358" s="68"/>
    </row>
    <row r="3359" spans="1:11" ht="14.25" customHeight="1" x14ac:dyDescent="0.2">
      <c r="K3359" s="68"/>
    </row>
    <row r="3360" spans="1:11" ht="12.75" x14ac:dyDescent="0.2">
      <c r="K3360" s="68"/>
    </row>
    <row r="3361" spans="1:18" ht="14.25" customHeight="1" x14ac:dyDescent="0.2">
      <c r="K3361" s="17"/>
    </row>
    <row r="3362" spans="1:18" ht="12.75" x14ac:dyDescent="0.2">
      <c r="K3362" s="17"/>
    </row>
    <row r="3363" spans="1:18" ht="12.75" x14ac:dyDescent="0.2">
      <c r="K3363" s="17"/>
    </row>
    <row r="3364" spans="1:18" ht="12.75" x14ac:dyDescent="0.2">
      <c r="K3364" s="17"/>
    </row>
    <row r="3365" spans="1:18" ht="12.75" x14ac:dyDescent="0.2">
      <c r="K3365" s="17"/>
    </row>
    <row r="3366" spans="1:18" ht="12.75" x14ac:dyDescent="0.2">
      <c r="K3366" s="17"/>
      <c r="R3366" s="17"/>
    </row>
    <row r="3367" spans="1:18" ht="12.75" x14ac:dyDescent="0.2">
      <c r="K3367" s="17"/>
    </row>
    <row r="3368" spans="1:18" ht="12.75" x14ac:dyDescent="0.2">
      <c r="K3368" s="17"/>
    </row>
    <row r="3369" spans="1:18" ht="12.75" x14ac:dyDescent="0.2"/>
    <row r="3370" spans="1:18" s="17" customFormat="1" ht="12.75" x14ac:dyDescent="0.2">
      <c r="A3370"/>
      <c r="B3370"/>
      <c r="C3370"/>
      <c r="D3370"/>
      <c r="E3370"/>
      <c r="F3370"/>
      <c r="G3370"/>
      <c r="H3370"/>
      <c r="I3370"/>
      <c r="J3370"/>
    </row>
    <row r="3371" spans="1:18" s="92" customFormat="1" ht="15" x14ac:dyDescent="0.2">
      <c r="A3371"/>
      <c r="B3371"/>
      <c r="C3371"/>
      <c r="D3371"/>
      <c r="E3371"/>
      <c r="F3371"/>
      <c r="G3371"/>
      <c r="H3371"/>
      <c r="I3371"/>
      <c r="J3371"/>
      <c r="K3371" s="19"/>
    </row>
    <row r="3372" spans="1:18" ht="12.75" x14ac:dyDescent="0.2"/>
    <row r="3373" spans="1:18" ht="12" customHeight="1" x14ac:dyDescent="0.2"/>
    <row r="3374" spans="1:18" ht="12.75" x14ac:dyDescent="0.2"/>
    <row r="3375" spans="1:18" ht="12.75" x14ac:dyDescent="0.2"/>
    <row r="3376" spans="1:18" ht="12.75" x14ac:dyDescent="0.2">
      <c r="K3376" s="57"/>
    </row>
    <row r="3377" spans="1:11" ht="12.75" x14ac:dyDescent="0.2">
      <c r="K3377" s="58"/>
    </row>
    <row r="3378" spans="1:11" ht="12.75" x14ac:dyDescent="0.2">
      <c r="K3378" s="58"/>
    </row>
    <row r="3379" spans="1:11" ht="12.75" x14ac:dyDescent="0.2"/>
    <row r="3380" spans="1:11" ht="12.75" x14ac:dyDescent="0.2">
      <c r="K3380" s="61"/>
    </row>
    <row r="3381" spans="1:11" ht="12.75" x14ac:dyDescent="0.2">
      <c r="K3381" s="61"/>
    </row>
    <row r="3382" spans="1:11" s="59" customFormat="1" ht="15" x14ac:dyDescent="0.25">
      <c r="A3382"/>
      <c r="B3382"/>
      <c r="C3382"/>
      <c r="D3382"/>
      <c r="E3382"/>
      <c r="F3382"/>
      <c r="G3382"/>
      <c r="H3382"/>
      <c r="I3382"/>
      <c r="J3382"/>
    </row>
    <row r="3383" spans="1:11" s="59" customFormat="1" ht="15" x14ac:dyDescent="0.25">
      <c r="A3383"/>
      <c r="B3383"/>
      <c r="C3383"/>
      <c r="D3383"/>
      <c r="E3383"/>
      <c r="F3383"/>
      <c r="G3383"/>
      <c r="H3383"/>
      <c r="I3383"/>
      <c r="J3383"/>
    </row>
    <row r="3384" spans="1:11" ht="12.75" x14ac:dyDescent="0.2"/>
    <row r="3385" spans="1:11" ht="14.25" customHeight="1" x14ac:dyDescent="0.2">
      <c r="K3385" s="68"/>
    </row>
    <row r="3386" spans="1:11" ht="14.25" customHeight="1" x14ac:dyDescent="0.2">
      <c r="K3386" s="68"/>
    </row>
    <row r="3387" spans="1:11" ht="12.75" x14ac:dyDescent="0.2">
      <c r="K3387" s="68"/>
    </row>
    <row r="3388" spans="1:11" ht="14.25" customHeight="1" x14ac:dyDescent="0.2">
      <c r="K3388" s="17"/>
    </row>
    <row r="3389" spans="1:11" ht="12.75" x14ac:dyDescent="0.2">
      <c r="K3389" s="17"/>
    </row>
    <row r="3390" spans="1:11" ht="12.75" x14ac:dyDescent="0.2">
      <c r="K3390" s="17"/>
    </row>
    <row r="3391" spans="1:11" ht="12.75" x14ac:dyDescent="0.2">
      <c r="K3391" s="17"/>
    </row>
    <row r="3392" spans="1:11" ht="12.75" x14ac:dyDescent="0.2">
      <c r="K3392" s="17"/>
    </row>
    <row r="3393" spans="1:18" ht="12.75" x14ac:dyDescent="0.2">
      <c r="K3393" s="17"/>
      <c r="R3393" s="17"/>
    </row>
    <row r="3394" spans="1:18" ht="12.75" x14ac:dyDescent="0.2">
      <c r="K3394" s="17"/>
    </row>
    <row r="3395" spans="1:18" ht="12.75" x14ac:dyDescent="0.2">
      <c r="K3395" s="17"/>
    </row>
    <row r="3396" spans="1:18" ht="12.75" x14ac:dyDescent="0.2"/>
    <row r="3397" spans="1:18" s="17" customFormat="1" ht="12.75" x14ac:dyDescent="0.2">
      <c r="A3397"/>
      <c r="B3397"/>
      <c r="C3397"/>
      <c r="D3397"/>
      <c r="E3397"/>
      <c r="F3397"/>
      <c r="G3397"/>
      <c r="H3397"/>
      <c r="I3397"/>
      <c r="J3397"/>
    </row>
    <row r="3398" spans="1:18" s="92" customFormat="1" ht="15" x14ac:dyDescent="0.2">
      <c r="A3398"/>
      <c r="B3398"/>
      <c r="C3398"/>
      <c r="D3398"/>
      <c r="E3398"/>
      <c r="F3398"/>
      <c r="G3398"/>
      <c r="H3398"/>
      <c r="I3398"/>
      <c r="J3398"/>
      <c r="K3398" s="19"/>
    </row>
    <row r="3399" spans="1:18" ht="12.75" x14ac:dyDescent="0.2"/>
    <row r="3400" spans="1:18" ht="12" customHeight="1" x14ac:dyDescent="0.2"/>
    <row r="3401" spans="1:18" ht="12.75" x14ac:dyDescent="0.2"/>
    <row r="3402" spans="1:18" ht="12.75" x14ac:dyDescent="0.2"/>
    <row r="3403" spans="1:18" ht="12.75" x14ac:dyDescent="0.2">
      <c r="K3403" s="57"/>
    </row>
    <row r="3404" spans="1:18" ht="12.75" x14ac:dyDescent="0.2">
      <c r="K3404" s="58"/>
    </row>
    <row r="3405" spans="1:18" ht="12.75" x14ac:dyDescent="0.2">
      <c r="K3405" s="58"/>
    </row>
    <row r="3406" spans="1:18" ht="12.75" x14ac:dyDescent="0.2"/>
    <row r="3407" spans="1:18" ht="12.75" x14ac:dyDescent="0.2">
      <c r="K3407" s="61"/>
    </row>
    <row r="3408" spans="1:18" ht="12.75" x14ac:dyDescent="0.2">
      <c r="K3408" s="61"/>
    </row>
    <row r="3409" spans="1:18" s="59" customFormat="1" ht="15" x14ac:dyDescent="0.25">
      <c r="A3409"/>
      <c r="B3409"/>
      <c r="C3409"/>
      <c r="D3409"/>
      <c r="E3409"/>
      <c r="F3409"/>
      <c r="G3409"/>
      <c r="H3409"/>
      <c r="I3409"/>
      <c r="J3409"/>
    </row>
    <row r="3410" spans="1:18" s="59" customFormat="1" ht="15" x14ac:dyDescent="0.25">
      <c r="A3410"/>
      <c r="B3410"/>
      <c r="C3410"/>
      <c r="D3410"/>
      <c r="E3410"/>
      <c r="F3410"/>
      <c r="G3410"/>
      <c r="H3410"/>
      <c r="I3410"/>
      <c r="J3410"/>
    </row>
    <row r="3411" spans="1:18" ht="12.75" x14ac:dyDescent="0.2"/>
    <row r="3412" spans="1:18" ht="14.25" customHeight="1" x14ac:dyDescent="0.2">
      <c r="K3412" s="68"/>
    </row>
    <row r="3413" spans="1:18" ht="14.25" customHeight="1" x14ac:dyDescent="0.2">
      <c r="K3413" s="68"/>
    </row>
    <row r="3414" spans="1:18" ht="12.75" x14ac:dyDescent="0.2">
      <c r="K3414" s="68"/>
    </row>
    <row r="3415" spans="1:18" ht="14.25" customHeight="1" x14ac:dyDescent="0.2">
      <c r="K3415" s="17"/>
    </row>
    <row r="3416" spans="1:18" ht="12.75" x14ac:dyDescent="0.2">
      <c r="K3416" s="17"/>
    </row>
    <row r="3417" spans="1:18" ht="12.75" x14ac:dyDescent="0.2">
      <c r="K3417" s="17"/>
    </row>
    <row r="3418" spans="1:18" ht="12.75" x14ac:dyDescent="0.2">
      <c r="K3418" s="17"/>
    </row>
    <row r="3419" spans="1:18" ht="12.75" x14ac:dyDescent="0.2">
      <c r="K3419" s="17"/>
    </row>
    <row r="3420" spans="1:18" ht="12.75" x14ac:dyDescent="0.2">
      <c r="K3420" s="17"/>
      <c r="R3420" s="17"/>
    </row>
    <row r="3421" spans="1:18" ht="12.75" x14ac:dyDescent="0.2">
      <c r="K3421" s="17"/>
    </row>
    <row r="3422" spans="1:18" ht="12.75" x14ac:dyDescent="0.2">
      <c r="K3422" s="17"/>
    </row>
    <row r="3423" spans="1:18" ht="12.75" x14ac:dyDescent="0.2"/>
    <row r="3424" spans="1:18" s="17" customFormat="1" ht="12.75" x14ac:dyDescent="0.2">
      <c r="A3424"/>
      <c r="B3424"/>
      <c r="C3424"/>
      <c r="D3424"/>
      <c r="E3424"/>
      <c r="F3424"/>
      <c r="G3424"/>
      <c r="H3424"/>
      <c r="I3424"/>
      <c r="J3424"/>
    </row>
    <row r="3425" spans="1:11" s="92" customFormat="1" ht="15" x14ac:dyDescent="0.2">
      <c r="A3425"/>
      <c r="B3425"/>
      <c r="C3425"/>
      <c r="D3425"/>
      <c r="E3425"/>
      <c r="F3425"/>
      <c r="G3425"/>
      <c r="H3425"/>
      <c r="I3425"/>
      <c r="J3425"/>
      <c r="K3425" s="19"/>
    </row>
    <row r="3426" spans="1:11" ht="12.75" x14ac:dyDescent="0.2"/>
    <row r="3427" spans="1:11" ht="12" customHeight="1" x14ac:dyDescent="0.2"/>
    <row r="3428" spans="1:11" ht="12.75" x14ac:dyDescent="0.2"/>
    <row r="3429" spans="1:11" ht="12.75" x14ac:dyDescent="0.2"/>
    <row r="3430" spans="1:11" ht="12.75" x14ac:dyDescent="0.2">
      <c r="K3430" s="57"/>
    </row>
    <row r="3431" spans="1:11" ht="12.75" x14ac:dyDescent="0.2">
      <c r="K3431" s="58"/>
    </row>
    <row r="3432" spans="1:11" ht="12.75" x14ac:dyDescent="0.2">
      <c r="K3432" s="58"/>
    </row>
    <row r="3433" spans="1:11" ht="12.75" x14ac:dyDescent="0.2"/>
    <row r="3434" spans="1:11" ht="12.75" x14ac:dyDescent="0.2">
      <c r="K3434" s="61"/>
    </row>
    <row r="3435" spans="1:11" ht="12.75" x14ac:dyDescent="0.2">
      <c r="K3435" s="61"/>
    </row>
    <row r="3436" spans="1:11" s="59" customFormat="1" ht="15" x14ac:dyDescent="0.25">
      <c r="A3436"/>
      <c r="B3436"/>
      <c r="C3436"/>
      <c r="D3436"/>
      <c r="E3436"/>
      <c r="F3436"/>
      <c r="G3436"/>
      <c r="H3436"/>
      <c r="I3436"/>
      <c r="J3436"/>
    </row>
    <row r="3437" spans="1:11" s="59" customFormat="1" ht="15" x14ac:dyDescent="0.25">
      <c r="A3437"/>
      <c r="B3437"/>
      <c r="C3437"/>
      <c r="D3437"/>
      <c r="E3437"/>
      <c r="F3437"/>
      <c r="G3437"/>
      <c r="H3437"/>
      <c r="I3437"/>
      <c r="J3437"/>
    </row>
    <row r="3438" spans="1:11" ht="12.75" x14ac:dyDescent="0.2"/>
    <row r="3439" spans="1:11" ht="14.25" customHeight="1" x14ac:dyDescent="0.2">
      <c r="K3439" s="68"/>
    </row>
    <row r="3440" spans="1:11" ht="14.25" customHeight="1" x14ac:dyDescent="0.2">
      <c r="K3440" s="68"/>
    </row>
    <row r="3441" spans="1:18" ht="12.75" x14ac:dyDescent="0.2">
      <c r="K3441" s="68"/>
    </row>
    <row r="3442" spans="1:18" ht="14.25" customHeight="1" x14ac:dyDescent="0.2">
      <c r="K3442" s="17"/>
    </row>
    <row r="3443" spans="1:18" ht="12.75" x14ac:dyDescent="0.2">
      <c r="K3443" s="17"/>
    </row>
    <row r="3444" spans="1:18" ht="12.75" x14ac:dyDescent="0.2">
      <c r="K3444" s="17"/>
    </row>
    <row r="3445" spans="1:18" ht="12.75" x14ac:dyDescent="0.2">
      <c r="K3445" s="17"/>
    </row>
    <row r="3446" spans="1:18" ht="12.75" x14ac:dyDescent="0.2">
      <c r="K3446" s="17"/>
    </row>
    <row r="3447" spans="1:18" ht="12.75" x14ac:dyDescent="0.2">
      <c r="K3447" s="17"/>
      <c r="R3447" s="17"/>
    </row>
    <row r="3448" spans="1:18" ht="12.75" x14ac:dyDescent="0.2">
      <c r="K3448" s="17"/>
    </row>
    <row r="3449" spans="1:18" ht="12.75" x14ac:dyDescent="0.2">
      <c r="K3449" s="17"/>
    </row>
    <row r="3450" spans="1:18" ht="12.75" x14ac:dyDescent="0.2"/>
    <row r="3451" spans="1:18" s="17" customFormat="1" ht="12.75" x14ac:dyDescent="0.2">
      <c r="A3451"/>
      <c r="B3451"/>
      <c r="C3451"/>
      <c r="D3451"/>
      <c r="E3451"/>
      <c r="F3451"/>
      <c r="G3451"/>
      <c r="H3451"/>
      <c r="I3451"/>
      <c r="J3451"/>
    </row>
    <row r="3452" spans="1:18" s="92" customFormat="1" ht="15" x14ac:dyDescent="0.2">
      <c r="A3452"/>
      <c r="B3452"/>
      <c r="C3452"/>
      <c r="D3452"/>
      <c r="E3452"/>
      <c r="F3452"/>
      <c r="G3452"/>
      <c r="H3452"/>
      <c r="I3452"/>
      <c r="J3452"/>
      <c r="K3452" s="19"/>
    </row>
    <row r="3453" spans="1:18" ht="12.75" x14ac:dyDescent="0.2"/>
    <row r="3454" spans="1:18" ht="12" customHeight="1" x14ac:dyDescent="0.2"/>
    <row r="3455" spans="1:18" ht="12.75" x14ac:dyDescent="0.2"/>
    <row r="3456" spans="1:18" ht="12.75" x14ac:dyDescent="0.2"/>
    <row r="3457" spans="1:11" ht="12.75" x14ac:dyDescent="0.2">
      <c r="K3457" s="57"/>
    </row>
    <row r="3458" spans="1:11" ht="12.75" x14ac:dyDescent="0.2">
      <c r="K3458" s="58"/>
    </row>
    <row r="3459" spans="1:11" ht="12.75" x14ac:dyDescent="0.2">
      <c r="K3459" s="58"/>
    </row>
    <row r="3460" spans="1:11" ht="12.75" x14ac:dyDescent="0.2"/>
    <row r="3461" spans="1:11" ht="12.75" x14ac:dyDescent="0.2">
      <c r="K3461" s="61"/>
    </row>
    <row r="3462" spans="1:11" ht="12.75" x14ac:dyDescent="0.2">
      <c r="K3462" s="61"/>
    </row>
    <row r="3463" spans="1:11" s="59" customFormat="1" ht="15" x14ac:dyDescent="0.25">
      <c r="A3463"/>
      <c r="B3463"/>
      <c r="C3463"/>
      <c r="D3463"/>
      <c r="E3463"/>
      <c r="F3463"/>
      <c r="G3463"/>
      <c r="H3463"/>
      <c r="I3463"/>
      <c r="J3463"/>
    </row>
    <row r="3464" spans="1:11" s="59" customFormat="1" ht="15" x14ac:dyDescent="0.25">
      <c r="A3464"/>
      <c r="B3464"/>
      <c r="C3464"/>
      <c r="D3464"/>
      <c r="E3464"/>
      <c r="F3464"/>
      <c r="G3464"/>
      <c r="H3464"/>
      <c r="I3464"/>
      <c r="J3464"/>
    </row>
    <row r="3465" spans="1:11" ht="12.75" x14ac:dyDescent="0.2"/>
    <row r="3466" spans="1:11" ht="14.25" customHeight="1" x14ac:dyDescent="0.2">
      <c r="K3466" s="68"/>
    </row>
    <row r="3467" spans="1:11" ht="14.25" customHeight="1" x14ac:dyDescent="0.2">
      <c r="K3467" s="68"/>
    </row>
    <row r="3468" spans="1:11" ht="12.75" x14ac:dyDescent="0.2">
      <c r="K3468" s="68"/>
    </row>
    <row r="3469" spans="1:11" ht="14.25" customHeight="1" x14ac:dyDescent="0.2">
      <c r="K3469" s="17"/>
    </row>
    <row r="3470" spans="1:11" ht="12.75" x14ac:dyDescent="0.2">
      <c r="K3470" s="17"/>
    </row>
    <row r="3471" spans="1:11" ht="12.75" x14ac:dyDescent="0.2">
      <c r="K3471" s="17"/>
    </row>
    <row r="3472" spans="1:11" ht="12.75" x14ac:dyDescent="0.2">
      <c r="K3472" s="17"/>
    </row>
    <row r="3473" spans="1:18" ht="12.75" x14ac:dyDescent="0.2">
      <c r="K3473" s="17"/>
    </row>
    <row r="3474" spans="1:18" ht="12.75" x14ac:dyDescent="0.2">
      <c r="K3474" s="17"/>
      <c r="R3474" s="17"/>
    </row>
    <row r="3475" spans="1:18" ht="12.75" x14ac:dyDescent="0.2">
      <c r="K3475" s="17"/>
    </row>
    <row r="3476" spans="1:18" ht="12.75" x14ac:dyDescent="0.2">
      <c r="K3476" s="17"/>
    </row>
    <row r="3477" spans="1:18" ht="12.75" x14ac:dyDescent="0.2"/>
    <row r="3478" spans="1:18" s="17" customFormat="1" ht="12.75" x14ac:dyDescent="0.2">
      <c r="A3478"/>
      <c r="B3478"/>
      <c r="C3478"/>
      <c r="D3478"/>
      <c r="E3478"/>
      <c r="F3478"/>
      <c r="G3478"/>
      <c r="H3478"/>
      <c r="I3478"/>
      <c r="J3478"/>
    </row>
    <row r="3479" spans="1:18" s="92" customFormat="1" ht="15" x14ac:dyDescent="0.2">
      <c r="A3479"/>
      <c r="B3479"/>
      <c r="C3479"/>
      <c r="D3479"/>
      <c r="E3479"/>
      <c r="F3479"/>
      <c r="G3479"/>
      <c r="H3479"/>
      <c r="I3479"/>
      <c r="J3479"/>
      <c r="K3479" s="19"/>
    </row>
    <row r="3480" spans="1:18" ht="12.75" x14ac:dyDescent="0.2"/>
    <row r="3481" spans="1:18" ht="12" customHeight="1" x14ac:dyDescent="0.2"/>
    <row r="3482" spans="1:18" ht="12.75" x14ac:dyDescent="0.2"/>
    <row r="3483" spans="1:18" ht="12.75" x14ac:dyDescent="0.2"/>
    <row r="3484" spans="1:18" ht="12.75" x14ac:dyDescent="0.2">
      <c r="K3484" s="57"/>
    </row>
    <row r="3485" spans="1:18" ht="12.75" x14ac:dyDescent="0.2">
      <c r="K3485" s="58"/>
    </row>
    <row r="3486" spans="1:18" ht="12.75" x14ac:dyDescent="0.2">
      <c r="K3486" s="58"/>
    </row>
    <row r="3487" spans="1:18" ht="12.75" x14ac:dyDescent="0.2"/>
    <row r="3488" spans="1:18" ht="12.75" x14ac:dyDescent="0.2">
      <c r="K3488" s="61"/>
    </row>
    <row r="3489" spans="1:18" ht="12.75" x14ac:dyDescent="0.2">
      <c r="K3489" s="61"/>
    </row>
    <row r="3490" spans="1:18" s="59" customFormat="1" ht="15" x14ac:dyDescent="0.25">
      <c r="A3490"/>
      <c r="B3490"/>
      <c r="C3490"/>
      <c r="D3490"/>
      <c r="E3490"/>
      <c r="F3490"/>
      <c r="G3490"/>
      <c r="H3490"/>
      <c r="I3490"/>
      <c r="J3490"/>
    </row>
    <row r="3491" spans="1:18" s="59" customFormat="1" ht="15" x14ac:dyDescent="0.25">
      <c r="A3491"/>
      <c r="B3491"/>
      <c r="C3491"/>
      <c r="D3491"/>
      <c r="E3491"/>
      <c r="F3491"/>
      <c r="G3491"/>
      <c r="H3491"/>
      <c r="I3491"/>
      <c r="J3491"/>
    </row>
    <row r="3492" spans="1:18" ht="12.75" x14ac:dyDescent="0.2"/>
    <row r="3493" spans="1:18" ht="14.25" customHeight="1" x14ac:dyDescent="0.2">
      <c r="K3493" s="68"/>
    </row>
    <row r="3494" spans="1:18" ht="14.25" customHeight="1" x14ac:dyDescent="0.2">
      <c r="K3494" s="68"/>
    </row>
    <row r="3495" spans="1:18" ht="12.75" x14ac:dyDescent="0.2">
      <c r="K3495" s="68"/>
    </row>
    <row r="3496" spans="1:18" ht="14.25" customHeight="1" x14ac:dyDescent="0.2">
      <c r="K3496" s="17"/>
    </row>
    <row r="3497" spans="1:18" ht="12.75" x14ac:dyDescent="0.2">
      <c r="K3497" s="17"/>
    </row>
    <row r="3498" spans="1:18" ht="12.75" x14ac:dyDescent="0.2">
      <c r="K3498" s="17"/>
    </row>
    <row r="3499" spans="1:18" ht="12.75" x14ac:dyDescent="0.2">
      <c r="K3499" s="17"/>
    </row>
    <row r="3500" spans="1:18" ht="12.75" x14ac:dyDescent="0.2">
      <c r="K3500" s="17"/>
    </row>
    <row r="3501" spans="1:18" ht="12.75" x14ac:dyDescent="0.2">
      <c r="K3501" s="17"/>
      <c r="R3501" s="17"/>
    </row>
    <row r="3502" spans="1:18" ht="12.75" x14ac:dyDescent="0.2">
      <c r="K3502" s="17"/>
    </row>
    <row r="3503" spans="1:18" ht="12.75" x14ac:dyDescent="0.2">
      <c r="K3503" s="17"/>
    </row>
    <row r="3504" spans="1:18" ht="12.75" x14ac:dyDescent="0.2"/>
    <row r="3505" spans="1:11" s="17" customFormat="1" ht="12.75" x14ac:dyDescent="0.2">
      <c r="A3505"/>
      <c r="B3505"/>
      <c r="C3505"/>
      <c r="D3505"/>
      <c r="E3505"/>
      <c r="F3505"/>
      <c r="G3505"/>
      <c r="H3505"/>
      <c r="I3505"/>
      <c r="J3505"/>
    </row>
    <row r="3506" spans="1:11" s="92" customFormat="1" ht="15" x14ac:dyDescent="0.2">
      <c r="A3506"/>
      <c r="B3506"/>
      <c r="C3506"/>
      <c r="D3506"/>
      <c r="E3506"/>
      <c r="F3506"/>
      <c r="G3506"/>
      <c r="H3506"/>
      <c r="I3506"/>
      <c r="J3506"/>
      <c r="K3506" s="19"/>
    </row>
    <row r="3507" spans="1:11" ht="12.75" x14ac:dyDescent="0.2"/>
    <row r="3508" spans="1:11" ht="12" customHeight="1" x14ac:dyDescent="0.2"/>
    <row r="3509" spans="1:11" ht="12.75" x14ac:dyDescent="0.2"/>
    <row r="3510" spans="1:11" ht="12.75" x14ac:dyDescent="0.2"/>
    <row r="3511" spans="1:11" ht="12.75" x14ac:dyDescent="0.2">
      <c r="K3511" s="57"/>
    </row>
    <row r="3512" spans="1:11" ht="12.75" x14ac:dyDescent="0.2">
      <c r="K3512" s="58"/>
    </row>
    <row r="3513" spans="1:11" ht="12.75" x14ac:dyDescent="0.2">
      <c r="K3513" s="58"/>
    </row>
    <row r="3514" spans="1:11" ht="12.75" x14ac:dyDescent="0.2"/>
    <row r="3515" spans="1:11" ht="12.75" x14ac:dyDescent="0.2">
      <c r="K3515" s="61"/>
    </row>
    <row r="3516" spans="1:11" ht="12.75" x14ac:dyDescent="0.2">
      <c r="K3516" s="61"/>
    </row>
    <row r="3517" spans="1:11" s="59" customFormat="1" ht="15" x14ac:dyDescent="0.25">
      <c r="A3517"/>
      <c r="B3517"/>
      <c r="C3517"/>
      <c r="D3517"/>
      <c r="E3517"/>
      <c r="F3517"/>
      <c r="G3517"/>
      <c r="H3517"/>
      <c r="I3517"/>
      <c r="J3517"/>
    </row>
    <row r="3518" spans="1:11" s="59" customFormat="1" ht="15" x14ac:dyDescent="0.25">
      <c r="A3518"/>
      <c r="B3518"/>
      <c r="C3518"/>
      <c r="D3518"/>
      <c r="E3518"/>
      <c r="F3518"/>
      <c r="G3518"/>
      <c r="H3518"/>
      <c r="I3518"/>
      <c r="J3518"/>
    </row>
    <row r="3519" spans="1:11" ht="12.75" x14ac:dyDescent="0.2"/>
    <row r="3520" spans="1:11" ht="14.25" customHeight="1" x14ac:dyDescent="0.2">
      <c r="K3520" s="68"/>
    </row>
    <row r="3521" spans="1:18" ht="14.25" customHeight="1" x14ac:dyDescent="0.2">
      <c r="K3521" s="68"/>
    </row>
    <row r="3522" spans="1:18" ht="12.75" x14ac:dyDescent="0.2">
      <c r="K3522" s="68"/>
    </row>
    <row r="3523" spans="1:18" ht="14.25" customHeight="1" x14ac:dyDescent="0.2">
      <c r="K3523" s="17"/>
    </row>
    <row r="3524" spans="1:18" ht="12.75" x14ac:dyDescent="0.2">
      <c r="K3524" s="17"/>
    </row>
    <row r="3525" spans="1:18" ht="12.75" x14ac:dyDescent="0.2">
      <c r="K3525" s="17"/>
    </row>
    <row r="3526" spans="1:18" ht="12.75" x14ac:dyDescent="0.2">
      <c r="K3526" s="17"/>
    </row>
    <row r="3527" spans="1:18" ht="12.75" x14ac:dyDescent="0.2">
      <c r="K3527" s="17"/>
    </row>
    <row r="3528" spans="1:18" ht="12.75" x14ac:dyDescent="0.2">
      <c r="K3528" s="17"/>
      <c r="R3528" s="17"/>
    </row>
    <row r="3529" spans="1:18" ht="12.75" x14ac:dyDescent="0.2">
      <c r="K3529" s="17"/>
    </row>
    <row r="3530" spans="1:18" ht="12.75" x14ac:dyDescent="0.2">
      <c r="K3530" s="17"/>
    </row>
    <row r="3531" spans="1:18" ht="12.75" x14ac:dyDescent="0.2"/>
    <row r="3532" spans="1:18" s="17" customFormat="1" ht="12.75" x14ac:dyDescent="0.2">
      <c r="A3532"/>
      <c r="B3532"/>
      <c r="C3532"/>
      <c r="D3532"/>
      <c r="E3532"/>
      <c r="F3532"/>
      <c r="G3532"/>
      <c r="H3532"/>
      <c r="I3532"/>
      <c r="J3532"/>
    </row>
    <row r="3533" spans="1:18" s="92" customFormat="1" ht="15" x14ac:dyDescent="0.2">
      <c r="A3533"/>
      <c r="B3533"/>
      <c r="C3533"/>
      <c r="D3533"/>
      <c r="E3533"/>
      <c r="F3533"/>
      <c r="G3533"/>
      <c r="H3533"/>
      <c r="I3533"/>
      <c r="J3533"/>
      <c r="K3533" s="19"/>
    </row>
    <row r="3534" spans="1:18" ht="12.75" x14ac:dyDescent="0.2"/>
    <row r="3535" spans="1:18" ht="12" customHeight="1" x14ac:dyDescent="0.2"/>
    <row r="3536" spans="1:18" ht="12.75" x14ac:dyDescent="0.2"/>
    <row r="3537" spans="1:11" ht="12.75" x14ac:dyDescent="0.2"/>
    <row r="3538" spans="1:11" ht="12.75" x14ac:dyDescent="0.2">
      <c r="K3538" s="57"/>
    </row>
    <row r="3539" spans="1:11" ht="12.75" x14ac:dyDescent="0.2">
      <c r="K3539" s="58"/>
    </row>
    <row r="3540" spans="1:11" ht="12.75" x14ac:dyDescent="0.2">
      <c r="K3540" s="58"/>
    </row>
    <row r="3541" spans="1:11" ht="12.75" x14ac:dyDescent="0.2"/>
    <row r="3542" spans="1:11" ht="12.75" x14ac:dyDescent="0.2">
      <c r="K3542" s="61"/>
    </row>
    <row r="3543" spans="1:11" ht="12.75" x14ac:dyDescent="0.2">
      <c r="K3543" s="61"/>
    </row>
    <row r="3544" spans="1:11" s="59" customFormat="1" ht="15" x14ac:dyDescent="0.25">
      <c r="A3544"/>
      <c r="B3544"/>
      <c r="C3544"/>
      <c r="D3544"/>
      <c r="E3544"/>
      <c r="F3544"/>
      <c r="G3544"/>
      <c r="H3544"/>
      <c r="I3544"/>
      <c r="J3544"/>
    </row>
    <row r="3545" spans="1:11" s="59" customFormat="1" ht="15" x14ac:dyDescent="0.25">
      <c r="A3545"/>
      <c r="B3545"/>
      <c r="C3545"/>
      <c r="D3545"/>
      <c r="E3545"/>
      <c r="F3545"/>
      <c r="G3545"/>
      <c r="H3545"/>
      <c r="I3545"/>
      <c r="J3545"/>
    </row>
    <row r="3546" spans="1:11" ht="12.75" x14ac:dyDescent="0.2"/>
    <row r="3547" spans="1:11" ht="14.25" customHeight="1" x14ac:dyDescent="0.2">
      <c r="K3547" s="68"/>
    </row>
    <row r="3548" spans="1:11" ht="14.25" customHeight="1" x14ac:dyDescent="0.2">
      <c r="K3548" s="68"/>
    </row>
    <row r="3549" spans="1:11" ht="12.75" x14ac:dyDescent="0.2">
      <c r="K3549" s="68"/>
    </row>
    <row r="3550" spans="1:11" ht="14.25" customHeight="1" x14ac:dyDescent="0.2">
      <c r="K3550" s="17"/>
    </row>
    <row r="3551" spans="1:11" ht="12.75" x14ac:dyDescent="0.2">
      <c r="K3551" s="17"/>
    </row>
    <row r="3552" spans="1:11" ht="12.75" x14ac:dyDescent="0.2">
      <c r="K3552" s="17"/>
    </row>
    <row r="3553" spans="1:18" ht="12.75" x14ac:dyDescent="0.2">
      <c r="K3553" s="17"/>
    </row>
    <row r="3554" spans="1:18" ht="12.75" x14ac:dyDescent="0.2">
      <c r="K3554" s="17"/>
    </row>
    <row r="3555" spans="1:18" ht="12.75" x14ac:dyDescent="0.2">
      <c r="K3555" s="17"/>
      <c r="R3555" s="17"/>
    </row>
    <row r="3556" spans="1:18" ht="12.75" x14ac:dyDescent="0.2">
      <c r="K3556" s="17"/>
    </row>
    <row r="3557" spans="1:18" ht="12.75" x14ac:dyDescent="0.2">
      <c r="K3557" s="17"/>
    </row>
    <row r="3558" spans="1:18" ht="12.75" x14ac:dyDescent="0.2"/>
    <row r="3559" spans="1:18" s="17" customFormat="1" ht="12.75" x14ac:dyDescent="0.2">
      <c r="A3559"/>
      <c r="B3559"/>
      <c r="C3559"/>
      <c r="D3559"/>
      <c r="E3559"/>
      <c r="F3559"/>
      <c r="G3559"/>
      <c r="H3559"/>
      <c r="I3559"/>
      <c r="J3559"/>
    </row>
    <row r="3560" spans="1:18" s="92" customFormat="1" ht="15" x14ac:dyDescent="0.2">
      <c r="A3560"/>
      <c r="B3560"/>
      <c r="C3560"/>
      <c r="D3560"/>
      <c r="E3560"/>
      <c r="F3560"/>
      <c r="G3560"/>
      <c r="H3560"/>
      <c r="I3560"/>
      <c r="J3560"/>
      <c r="K3560" s="19"/>
    </row>
    <row r="3561" spans="1:18" ht="12.75" x14ac:dyDescent="0.2"/>
    <row r="3562" spans="1:18" ht="12" customHeight="1" x14ac:dyDescent="0.2"/>
    <row r="3563" spans="1:18" ht="12.75" x14ac:dyDescent="0.2"/>
    <row r="3564" spans="1:18" ht="12.75" x14ac:dyDescent="0.2"/>
    <row r="3565" spans="1:18" ht="12.75" x14ac:dyDescent="0.2">
      <c r="K3565" s="57"/>
    </row>
    <row r="3566" spans="1:18" ht="12.75" x14ac:dyDescent="0.2">
      <c r="K3566" s="58"/>
    </row>
    <row r="3567" spans="1:18" ht="12.75" x14ac:dyDescent="0.2">
      <c r="K3567" s="58"/>
    </row>
    <row r="3568" spans="1:18" ht="12.75" x14ac:dyDescent="0.2"/>
    <row r="3569" spans="1:18" ht="12.75" x14ac:dyDescent="0.2">
      <c r="K3569" s="61"/>
    </row>
    <row r="3570" spans="1:18" ht="12.75" x14ac:dyDescent="0.2">
      <c r="K3570" s="61"/>
    </row>
    <row r="3571" spans="1:18" s="59" customFormat="1" ht="15" x14ac:dyDescent="0.25">
      <c r="A3571"/>
      <c r="B3571"/>
      <c r="C3571"/>
      <c r="D3571"/>
      <c r="E3571"/>
      <c r="F3571"/>
      <c r="G3571"/>
      <c r="H3571"/>
      <c r="I3571"/>
      <c r="J3571"/>
    </row>
    <row r="3572" spans="1:18" s="59" customFormat="1" ht="15" x14ac:dyDescent="0.25">
      <c r="A3572"/>
      <c r="B3572"/>
      <c r="C3572"/>
      <c r="D3572"/>
      <c r="E3572"/>
      <c r="F3572"/>
      <c r="G3572"/>
      <c r="H3572"/>
      <c r="I3572"/>
      <c r="J3572"/>
    </row>
    <row r="3573" spans="1:18" ht="12.75" x14ac:dyDescent="0.2"/>
    <row r="3574" spans="1:18" ht="14.25" customHeight="1" x14ac:dyDescent="0.2">
      <c r="K3574" s="68"/>
    </row>
    <row r="3575" spans="1:18" ht="14.25" customHeight="1" x14ac:dyDescent="0.2">
      <c r="K3575" s="68"/>
    </row>
    <row r="3576" spans="1:18" ht="12.75" x14ac:dyDescent="0.2">
      <c r="K3576" s="68"/>
    </row>
    <row r="3577" spans="1:18" ht="14.25" customHeight="1" x14ac:dyDescent="0.2">
      <c r="K3577" s="17"/>
    </row>
    <row r="3578" spans="1:18" ht="12.75" x14ac:dyDescent="0.2">
      <c r="K3578" s="17"/>
    </row>
    <row r="3579" spans="1:18" ht="12.75" x14ac:dyDescent="0.2">
      <c r="K3579" s="17"/>
    </row>
    <row r="3580" spans="1:18" ht="12.75" x14ac:dyDescent="0.2">
      <c r="K3580" s="17"/>
    </row>
    <row r="3581" spans="1:18" ht="12.75" x14ac:dyDescent="0.2">
      <c r="K3581" s="17"/>
    </row>
    <row r="3582" spans="1:18" ht="12.75" x14ac:dyDescent="0.2">
      <c r="K3582" s="17"/>
      <c r="R3582" s="17"/>
    </row>
    <row r="3583" spans="1:18" ht="12.75" x14ac:dyDescent="0.2">
      <c r="K3583" s="17"/>
    </row>
    <row r="3584" spans="1:18" ht="12.75" x14ac:dyDescent="0.2">
      <c r="K3584" s="17"/>
    </row>
    <row r="3585" spans="1:11" ht="12.75" x14ac:dyDescent="0.2"/>
    <row r="3586" spans="1:11" s="17" customFormat="1" ht="12.75" x14ac:dyDescent="0.2">
      <c r="A3586"/>
      <c r="B3586"/>
      <c r="C3586"/>
      <c r="D3586"/>
      <c r="E3586"/>
      <c r="F3586"/>
      <c r="G3586"/>
      <c r="H3586"/>
      <c r="I3586"/>
      <c r="J3586"/>
    </row>
    <row r="3587" spans="1:11" s="92" customFormat="1" ht="15" x14ac:dyDescent="0.2">
      <c r="A3587"/>
      <c r="B3587"/>
      <c r="C3587"/>
      <c r="D3587"/>
      <c r="E3587"/>
      <c r="F3587"/>
      <c r="G3587"/>
      <c r="H3587"/>
      <c r="I3587"/>
      <c r="J3587"/>
      <c r="K3587" s="19"/>
    </row>
    <row r="3588" spans="1:11" ht="12.75" x14ac:dyDescent="0.2"/>
    <row r="3589" spans="1:11" ht="12" customHeight="1" x14ac:dyDescent="0.2"/>
    <row r="3590" spans="1:11" ht="12.75" x14ac:dyDescent="0.2"/>
    <row r="3591" spans="1:11" ht="12.75" x14ac:dyDescent="0.2"/>
    <row r="3592" spans="1:11" ht="12.75" x14ac:dyDescent="0.2">
      <c r="K3592" s="57"/>
    </row>
    <row r="3593" spans="1:11" ht="12.75" x14ac:dyDescent="0.2">
      <c r="K3593" s="58"/>
    </row>
    <row r="3594" spans="1:11" ht="12.75" x14ac:dyDescent="0.2">
      <c r="K3594" s="58"/>
    </row>
    <row r="3595" spans="1:11" ht="12.75" x14ac:dyDescent="0.2"/>
    <row r="3596" spans="1:11" ht="12.75" x14ac:dyDescent="0.2">
      <c r="K3596" s="61"/>
    </row>
    <row r="3597" spans="1:11" ht="12.75" x14ac:dyDescent="0.2">
      <c r="K3597" s="61"/>
    </row>
    <row r="3598" spans="1:11" s="59" customFormat="1" ht="15" x14ac:dyDescent="0.25">
      <c r="A3598"/>
      <c r="B3598"/>
      <c r="C3598"/>
      <c r="D3598"/>
      <c r="E3598"/>
      <c r="F3598"/>
      <c r="G3598"/>
      <c r="H3598"/>
      <c r="I3598"/>
      <c r="J3598"/>
    </row>
    <row r="3599" spans="1:11" s="59" customFormat="1" ht="15" x14ac:dyDescent="0.25">
      <c r="A3599"/>
      <c r="B3599"/>
      <c r="C3599"/>
      <c r="D3599"/>
      <c r="E3599"/>
      <c r="F3599"/>
      <c r="G3599"/>
      <c r="H3599"/>
      <c r="I3599"/>
      <c r="J3599"/>
    </row>
    <row r="3600" spans="1:11" ht="12.75" x14ac:dyDescent="0.2"/>
    <row r="3601" spans="1:18" ht="14.25" customHeight="1" x14ac:dyDescent="0.2">
      <c r="K3601" s="68"/>
    </row>
    <row r="3602" spans="1:18" ht="14.25" customHeight="1" x14ac:dyDescent="0.2">
      <c r="K3602" s="68"/>
    </row>
    <row r="3603" spans="1:18" ht="12.75" x14ac:dyDescent="0.2">
      <c r="K3603" s="68"/>
    </row>
    <row r="3604" spans="1:18" ht="14.25" customHeight="1" x14ac:dyDescent="0.2">
      <c r="K3604" s="17"/>
    </row>
    <row r="3605" spans="1:18" ht="12.75" x14ac:dyDescent="0.2">
      <c r="K3605" s="17"/>
    </row>
    <row r="3606" spans="1:18" ht="12.75" x14ac:dyDescent="0.2">
      <c r="K3606" s="17"/>
    </row>
    <row r="3607" spans="1:18" ht="12.75" x14ac:dyDescent="0.2">
      <c r="K3607" s="17"/>
    </row>
    <row r="3608" spans="1:18" ht="12.75" x14ac:dyDescent="0.2">
      <c r="K3608" s="17"/>
    </row>
    <row r="3609" spans="1:18" ht="12.75" x14ac:dyDescent="0.2">
      <c r="K3609" s="17"/>
      <c r="R3609" s="17"/>
    </row>
    <row r="3610" spans="1:18" ht="12.75" x14ac:dyDescent="0.2">
      <c r="K3610" s="17"/>
    </row>
    <row r="3611" spans="1:18" ht="12.75" x14ac:dyDescent="0.2">
      <c r="K3611" s="17"/>
    </row>
    <row r="3612" spans="1:18" ht="12.75" x14ac:dyDescent="0.2"/>
    <row r="3613" spans="1:18" s="17" customFormat="1" ht="12.75" x14ac:dyDescent="0.2">
      <c r="A3613"/>
      <c r="B3613"/>
      <c r="C3613"/>
      <c r="D3613"/>
      <c r="E3613"/>
      <c r="F3613"/>
      <c r="G3613"/>
      <c r="H3613"/>
      <c r="I3613"/>
      <c r="J3613"/>
    </row>
    <row r="3614" spans="1:18" s="92" customFormat="1" ht="15" x14ac:dyDescent="0.2">
      <c r="A3614"/>
      <c r="B3614"/>
      <c r="C3614"/>
      <c r="D3614"/>
      <c r="E3614"/>
      <c r="F3614"/>
      <c r="G3614"/>
      <c r="H3614"/>
      <c r="I3614"/>
      <c r="J3614"/>
      <c r="K3614" s="19"/>
    </row>
    <row r="3615" spans="1:18" ht="12.75" x14ac:dyDescent="0.2"/>
    <row r="3616" spans="1:18" ht="12" customHeight="1" x14ac:dyDescent="0.2"/>
    <row r="3617" spans="1:11" ht="12.75" x14ac:dyDescent="0.2"/>
    <row r="3618" spans="1:11" ht="12.75" x14ac:dyDescent="0.2"/>
    <row r="3619" spans="1:11" ht="12.75" x14ac:dyDescent="0.2">
      <c r="K3619" s="57"/>
    </row>
    <row r="3620" spans="1:11" ht="12.75" x14ac:dyDescent="0.2">
      <c r="K3620" s="58"/>
    </row>
    <row r="3621" spans="1:11" ht="12.75" x14ac:dyDescent="0.2">
      <c r="K3621" s="58"/>
    </row>
    <row r="3622" spans="1:11" ht="12.75" x14ac:dyDescent="0.2"/>
    <row r="3623" spans="1:11" ht="12.75" x14ac:dyDescent="0.2">
      <c r="K3623" s="61"/>
    </row>
    <row r="3624" spans="1:11" ht="12.75" x14ac:dyDescent="0.2">
      <c r="K3624" s="61"/>
    </row>
    <row r="3625" spans="1:11" s="59" customFormat="1" ht="15" x14ac:dyDescent="0.25">
      <c r="A3625"/>
      <c r="B3625"/>
      <c r="C3625"/>
      <c r="D3625"/>
      <c r="E3625"/>
      <c r="F3625"/>
      <c r="G3625"/>
      <c r="H3625"/>
      <c r="I3625"/>
      <c r="J3625"/>
    </row>
    <row r="3626" spans="1:11" s="59" customFormat="1" ht="15" x14ac:dyDescent="0.25">
      <c r="A3626"/>
      <c r="B3626"/>
      <c r="C3626"/>
      <c r="D3626"/>
      <c r="E3626"/>
      <c r="F3626"/>
      <c r="G3626"/>
      <c r="H3626"/>
      <c r="I3626"/>
      <c r="J3626"/>
    </row>
    <row r="3627" spans="1:11" ht="12.75" x14ac:dyDescent="0.2"/>
    <row r="3628" spans="1:11" ht="14.25" customHeight="1" x14ac:dyDescent="0.2">
      <c r="K3628" s="68"/>
    </row>
    <row r="3629" spans="1:11" ht="14.25" customHeight="1" x14ac:dyDescent="0.2">
      <c r="K3629" s="68"/>
    </row>
    <row r="3630" spans="1:11" ht="12.75" x14ac:dyDescent="0.2">
      <c r="K3630" s="68"/>
    </row>
    <row r="3631" spans="1:11" ht="14.25" customHeight="1" x14ac:dyDescent="0.2">
      <c r="K3631" s="17"/>
    </row>
    <row r="3632" spans="1:11" ht="12.75" x14ac:dyDescent="0.2">
      <c r="K3632" s="17"/>
    </row>
    <row r="3633" spans="1:18" ht="12.75" x14ac:dyDescent="0.2">
      <c r="K3633" s="17"/>
    </row>
    <row r="3634" spans="1:18" ht="12.75" x14ac:dyDescent="0.2">
      <c r="K3634" s="17"/>
    </row>
    <row r="3635" spans="1:18" ht="12.75" x14ac:dyDescent="0.2">
      <c r="K3635" s="17"/>
    </row>
    <row r="3636" spans="1:18" ht="12.75" x14ac:dyDescent="0.2">
      <c r="K3636" s="17"/>
      <c r="R3636" s="17"/>
    </row>
    <row r="3637" spans="1:18" ht="12.75" x14ac:dyDescent="0.2">
      <c r="K3637" s="17"/>
    </row>
    <row r="3638" spans="1:18" ht="12.75" x14ac:dyDescent="0.2">
      <c r="K3638" s="17"/>
    </row>
    <row r="3639" spans="1:18" ht="12.75" x14ac:dyDescent="0.2"/>
    <row r="3640" spans="1:18" s="17" customFormat="1" ht="12.75" x14ac:dyDescent="0.2">
      <c r="A3640"/>
      <c r="B3640"/>
      <c r="C3640"/>
      <c r="D3640"/>
      <c r="E3640"/>
      <c r="F3640"/>
      <c r="G3640"/>
      <c r="H3640"/>
      <c r="I3640"/>
      <c r="J3640"/>
    </row>
    <row r="3641" spans="1:18" s="92" customFormat="1" ht="15" x14ac:dyDescent="0.2">
      <c r="A3641"/>
      <c r="B3641"/>
      <c r="C3641"/>
      <c r="D3641"/>
      <c r="E3641"/>
      <c r="F3641"/>
      <c r="G3641"/>
      <c r="H3641"/>
      <c r="I3641"/>
      <c r="J3641"/>
      <c r="K3641" s="19"/>
    </row>
    <row r="3642" spans="1:18" ht="12.75" x14ac:dyDescent="0.2"/>
    <row r="3643" spans="1:18" ht="12" customHeight="1" x14ac:dyDescent="0.2"/>
    <row r="3644" spans="1:18" ht="12.75" x14ac:dyDescent="0.2"/>
    <row r="3645" spans="1:18" ht="12.75" x14ac:dyDescent="0.2"/>
    <row r="3646" spans="1:18" ht="12.75" x14ac:dyDescent="0.2">
      <c r="K3646" s="57"/>
    </row>
    <row r="3647" spans="1:18" ht="12.75" x14ac:dyDescent="0.2">
      <c r="K3647" s="58"/>
    </row>
    <row r="3648" spans="1:18" ht="12.75" x14ac:dyDescent="0.2">
      <c r="K3648" s="58"/>
    </row>
    <row r="3649" spans="1:18" ht="12.75" x14ac:dyDescent="0.2"/>
    <row r="3650" spans="1:18" ht="12.75" x14ac:dyDescent="0.2">
      <c r="K3650" s="61"/>
    </row>
    <row r="3651" spans="1:18" ht="12.75" x14ac:dyDescent="0.2">
      <c r="K3651" s="61"/>
    </row>
    <row r="3652" spans="1:18" s="59" customFormat="1" ht="15" x14ac:dyDescent="0.25">
      <c r="A3652"/>
      <c r="B3652"/>
      <c r="C3652"/>
      <c r="D3652"/>
      <c r="E3652"/>
      <c r="F3652"/>
      <c r="G3652"/>
      <c r="H3652"/>
      <c r="I3652"/>
      <c r="J3652"/>
    </row>
    <row r="3653" spans="1:18" s="59" customFormat="1" ht="15" x14ac:dyDescent="0.25">
      <c r="A3653"/>
      <c r="B3653"/>
      <c r="C3653"/>
      <c r="D3653"/>
      <c r="E3653"/>
      <c r="F3653"/>
      <c r="G3653"/>
      <c r="H3653"/>
      <c r="I3653"/>
      <c r="J3653"/>
    </row>
    <row r="3654" spans="1:18" ht="12.75" x14ac:dyDescent="0.2"/>
    <row r="3655" spans="1:18" ht="14.25" customHeight="1" x14ac:dyDescent="0.2">
      <c r="K3655" s="68"/>
    </row>
    <row r="3656" spans="1:18" ht="14.25" customHeight="1" x14ac:dyDescent="0.2">
      <c r="K3656" s="68"/>
    </row>
    <row r="3657" spans="1:18" ht="12.75" x14ac:dyDescent="0.2">
      <c r="K3657" s="68"/>
    </row>
    <row r="3658" spans="1:18" ht="14.25" customHeight="1" x14ac:dyDescent="0.2">
      <c r="K3658" s="17"/>
    </row>
    <row r="3659" spans="1:18" ht="12.75" x14ac:dyDescent="0.2">
      <c r="K3659" s="17"/>
    </row>
    <row r="3660" spans="1:18" ht="12.75" x14ac:dyDescent="0.2">
      <c r="K3660" s="17"/>
    </row>
    <row r="3661" spans="1:18" ht="12.75" x14ac:dyDescent="0.2">
      <c r="K3661" s="17"/>
    </row>
    <row r="3662" spans="1:18" ht="12.75" x14ac:dyDescent="0.2">
      <c r="K3662" s="17"/>
    </row>
    <row r="3663" spans="1:18" ht="12.75" x14ac:dyDescent="0.2">
      <c r="K3663" s="17"/>
      <c r="R3663" s="17"/>
    </row>
    <row r="3664" spans="1:18" ht="12.75" x14ac:dyDescent="0.2">
      <c r="K3664" s="17"/>
    </row>
    <row r="3665" spans="1:11" ht="12.75" x14ac:dyDescent="0.2">
      <c r="K3665" s="17"/>
    </row>
    <row r="3666" spans="1:11" ht="12.75" x14ac:dyDescent="0.2"/>
    <row r="3667" spans="1:11" s="17" customFormat="1" ht="12.75" x14ac:dyDescent="0.2">
      <c r="A3667"/>
      <c r="B3667"/>
      <c r="C3667"/>
      <c r="D3667"/>
      <c r="E3667"/>
      <c r="F3667"/>
      <c r="G3667"/>
      <c r="H3667"/>
      <c r="I3667"/>
      <c r="J3667"/>
    </row>
    <row r="3668" spans="1:11" s="92" customFormat="1" ht="15" x14ac:dyDescent="0.2">
      <c r="A3668"/>
      <c r="B3668"/>
      <c r="C3668"/>
      <c r="D3668"/>
      <c r="E3668"/>
      <c r="F3668"/>
      <c r="G3668"/>
      <c r="H3668"/>
      <c r="I3668"/>
      <c r="J3668"/>
      <c r="K3668" s="19"/>
    </row>
    <row r="3669" spans="1:11" ht="12.75" x14ac:dyDescent="0.2"/>
    <row r="3670" spans="1:11" ht="12" customHeight="1" x14ac:dyDescent="0.2"/>
    <row r="3671" spans="1:11" ht="12.75" x14ac:dyDescent="0.2"/>
    <row r="3672" spans="1:11" ht="12.75" x14ac:dyDescent="0.2"/>
    <row r="3673" spans="1:11" ht="12.75" x14ac:dyDescent="0.2">
      <c r="K3673" s="57"/>
    </row>
    <row r="3674" spans="1:11" ht="12.75" x14ac:dyDescent="0.2">
      <c r="K3674" s="58"/>
    </row>
    <row r="3675" spans="1:11" ht="12.75" x14ac:dyDescent="0.2">
      <c r="K3675" s="58"/>
    </row>
    <row r="3676" spans="1:11" ht="12.75" x14ac:dyDescent="0.2"/>
    <row r="3677" spans="1:11" ht="12.75" x14ac:dyDescent="0.2">
      <c r="K3677" s="61"/>
    </row>
    <row r="3678" spans="1:11" ht="12.75" x14ac:dyDescent="0.2">
      <c r="K3678" s="61"/>
    </row>
    <row r="3679" spans="1:11" s="59" customFormat="1" ht="15" x14ac:dyDescent="0.25">
      <c r="A3679"/>
      <c r="B3679"/>
      <c r="C3679"/>
      <c r="D3679"/>
      <c r="E3679"/>
      <c r="F3679"/>
      <c r="G3679"/>
      <c r="H3679"/>
      <c r="I3679"/>
      <c r="J3679"/>
    </row>
    <row r="3680" spans="1:11" s="59" customFormat="1" ht="15" x14ac:dyDescent="0.25">
      <c r="A3680"/>
      <c r="B3680"/>
      <c r="C3680"/>
      <c r="D3680"/>
      <c r="E3680"/>
      <c r="F3680"/>
      <c r="G3680"/>
      <c r="H3680"/>
      <c r="I3680"/>
      <c r="J3680"/>
    </row>
    <row r="3681" spans="1:18" ht="12.75" x14ac:dyDescent="0.2"/>
    <row r="3682" spans="1:18" ht="14.25" customHeight="1" x14ac:dyDescent="0.2">
      <c r="K3682" s="68"/>
    </row>
    <row r="3683" spans="1:18" ht="14.25" customHeight="1" x14ac:dyDescent="0.2">
      <c r="K3683" s="68"/>
    </row>
    <row r="3684" spans="1:18" ht="12.75" x14ac:dyDescent="0.2">
      <c r="K3684" s="68"/>
    </row>
    <row r="3685" spans="1:18" ht="14.25" customHeight="1" x14ac:dyDescent="0.2">
      <c r="K3685" s="17"/>
    </row>
    <row r="3686" spans="1:18" ht="12.75" x14ac:dyDescent="0.2">
      <c r="K3686" s="17"/>
    </row>
    <row r="3687" spans="1:18" ht="12.75" x14ac:dyDescent="0.2">
      <c r="K3687" s="17"/>
    </row>
    <row r="3688" spans="1:18" ht="12.75" x14ac:dyDescent="0.2">
      <c r="K3688" s="17"/>
    </row>
    <row r="3689" spans="1:18" ht="12.75" x14ac:dyDescent="0.2">
      <c r="K3689" s="17"/>
    </row>
    <row r="3690" spans="1:18" ht="12.75" x14ac:dyDescent="0.2">
      <c r="K3690" s="17"/>
      <c r="R3690" s="17"/>
    </row>
    <row r="3691" spans="1:18" ht="12.75" x14ac:dyDescent="0.2">
      <c r="K3691" s="17"/>
    </row>
    <row r="3692" spans="1:18" ht="12.75" x14ac:dyDescent="0.2">
      <c r="K3692" s="17"/>
    </row>
    <row r="3693" spans="1:18" ht="12.75" x14ac:dyDescent="0.2"/>
    <row r="3694" spans="1:18" s="17" customFormat="1" ht="12.75" x14ac:dyDescent="0.2">
      <c r="A3694"/>
      <c r="B3694"/>
      <c r="C3694"/>
      <c r="D3694"/>
      <c r="E3694"/>
      <c r="F3694"/>
      <c r="G3694"/>
      <c r="H3694"/>
      <c r="I3694"/>
      <c r="J3694"/>
    </row>
    <row r="3695" spans="1:18" s="92" customFormat="1" ht="15" x14ac:dyDescent="0.2">
      <c r="A3695"/>
      <c r="B3695"/>
      <c r="C3695"/>
      <c r="D3695"/>
      <c r="E3695"/>
      <c r="F3695"/>
      <c r="G3695"/>
      <c r="H3695"/>
      <c r="I3695"/>
      <c r="J3695"/>
      <c r="K3695" s="19"/>
    </row>
    <row r="3696" spans="1:18" ht="12.75" x14ac:dyDescent="0.2"/>
    <row r="3697" spans="1:11" ht="12" customHeight="1" x14ac:dyDescent="0.2"/>
    <row r="3698" spans="1:11" ht="12.75" x14ac:dyDescent="0.2"/>
    <row r="3699" spans="1:11" ht="12.75" x14ac:dyDescent="0.2"/>
    <row r="3700" spans="1:11" ht="12.75" x14ac:dyDescent="0.2">
      <c r="K3700" s="57"/>
    </row>
    <row r="3701" spans="1:11" ht="12.75" x14ac:dyDescent="0.2">
      <c r="K3701" s="58"/>
    </row>
    <row r="3702" spans="1:11" ht="12.75" x14ac:dyDescent="0.2">
      <c r="K3702" s="58"/>
    </row>
    <row r="3703" spans="1:11" ht="12.75" x14ac:dyDescent="0.2"/>
    <row r="3704" spans="1:11" ht="12.75" x14ac:dyDescent="0.2">
      <c r="K3704" s="61"/>
    </row>
    <row r="3705" spans="1:11" ht="12.75" x14ac:dyDescent="0.2">
      <c r="K3705" s="61"/>
    </row>
    <row r="3706" spans="1:11" s="59" customFormat="1" ht="15" x14ac:dyDescent="0.25">
      <c r="A3706"/>
      <c r="B3706"/>
      <c r="C3706"/>
      <c r="D3706"/>
      <c r="E3706"/>
      <c r="F3706"/>
      <c r="G3706"/>
      <c r="H3706"/>
      <c r="I3706"/>
      <c r="J3706"/>
    </row>
    <row r="3707" spans="1:11" s="59" customFormat="1" ht="15" x14ac:dyDescent="0.25">
      <c r="A3707"/>
      <c r="B3707"/>
      <c r="C3707"/>
      <c r="D3707"/>
      <c r="E3707"/>
      <c r="F3707"/>
      <c r="G3707"/>
      <c r="H3707"/>
      <c r="I3707"/>
      <c r="J3707"/>
    </row>
    <row r="3708" spans="1:11" ht="12.75" x14ac:dyDescent="0.2"/>
    <row r="3709" spans="1:11" ht="14.25" customHeight="1" x14ac:dyDescent="0.2">
      <c r="K3709" s="68"/>
    </row>
    <row r="3710" spans="1:11" ht="14.25" customHeight="1" x14ac:dyDescent="0.2">
      <c r="K3710" s="68"/>
    </row>
    <row r="3711" spans="1:11" ht="12.75" x14ac:dyDescent="0.2">
      <c r="K3711" s="68"/>
    </row>
    <row r="3712" spans="1:11" ht="14.25" customHeight="1" x14ac:dyDescent="0.2">
      <c r="K3712" s="17"/>
    </row>
    <row r="3713" spans="1:18" ht="12.75" x14ac:dyDescent="0.2">
      <c r="K3713" s="17"/>
    </row>
    <row r="3714" spans="1:18" ht="12.75" x14ac:dyDescent="0.2">
      <c r="K3714" s="17"/>
    </row>
    <row r="3715" spans="1:18" ht="12.75" x14ac:dyDescent="0.2">
      <c r="K3715" s="17"/>
    </row>
    <row r="3716" spans="1:18" ht="12.75" x14ac:dyDescent="0.2">
      <c r="K3716" s="17"/>
    </row>
    <row r="3717" spans="1:18" ht="12.75" x14ac:dyDescent="0.2">
      <c r="K3717" s="17"/>
      <c r="R3717" s="17"/>
    </row>
    <row r="3718" spans="1:18" ht="12.75" x14ac:dyDescent="0.2">
      <c r="K3718" s="17"/>
    </row>
    <row r="3719" spans="1:18" ht="12.75" x14ac:dyDescent="0.2">
      <c r="K3719" s="17"/>
    </row>
    <row r="3720" spans="1:18" ht="12.75" x14ac:dyDescent="0.2"/>
    <row r="3721" spans="1:18" s="17" customFormat="1" ht="12.75" x14ac:dyDescent="0.2">
      <c r="A3721"/>
      <c r="B3721"/>
      <c r="C3721"/>
      <c r="D3721"/>
      <c r="E3721"/>
      <c r="F3721"/>
      <c r="G3721"/>
      <c r="H3721"/>
      <c r="I3721"/>
      <c r="J3721"/>
    </row>
    <row r="3722" spans="1:18" s="92" customFormat="1" ht="15" x14ac:dyDescent="0.2">
      <c r="A3722"/>
      <c r="B3722"/>
      <c r="C3722"/>
      <c r="D3722"/>
      <c r="E3722"/>
      <c r="F3722"/>
      <c r="G3722"/>
      <c r="H3722"/>
      <c r="I3722"/>
      <c r="J3722"/>
      <c r="K3722" s="19"/>
    </row>
    <row r="3723" spans="1:18" ht="12.75" x14ac:dyDescent="0.2"/>
    <row r="3724" spans="1:18" ht="12" customHeight="1" x14ac:dyDescent="0.2"/>
    <row r="3725" spans="1:18" ht="12.75" x14ac:dyDescent="0.2"/>
    <row r="3726" spans="1:18" ht="12.75" x14ac:dyDescent="0.2"/>
    <row r="3727" spans="1:18" ht="12.75" x14ac:dyDescent="0.2">
      <c r="K3727" s="57"/>
    </row>
    <row r="3728" spans="1:18" ht="12.75" x14ac:dyDescent="0.2">
      <c r="K3728" s="58"/>
    </row>
    <row r="3729" spans="1:18" ht="12.75" x14ac:dyDescent="0.2">
      <c r="K3729" s="58"/>
    </row>
    <row r="3730" spans="1:18" ht="12.75" x14ac:dyDescent="0.2"/>
    <row r="3731" spans="1:18" ht="12.75" x14ac:dyDescent="0.2">
      <c r="K3731" s="61"/>
    </row>
    <row r="3732" spans="1:18" ht="12.75" x14ac:dyDescent="0.2">
      <c r="K3732" s="61"/>
    </row>
    <row r="3733" spans="1:18" s="59" customFormat="1" ht="15" x14ac:dyDescent="0.25">
      <c r="A3733"/>
      <c r="B3733"/>
      <c r="C3733"/>
      <c r="D3733"/>
      <c r="E3733"/>
      <c r="F3733"/>
      <c r="G3733"/>
      <c r="H3733"/>
      <c r="I3733"/>
      <c r="J3733"/>
    </row>
    <row r="3734" spans="1:18" s="59" customFormat="1" ht="15" x14ac:dyDescent="0.25">
      <c r="A3734"/>
      <c r="B3734"/>
      <c r="C3734"/>
      <c r="D3734"/>
      <c r="E3734"/>
      <c r="F3734"/>
      <c r="G3734"/>
      <c r="H3734"/>
      <c r="I3734"/>
      <c r="J3734"/>
    </row>
    <row r="3735" spans="1:18" ht="12.75" x14ac:dyDescent="0.2"/>
    <row r="3736" spans="1:18" ht="14.25" customHeight="1" x14ac:dyDescent="0.2">
      <c r="K3736" s="68"/>
    </row>
    <row r="3737" spans="1:18" ht="14.25" customHeight="1" x14ac:dyDescent="0.2">
      <c r="K3737" s="68"/>
    </row>
    <row r="3738" spans="1:18" ht="12.75" x14ac:dyDescent="0.2">
      <c r="K3738" s="68"/>
    </row>
    <row r="3739" spans="1:18" ht="14.25" customHeight="1" x14ac:dyDescent="0.2">
      <c r="K3739" s="17"/>
    </row>
    <row r="3740" spans="1:18" ht="12.75" x14ac:dyDescent="0.2">
      <c r="K3740" s="17"/>
    </row>
    <row r="3741" spans="1:18" ht="12.75" x14ac:dyDescent="0.2">
      <c r="K3741" s="17"/>
    </row>
    <row r="3742" spans="1:18" ht="12.75" x14ac:dyDescent="0.2">
      <c r="K3742" s="17"/>
    </row>
    <row r="3743" spans="1:18" ht="12.75" x14ac:dyDescent="0.2">
      <c r="K3743" s="17"/>
    </row>
    <row r="3744" spans="1:18" ht="12.75" x14ac:dyDescent="0.2">
      <c r="K3744" s="17"/>
      <c r="R3744" s="17"/>
    </row>
    <row r="3745" spans="1:11" ht="12.75" x14ac:dyDescent="0.2">
      <c r="K3745" s="17"/>
    </row>
    <row r="3746" spans="1:11" ht="12.75" x14ac:dyDescent="0.2">
      <c r="K3746" s="17"/>
    </row>
    <row r="3747" spans="1:11" ht="12.75" x14ac:dyDescent="0.2"/>
    <row r="3748" spans="1:11" s="17" customFormat="1" ht="12.75" x14ac:dyDescent="0.2">
      <c r="A3748"/>
      <c r="B3748"/>
      <c r="C3748"/>
      <c r="D3748"/>
      <c r="E3748"/>
      <c r="F3748"/>
      <c r="G3748"/>
      <c r="H3748"/>
      <c r="I3748"/>
      <c r="J3748"/>
    </row>
    <row r="3749" spans="1:11" s="92" customFormat="1" ht="15" x14ac:dyDescent="0.2">
      <c r="A3749"/>
      <c r="B3749"/>
      <c r="C3749"/>
      <c r="D3749"/>
      <c r="E3749"/>
      <c r="F3749"/>
      <c r="G3749"/>
      <c r="H3749"/>
      <c r="I3749"/>
      <c r="J3749"/>
      <c r="K3749" s="19"/>
    </row>
    <row r="3750" spans="1:11" ht="12.75" x14ac:dyDescent="0.2"/>
    <row r="3751" spans="1:11" ht="12" customHeight="1" x14ac:dyDescent="0.2"/>
    <row r="3752" spans="1:11" ht="12.75" x14ac:dyDescent="0.2"/>
    <row r="3753" spans="1:11" ht="12.75" x14ac:dyDescent="0.2"/>
    <row r="3754" spans="1:11" ht="12.75" x14ac:dyDescent="0.2">
      <c r="K3754" s="57"/>
    </row>
    <row r="3755" spans="1:11" ht="12.75" x14ac:dyDescent="0.2">
      <c r="K3755" s="58"/>
    </row>
    <row r="3756" spans="1:11" ht="12.75" x14ac:dyDescent="0.2">
      <c r="K3756" s="58"/>
    </row>
    <row r="3757" spans="1:11" ht="12.75" x14ac:dyDescent="0.2"/>
    <row r="3758" spans="1:11" ht="12.75" x14ac:dyDescent="0.2">
      <c r="K3758" s="61"/>
    </row>
    <row r="3759" spans="1:11" ht="12.75" x14ac:dyDescent="0.2">
      <c r="K3759" s="61"/>
    </row>
    <row r="3760" spans="1:11" s="59" customFormat="1" ht="15" x14ac:dyDescent="0.25">
      <c r="A3760"/>
      <c r="B3760"/>
      <c r="C3760"/>
      <c r="D3760"/>
      <c r="E3760"/>
      <c r="F3760"/>
      <c r="G3760"/>
      <c r="H3760"/>
      <c r="I3760"/>
      <c r="J3760"/>
    </row>
    <row r="3761" spans="1:18" s="59" customFormat="1" ht="15" x14ac:dyDescent="0.25">
      <c r="A3761"/>
      <c r="B3761"/>
      <c r="C3761"/>
      <c r="D3761"/>
      <c r="E3761"/>
      <c r="F3761"/>
      <c r="G3761"/>
      <c r="H3761"/>
      <c r="I3761"/>
      <c r="J3761"/>
    </row>
    <row r="3762" spans="1:18" ht="12.75" x14ac:dyDescent="0.2"/>
    <row r="3763" spans="1:18" ht="14.25" customHeight="1" x14ac:dyDescent="0.2">
      <c r="K3763" s="68"/>
    </row>
    <row r="3764" spans="1:18" ht="14.25" customHeight="1" x14ac:dyDescent="0.2">
      <c r="K3764" s="68"/>
    </row>
    <row r="3765" spans="1:18" ht="12.75" x14ac:dyDescent="0.2">
      <c r="K3765" s="68"/>
    </row>
    <row r="3766" spans="1:18" ht="14.25" customHeight="1" x14ac:dyDescent="0.2">
      <c r="K3766" s="17"/>
    </row>
    <row r="3767" spans="1:18" ht="12.75" x14ac:dyDescent="0.2">
      <c r="K3767" s="17"/>
    </row>
    <row r="3768" spans="1:18" ht="12.75" x14ac:dyDescent="0.2">
      <c r="K3768" s="17"/>
    </row>
    <row r="3769" spans="1:18" ht="12.75" x14ac:dyDescent="0.2">
      <c r="K3769" s="17"/>
    </row>
    <row r="3770" spans="1:18" ht="12.75" x14ac:dyDescent="0.2">
      <c r="K3770" s="17"/>
    </row>
    <row r="3771" spans="1:18" ht="12.75" x14ac:dyDescent="0.2">
      <c r="K3771" s="17"/>
      <c r="R3771" s="17"/>
    </row>
    <row r="3772" spans="1:18" ht="12.75" x14ac:dyDescent="0.2">
      <c r="K3772" s="17"/>
    </row>
    <row r="3773" spans="1:18" ht="12.75" x14ac:dyDescent="0.2">
      <c r="K3773" s="17"/>
    </row>
    <row r="3774" spans="1:18" ht="12.75" x14ac:dyDescent="0.2"/>
    <row r="3775" spans="1:18" s="17" customFormat="1" ht="12.75" x14ac:dyDescent="0.2">
      <c r="A3775"/>
      <c r="B3775"/>
      <c r="C3775"/>
      <c r="D3775"/>
      <c r="E3775"/>
      <c r="F3775"/>
      <c r="G3775"/>
      <c r="H3775"/>
      <c r="I3775"/>
      <c r="J3775"/>
    </row>
    <row r="3776" spans="1:18" s="92" customFormat="1" ht="15" x14ac:dyDescent="0.2">
      <c r="A3776"/>
      <c r="B3776"/>
      <c r="C3776"/>
      <c r="D3776"/>
      <c r="E3776"/>
      <c r="F3776"/>
      <c r="G3776"/>
      <c r="H3776"/>
      <c r="I3776"/>
      <c r="J3776"/>
      <c r="K3776" s="19"/>
    </row>
    <row r="3777" spans="1:11" ht="12.75" x14ac:dyDescent="0.2"/>
    <row r="3778" spans="1:11" ht="12" customHeight="1" x14ac:dyDescent="0.2"/>
    <row r="3779" spans="1:11" ht="12.75" x14ac:dyDescent="0.2"/>
    <row r="3780" spans="1:11" ht="12.75" x14ac:dyDescent="0.2"/>
    <row r="3781" spans="1:11" ht="12.75" x14ac:dyDescent="0.2">
      <c r="K3781" s="57"/>
    </row>
    <row r="3782" spans="1:11" ht="12.75" x14ac:dyDescent="0.2">
      <c r="K3782" s="58"/>
    </row>
    <row r="3783" spans="1:11" ht="12.75" x14ac:dyDescent="0.2">
      <c r="K3783" s="58"/>
    </row>
    <row r="3784" spans="1:11" ht="12.75" x14ac:dyDescent="0.2"/>
    <row r="3785" spans="1:11" ht="12.75" x14ac:dyDescent="0.2">
      <c r="K3785" s="61"/>
    </row>
    <row r="3786" spans="1:11" ht="12.75" x14ac:dyDescent="0.2">
      <c r="K3786" s="61"/>
    </row>
    <row r="3787" spans="1:11" s="59" customFormat="1" ht="15" x14ac:dyDescent="0.25">
      <c r="A3787"/>
      <c r="B3787"/>
      <c r="C3787"/>
      <c r="D3787"/>
      <c r="E3787"/>
      <c r="F3787"/>
      <c r="G3787"/>
      <c r="H3787"/>
      <c r="I3787"/>
      <c r="J3787"/>
    </row>
    <row r="3788" spans="1:11" s="59" customFormat="1" ht="15" x14ac:dyDescent="0.25">
      <c r="A3788"/>
      <c r="B3788"/>
      <c r="C3788"/>
      <c r="D3788"/>
      <c r="E3788"/>
      <c r="F3788"/>
      <c r="G3788"/>
      <c r="H3788"/>
      <c r="I3788"/>
      <c r="J3788"/>
    </row>
    <row r="3789" spans="1:11" ht="12.75" x14ac:dyDescent="0.2"/>
    <row r="3790" spans="1:11" ht="14.25" customHeight="1" x14ac:dyDescent="0.2">
      <c r="K3790" s="68"/>
    </row>
    <row r="3791" spans="1:11" ht="14.25" customHeight="1" x14ac:dyDescent="0.2">
      <c r="K3791" s="68"/>
    </row>
    <row r="3792" spans="1:11" ht="12.75" x14ac:dyDescent="0.2">
      <c r="K3792" s="68"/>
    </row>
    <row r="3793" spans="1:18" ht="14.25" customHeight="1" x14ac:dyDescent="0.2">
      <c r="K3793" s="17"/>
    </row>
    <row r="3794" spans="1:18" ht="12.75" x14ac:dyDescent="0.2">
      <c r="K3794" s="17"/>
    </row>
    <row r="3795" spans="1:18" ht="12.75" x14ac:dyDescent="0.2">
      <c r="K3795" s="17"/>
    </row>
    <row r="3796" spans="1:18" ht="12.75" x14ac:dyDescent="0.2">
      <c r="K3796" s="17"/>
    </row>
    <row r="3797" spans="1:18" ht="12.75" x14ac:dyDescent="0.2">
      <c r="K3797" s="17"/>
    </row>
    <row r="3798" spans="1:18" ht="12.75" x14ac:dyDescent="0.2">
      <c r="K3798" s="17"/>
      <c r="R3798" s="17"/>
    </row>
    <row r="3799" spans="1:18" ht="12.75" x14ac:dyDescent="0.2">
      <c r="K3799" s="17"/>
    </row>
    <row r="3800" spans="1:18" ht="12.75" x14ac:dyDescent="0.2">
      <c r="K3800" s="17"/>
    </row>
    <row r="3801" spans="1:18" ht="12.75" x14ac:dyDescent="0.2"/>
    <row r="3802" spans="1:18" s="17" customFormat="1" ht="12.75" x14ac:dyDescent="0.2">
      <c r="A3802"/>
      <c r="B3802"/>
      <c r="C3802"/>
      <c r="D3802"/>
      <c r="E3802"/>
      <c r="F3802"/>
      <c r="G3802"/>
      <c r="H3802"/>
      <c r="I3802"/>
      <c r="J3802"/>
    </row>
    <row r="3803" spans="1:18" s="92" customFormat="1" ht="15" x14ac:dyDescent="0.2">
      <c r="A3803"/>
      <c r="B3803"/>
      <c r="C3803"/>
      <c r="D3803"/>
      <c r="E3803"/>
      <c r="F3803"/>
      <c r="G3803"/>
      <c r="H3803"/>
      <c r="I3803"/>
      <c r="J3803"/>
      <c r="K3803" s="19"/>
    </row>
    <row r="3804" spans="1:18" ht="12.75" x14ac:dyDescent="0.2"/>
    <row r="3805" spans="1:18" ht="12" customHeight="1" x14ac:dyDescent="0.2"/>
    <row r="3806" spans="1:18" ht="12.75" x14ac:dyDescent="0.2"/>
    <row r="3807" spans="1:18" ht="12.75" x14ac:dyDescent="0.2"/>
    <row r="3808" spans="1:18" ht="12.75" x14ac:dyDescent="0.2">
      <c r="K3808" s="57"/>
    </row>
    <row r="3809" spans="1:11" ht="12.75" x14ac:dyDescent="0.2">
      <c r="K3809" s="58"/>
    </row>
    <row r="3810" spans="1:11" ht="12.75" x14ac:dyDescent="0.2">
      <c r="K3810" s="58"/>
    </row>
    <row r="3811" spans="1:11" ht="12.75" x14ac:dyDescent="0.2"/>
    <row r="3812" spans="1:11" ht="12.75" x14ac:dyDescent="0.2">
      <c r="K3812" s="61"/>
    </row>
    <row r="3813" spans="1:11" ht="12.75" x14ac:dyDescent="0.2">
      <c r="K3813" s="61"/>
    </row>
    <row r="3814" spans="1:11" s="59" customFormat="1" ht="15" x14ac:dyDescent="0.25">
      <c r="A3814"/>
      <c r="B3814"/>
      <c r="C3814"/>
      <c r="D3814"/>
      <c r="E3814"/>
      <c r="F3814"/>
      <c r="G3814"/>
      <c r="H3814"/>
      <c r="I3814"/>
      <c r="J3814"/>
    </row>
    <row r="3815" spans="1:11" s="59" customFormat="1" ht="15" x14ac:dyDescent="0.25">
      <c r="A3815"/>
      <c r="B3815"/>
      <c r="C3815"/>
      <c r="D3815"/>
      <c r="E3815"/>
      <c r="F3815"/>
      <c r="G3815"/>
      <c r="H3815"/>
      <c r="I3815"/>
      <c r="J3815"/>
    </row>
    <row r="3816" spans="1:11" ht="12.75" x14ac:dyDescent="0.2"/>
    <row r="3817" spans="1:11" ht="14.25" customHeight="1" x14ac:dyDescent="0.2">
      <c r="K3817" s="68"/>
    </row>
    <row r="3818" spans="1:11" ht="14.25" customHeight="1" x14ac:dyDescent="0.2">
      <c r="K3818" s="68"/>
    </row>
    <row r="3819" spans="1:11" ht="12.75" x14ac:dyDescent="0.2">
      <c r="K3819" s="68"/>
    </row>
    <row r="3820" spans="1:11" ht="14.25" customHeight="1" x14ac:dyDescent="0.2">
      <c r="K3820" s="17"/>
    </row>
    <row r="3821" spans="1:11" ht="12.75" x14ac:dyDescent="0.2">
      <c r="K3821" s="17"/>
    </row>
    <row r="3822" spans="1:11" ht="12.75" x14ac:dyDescent="0.2">
      <c r="K3822" s="17"/>
    </row>
    <row r="3823" spans="1:11" ht="12.75" x14ac:dyDescent="0.2">
      <c r="K3823" s="17"/>
    </row>
    <row r="3824" spans="1:11" ht="12.75" x14ac:dyDescent="0.2">
      <c r="K3824" s="17"/>
    </row>
    <row r="3825" spans="1:18" ht="12.75" x14ac:dyDescent="0.2">
      <c r="K3825" s="17"/>
      <c r="R3825" s="17"/>
    </row>
    <row r="3826" spans="1:18" ht="12.75" x14ac:dyDescent="0.2">
      <c r="K3826" s="17"/>
    </row>
    <row r="3827" spans="1:18" ht="12.75" x14ac:dyDescent="0.2">
      <c r="K3827" s="17"/>
    </row>
    <row r="3828" spans="1:18" ht="12.75" x14ac:dyDescent="0.2"/>
    <row r="3829" spans="1:18" s="17" customFormat="1" ht="12.75" x14ac:dyDescent="0.2">
      <c r="A3829"/>
      <c r="B3829"/>
      <c r="C3829"/>
      <c r="D3829"/>
      <c r="E3829"/>
      <c r="F3829"/>
      <c r="G3829"/>
      <c r="H3829"/>
      <c r="I3829"/>
      <c r="J3829"/>
    </row>
    <row r="3830" spans="1:18" s="92" customFormat="1" ht="15" x14ac:dyDescent="0.2">
      <c r="A3830"/>
      <c r="B3830"/>
      <c r="C3830"/>
      <c r="D3830"/>
      <c r="E3830"/>
      <c r="F3830"/>
      <c r="G3830"/>
      <c r="H3830"/>
      <c r="I3830"/>
      <c r="J3830"/>
      <c r="K3830" s="19"/>
    </row>
    <row r="3831" spans="1:18" ht="12.75" x14ac:dyDescent="0.2"/>
    <row r="3832" spans="1:18" ht="12" customHeight="1" x14ac:dyDescent="0.2"/>
    <row r="3833" spans="1:18" ht="12.75" x14ac:dyDescent="0.2"/>
    <row r="3834" spans="1:18" ht="12.75" x14ac:dyDescent="0.2"/>
    <row r="3835" spans="1:18" ht="12.75" x14ac:dyDescent="0.2">
      <c r="K3835" s="57"/>
    </row>
    <row r="3836" spans="1:18" ht="12.75" x14ac:dyDescent="0.2">
      <c r="K3836" s="58"/>
    </row>
    <row r="3837" spans="1:18" ht="12.75" x14ac:dyDescent="0.2">
      <c r="K3837" s="58"/>
    </row>
    <row r="3838" spans="1:18" ht="12.75" x14ac:dyDescent="0.2"/>
    <row r="3839" spans="1:18" ht="12.75" x14ac:dyDescent="0.2">
      <c r="K3839" s="61"/>
    </row>
    <row r="3840" spans="1:18" ht="12.75" x14ac:dyDescent="0.2">
      <c r="K3840" s="61"/>
    </row>
    <row r="3841" spans="1:18" s="59" customFormat="1" ht="15" x14ac:dyDescent="0.25">
      <c r="A3841"/>
      <c r="B3841"/>
      <c r="C3841"/>
      <c r="D3841"/>
      <c r="E3841"/>
      <c r="F3841"/>
      <c r="G3841"/>
      <c r="H3841"/>
      <c r="I3841"/>
      <c r="J3841"/>
    </row>
    <row r="3842" spans="1:18" s="59" customFormat="1" ht="15" x14ac:dyDescent="0.25">
      <c r="A3842"/>
      <c r="B3842"/>
      <c r="C3842"/>
      <c r="D3842"/>
      <c r="E3842"/>
      <c r="F3842"/>
      <c r="G3842"/>
      <c r="H3842"/>
      <c r="I3842"/>
      <c r="J3842"/>
    </row>
    <row r="3843" spans="1:18" ht="12.75" x14ac:dyDescent="0.2"/>
    <row r="3844" spans="1:18" ht="14.25" customHeight="1" x14ac:dyDescent="0.2">
      <c r="K3844" s="68"/>
    </row>
    <row r="3845" spans="1:18" ht="14.25" customHeight="1" x14ac:dyDescent="0.2">
      <c r="K3845" s="68"/>
    </row>
    <row r="3846" spans="1:18" ht="12.75" x14ac:dyDescent="0.2">
      <c r="K3846" s="68"/>
    </row>
    <row r="3847" spans="1:18" ht="14.25" customHeight="1" x14ac:dyDescent="0.2">
      <c r="K3847" s="17"/>
    </row>
    <row r="3848" spans="1:18" ht="12.75" x14ac:dyDescent="0.2">
      <c r="K3848" s="17"/>
    </row>
    <row r="3849" spans="1:18" ht="12.75" x14ac:dyDescent="0.2">
      <c r="K3849" s="17"/>
    </row>
    <row r="3850" spans="1:18" ht="12.75" x14ac:dyDescent="0.2">
      <c r="K3850" s="17"/>
    </row>
    <row r="3851" spans="1:18" ht="12.75" x14ac:dyDescent="0.2">
      <c r="K3851" s="17"/>
    </row>
    <row r="3852" spans="1:18" ht="12.75" x14ac:dyDescent="0.2">
      <c r="K3852" s="17"/>
      <c r="R3852" s="17"/>
    </row>
    <row r="3853" spans="1:18" ht="12.75" x14ac:dyDescent="0.2">
      <c r="K3853" s="17"/>
    </row>
    <row r="3854" spans="1:18" ht="12.75" x14ac:dyDescent="0.2">
      <c r="K3854" s="17"/>
    </row>
    <row r="3855" spans="1:18" ht="12.75" x14ac:dyDescent="0.2"/>
    <row r="3856" spans="1:18" s="17" customFormat="1" ht="12.75" x14ac:dyDescent="0.2">
      <c r="A3856"/>
      <c r="B3856"/>
      <c r="C3856"/>
      <c r="D3856"/>
      <c r="E3856"/>
      <c r="F3856"/>
      <c r="G3856"/>
      <c r="H3856"/>
      <c r="I3856"/>
      <c r="J3856"/>
    </row>
    <row r="3857" spans="1:11" s="92" customFormat="1" ht="15" x14ac:dyDescent="0.2">
      <c r="A3857"/>
      <c r="B3857"/>
      <c r="C3857"/>
      <c r="D3857"/>
      <c r="E3857"/>
      <c r="F3857"/>
      <c r="G3857"/>
      <c r="H3857"/>
      <c r="I3857"/>
      <c r="J3857"/>
      <c r="K3857" s="19"/>
    </row>
    <row r="3858" spans="1:11" ht="12.75" x14ac:dyDescent="0.2"/>
    <row r="3859" spans="1:11" ht="12" customHeight="1" x14ac:dyDescent="0.2"/>
    <row r="3860" spans="1:11" ht="12.75" x14ac:dyDescent="0.2"/>
    <row r="3861" spans="1:11" ht="12.75" x14ac:dyDescent="0.2"/>
    <row r="3862" spans="1:11" ht="12.75" x14ac:dyDescent="0.2">
      <c r="K3862" s="57"/>
    </row>
    <row r="3863" spans="1:11" ht="12.75" x14ac:dyDescent="0.2">
      <c r="K3863" s="58"/>
    </row>
    <row r="3864" spans="1:11" ht="12.75" x14ac:dyDescent="0.2">
      <c r="K3864" s="58"/>
    </row>
    <row r="3865" spans="1:11" ht="12.75" x14ac:dyDescent="0.2"/>
    <row r="3866" spans="1:11" ht="12.75" x14ac:dyDescent="0.2">
      <c r="K3866" s="61"/>
    </row>
    <row r="3867" spans="1:11" ht="12.75" x14ac:dyDescent="0.2">
      <c r="K3867" s="61"/>
    </row>
    <row r="3868" spans="1:11" s="59" customFormat="1" ht="15" x14ac:dyDescent="0.25">
      <c r="A3868"/>
      <c r="B3868"/>
      <c r="C3868"/>
      <c r="D3868"/>
      <c r="E3868"/>
      <c r="F3868"/>
      <c r="G3868"/>
      <c r="H3868"/>
      <c r="I3868"/>
      <c r="J3868"/>
    </row>
    <row r="3869" spans="1:11" s="59" customFormat="1" ht="15" x14ac:dyDescent="0.25">
      <c r="A3869"/>
      <c r="B3869"/>
      <c r="C3869"/>
      <c r="D3869"/>
      <c r="E3869"/>
      <c r="F3869"/>
      <c r="G3869"/>
      <c r="H3869"/>
      <c r="I3869"/>
      <c r="J3869"/>
    </row>
    <row r="3870" spans="1:11" ht="12.75" x14ac:dyDescent="0.2"/>
    <row r="3871" spans="1:11" ht="14.25" customHeight="1" x14ac:dyDescent="0.2">
      <c r="K3871" s="68"/>
    </row>
    <row r="3872" spans="1:11" ht="14.25" customHeight="1" x14ac:dyDescent="0.2">
      <c r="K3872" s="68"/>
    </row>
    <row r="3873" spans="1:18" ht="12.75" x14ac:dyDescent="0.2">
      <c r="K3873" s="68"/>
    </row>
    <row r="3874" spans="1:18" ht="14.25" customHeight="1" x14ac:dyDescent="0.2">
      <c r="K3874" s="17"/>
    </row>
    <row r="3875" spans="1:18" ht="12.75" x14ac:dyDescent="0.2">
      <c r="K3875" s="17"/>
    </row>
    <row r="3876" spans="1:18" ht="12.75" x14ac:dyDescent="0.2">
      <c r="K3876" s="17"/>
    </row>
    <row r="3877" spans="1:18" ht="12.75" x14ac:dyDescent="0.2">
      <c r="K3877" s="17"/>
    </row>
    <row r="3878" spans="1:18" ht="12.75" x14ac:dyDescent="0.2">
      <c r="K3878" s="17"/>
    </row>
    <row r="3879" spans="1:18" ht="12.75" x14ac:dyDescent="0.2">
      <c r="K3879" s="17"/>
      <c r="R3879" s="17"/>
    </row>
    <row r="3880" spans="1:18" ht="12.75" x14ac:dyDescent="0.2">
      <c r="K3880" s="17"/>
    </row>
    <row r="3881" spans="1:18" ht="12.75" x14ac:dyDescent="0.2">
      <c r="K3881" s="17"/>
    </row>
    <row r="3882" spans="1:18" ht="12.75" x14ac:dyDescent="0.2"/>
    <row r="3883" spans="1:18" s="17" customFormat="1" ht="12.75" x14ac:dyDescent="0.2">
      <c r="A3883"/>
      <c r="B3883"/>
      <c r="C3883"/>
      <c r="D3883"/>
      <c r="E3883"/>
      <c r="F3883"/>
      <c r="G3883"/>
      <c r="H3883"/>
      <c r="I3883"/>
      <c r="J3883"/>
    </row>
    <row r="3884" spans="1:18" s="92" customFormat="1" ht="15" x14ac:dyDescent="0.2">
      <c r="A3884"/>
      <c r="B3884"/>
      <c r="C3884"/>
      <c r="D3884"/>
      <c r="E3884"/>
      <c r="F3884"/>
      <c r="G3884"/>
      <c r="H3884"/>
      <c r="I3884"/>
      <c r="J3884"/>
      <c r="K3884" s="19"/>
    </row>
    <row r="3885" spans="1:18" ht="12.75" x14ac:dyDescent="0.2"/>
    <row r="3886" spans="1:18" ht="12" customHeight="1" x14ac:dyDescent="0.2"/>
    <row r="3887" spans="1:18" ht="12.75" x14ac:dyDescent="0.2"/>
    <row r="3888" spans="1:18" ht="12.75" x14ac:dyDescent="0.2"/>
    <row r="3889" spans="1:11" ht="12.75" x14ac:dyDescent="0.2">
      <c r="K3889" s="57"/>
    </row>
    <row r="3890" spans="1:11" ht="12.75" x14ac:dyDescent="0.2">
      <c r="K3890" s="58"/>
    </row>
    <row r="3891" spans="1:11" ht="12.75" x14ac:dyDescent="0.2">
      <c r="K3891" s="58"/>
    </row>
    <row r="3892" spans="1:11" ht="12.75" x14ac:dyDescent="0.2"/>
    <row r="3893" spans="1:11" ht="12.75" x14ac:dyDescent="0.2">
      <c r="K3893" s="61"/>
    </row>
    <row r="3894" spans="1:11" ht="12.75" x14ac:dyDescent="0.2">
      <c r="K3894" s="61"/>
    </row>
    <row r="3895" spans="1:11" s="59" customFormat="1" ht="15" x14ac:dyDescent="0.25">
      <c r="A3895"/>
      <c r="B3895"/>
      <c r="C3895"/>
      <c r="D3895"/>
      <c r="E3895"/>
      <c r="F3895"/>
      <c r="G3895"/>
      <c r="H3895"/>
      <c r="I3895"/>
      <c r="J3895"/>
    </row>
    <row r="3896" spans="1:11" s="59" customFormat="1" ht="15" x14ac:dyDescent="0.25">
      <c r="A3896"/>
      <c r="B3896"/>
      <c r="C3896"/>
      <c r="D3896"/>
      <c r="E3896"/>
      <c r="F3896"/>
      <c r="G3896"/>
      <c r="H3896"/>
      <c r="I3896"/>
      <c r="J3896"/>
    </row>
    <row r="3897" spans="1:11" ht="12.75" x14ac:dyDescent="0.2"/>
    <row r="3898" spans="1:11" ht="14.25" customHeight="1" x14ac:dyDescent="0.2">
      <c r="K3898" s="68"/>
    </row>
    <row r="3899" spans="1:11" ht="14.25" customHeight="1" x14ac:dyDescent="0.2">
      <c r="K3899" s="68"/>
    </row>
    <row r="3900" spans="1:11" ht="12.75" x14ac:dyDescent="0.2">
      <c r="K3900" s="68"/>
    </row>
    <row r="3901" spans="1:11" ht="14.25" customHeight="1" x14ac:dyDescent="0.2">
      <c r="K3901" s="17"/>
    </row>
    <row r="3902" spans="1:11" ht="12.75" x14ac:dyDescent="0.2">
      <c r="K3902" s="17"/>
    </row>
    <row r="3903" spans="1:11" ht="12.75" x14ac:dyDescent="0.2">
      <c r="K3903" s="17"/>
    </row>
    <row r="3904" spans="1:11" ht="12.75" x14ac:dyDescent="0.2">
      <c r="K3904" s="17"/>
    </row>
    <row r="3905" spans="1:18" ht="12.75" x14ac:dyDescent="0.2">
      <c r="K3905" s="17"/>
    </row>
    <row r="3906" spans="1:18" ht="12.75" x14ac:dyDescent="0.2">
      <c r="K3906" s="17"/>
      <c r="R3906" s="17"/>
    </row>
    <row r="3907" spans="1:18" ht="12.75" x14ac:dyDescent="0.2">
      <c r="K3907" s="17"/>
    </row>
    <row r="3908" spans="1:18" ht="12.75" x14ac:dyDescent="0.2">
      <c r="K3908" s="17"/>
    </row>
    <row r="3909" spans="1:18" ht="12.75" x14ac:dyDescent="0.2"/>
    <row r="3910" spans="1:18" s="17" customFormat="1" ht="12.75" x14ac:dyDescent="0.2">
      <c r="A3910"/>
      <c r="B3910"/>
      <c r="C3910"/>
      <c r="D3910"/>
      <c r="E3910"/>
      <c r="F3910"/>
      <c r="G3910"/>
      <c r="H3910"/>
      <c r="I3910"/>
      <c r="J3910"/>
    </row>
    <row r="3911" spans="1:18" s="92" customFormat="1" ht="15" x14ac:dyDescent="0.2">
      <c r="A3911"/>
      <c r="B3911"/>
      <c r="C3911"/>
      <c r="D3911"/>
      <c r="E3911"/>
      <c r="F3911"/>
      <c r="G3911"/>
      <c r="H3911"/>
      <c r="I3911"/>
      <c r="J3911"/>
      <c r="K3911" s="19"/>
    </row>
    <row r="3912" spans="1:18" ht="12.75" x14ac:dyDescent="0.2"/>
    <row r="3913" spans="1:18" ht="12" customHeight="1" x14ac:dyDescent="0.2"/>
    <row r="3914" spans="1:18" ht="12.75" x14ac:dyDescent="0.2"/>
    <row r="3915" spans="1:18" ht="12.75" x14ac:dyDescent="0.2"/>
    <row r="3916" spans="1:18" ht="12.75" x14ac:dyDescent="0.2">
      <c r="K3916" s="57"/>
    </row>
    <row r="3917" spans="1:18" ht="12.75" x14ac:dyDescent="0.2">
      <c r="K3917" s="58"/>
    </row>
    <row r="3918" spans="1:18" ht="12.75" x14ac:dyDescent="0.2">
      <c r="K3918" s="58"/>
    </row>
    <row r="3919" spans="1:18" ht="12.75" x14ac:dyDescent="0.2"/>
    <row r="3920" spans="1:18" ht="12.75" x14ac:dyDescent="0.2">
      <c r="K3920" s="61"/>
    </row>
    <row r="3921" spans="1:18" ht="12.75" x14ac:dyDescent="0.2">
      <c r="K3921" s="61"/>
    </row>
    <row r="3922" spans="1:18" s="59" customFormat="1" ht="15" x14ac:dyDescent="0.25">
      <c r="A3922"/>
      <c r="B3922"/>
      <c r="C3922"/>
      <c r="D3922"/>
      <c r="E3922"/>
      <c r="F3922"/>
      <c r="G3922"/>
      <c r="H3922"/>
      <c r="I3922"/>
      <c r="J3922"/>
    </row>
    <row r="3923" spans="1:18" s="59" customFormat="1" ht="15" x14ac:dyDescent="0.25">
      <c r="A3923"/>
      <c r="B3923"/>
      <c r="C3923"/>
      <c r="D3923"/>
      <c r="E3923"/>
      <c r="F3923"/>
      <c r="G3923"/>
      <c r="H3923"/>
      <c r="I3923"/>
      <c r="J3923"/>
    </row>
    <row r="3924" spans="1:18" ht="12.75" x14ac:dyDescent="0.2"/>
    <row r="3925" spans="1:18" ht="14.25" customHeight="1" x14ac:dyDescent="0.2">
      <c r="K3925" s="68"/>
    </row>
    <row r="3926" spans="1:18" ht="14.25" customHeight="1" x14ac:dyDescent="0.2">
      <c r="K3926" s="68"/>
    </row>
    <row r="3927" spans="1:18" ht="12.75" x14ac:dyDescent="0.2">
      <c r="K3927" s="68"/>
    </row>
    <row r="3928" spans="1:18" ht="14.25" customHeight="1" x14ac:dyDescent="0.2">
      <c r="K3928" s="17"/>
    </row>
    <row r="3929" spans="1:18" ht="12.75" x14ac:dyDescent="0.2">
      <c r="K3929" s="17"/>
    </row>
    <row r="3930" spans="1:18" ht="12.75" x14ac:dyDescent="0.2">
      <c r="K3930" s="17"/>
    </row>
    <row r="3931" spans="1:18" ht="12.75" x14ac:dyDescent="0.2">
      <c r="K3931" s="17"/>
    </row>
    <row r="3932" spans="1:18" ht="12.75" x14ac:dyDescent="0.2">
      <c r="K3932" s="17"/>
    </row>
    <row r="3933" spans="1:18" ht="12.75" x14ac:dyDescent="0.2">
      <c r="K3933" s="17"/>
      <c r="R3933" s="17"/>
    </row>
    <row r="3934" spans="1:18" ht="12.75" x14ac:dyDescent="0.2">
      <c r="K3934" s="17"/>
    </row>
    <row r="3935" spans="1:18" ht="12.75" x14ac:dyDescent="0.2">
      <c r="K3935" s="17"/>
    </row>
    <row r="3936" spans="1:18" ht="12.75" x14ac:dyDescent="0.2"/>
    <row r="3937" spans="1:11" s="17" customFormat="1" ht="12.75" x14ac:dyDescent="0.2">
      <c r="A3937"/>
      <c r="B3937"/>
      <c r="C3937"/>
      <c r="D3937"/>
      <c r="E3937"/>
      <c r="F3937"/>
      <c r="G3937"/>
      <c r="H3937"/>
      <c r="I3937"/>
      <c r="J3937"/>
    </row>
    <row r="3938" spans="1:11" s="92" customFormat="1" ht="15" x14ac:dyDescent="0.2">
      <c r="A3938"/>
      <c r="B3938"/>
      <c r="C3938"/>
      <c r="D3938"/>
      <c r="E3938"/>
      <c r="F3938"/>
      <c r="G3938"/>
      <c r="H3938"/>
      <c r="I3938"/>
      <c r="J3938"/>
      <c r="K3938" s="19"/>
    </row>
    <row r="3939" spans="1:11" ht="12.75" x14ac:dyDescent="0.2"/>
    <row r="3940" spans="1:11" ht="12" customHeight="1" x14ac:dyDescent="0.2"/>
    <row r="3941" spans="1:11" ht="12.75" x14ac:dyDescent="0.2"/>
    <row r="3942" spans="1:11" ht="12.75" x14ac:dyDescent="0.2"/>
    <row r="3943" spans="1:11" ht="12.75" x14ac:dyDescent="0.2">
      <c r="K3943" s="57"/>
    </row>
    <row r="3944" spans="1:11" ht="12.75" x14ac:dyDescent="0.2">
      <c r="K3944" s="58"/>
    </row>
    <row r="3945" spans="1:11" ht="12.75" x14ac:dyDescent="0.2">
      <c r="K3945" s="58"/>
    </row>
    <row r="3946" spans="1:11" ht="12.75" x14ac:dyDescent="0.2"/>
    <row r="3947" spans="1:11" ht="12.75" x14ac:dyDescent="0.2">
      <c r="K3947" s="61"/>
    </row>
    <row r="3948" spans="1:11" ht="12.75" x14ac:dyDescent="0.2">
      <c r="K3948" s="61"/>
    </row>
    <row r="3949" spans="1:11" s="59" customFormat="1" ht="15" x14ac:dyDescent="0.25">
      <c r="A3949"/>
      <c r="B3949"/>
      <c r="C3949"/>
      <c r="D3949"/>
      <c r="E3949"/>
      <c r="F3949"/>
      <c r="G3949"/>
      <c r="H3949"/>
      <c r="I3949"/>
      <c r="J3949"/>
    </row>
    <row r="3950" spans="1:11" s="59" customFormat="1" ht="15" x14ac:dyDescent="0.25">
      <c r="A3950"/>
      <c r="B3950"/>
      <c r="C3950"/>
      <c r="D3950"/>
      <c r="E3950"/>
      <c r="F3950"/>
      <c r="G3950"/>
      <c r="H3950"/>
      <c r="I3950"/>
      <c r="J3950"/>
    </row>
    <row r="3951" spans="1:11" ht="12.75" x14ac:dyDescent="0.2"/>
    <row r="3952" spans="1:11" ht="14.25" customHeight="1" x14ac:dyDescent="0.2">
      <c r="K3952" s="68"/>
    </row>
    <row r="3953" spans="1:18" ht="14.25" customHeight="1" x14ac:dyDescent="0.2">
      <c r="K3953" s="68"/>
    </row>
    <row r="3954" spans="1:18" ht="12.75" x14ac:dyDescent="0.2">
      <c r="K3954" s="68"/>
    </row>
    <row r="3955" spans="1:18" ht="14.25" customHeight="1" x14ac:dyDescent="0.2">
      <c r="K3955" s="17"/>
    </row>
    <row r="3956" spans="1:18" ht="12.75" x14ac:dyDescent="0.2">
      <c r="K3956" s="17"/>
    </row>
    <row r="3957" spans="1:18" ht="12.75" x14ac:dyDescent="0.2">
      <c r="K3957" s="17"/>
    </row>
    <row r="3958" spans="1:18" ht="12.75" x14ac:dyDescent="0.2">
      <c r="K3958" s="17"/>
    </row>
    <row r="3959" spans="1:18" ht="12.75" x14ac:dyDescent="0.2">
      <c r="K3959" s="17"/>
    </row>
    <row r="3960" spans="1:18" ht="12.75" x14ac:dyDescent="0.2">
      <c r="K3960" s="17"/>
      <c r="R3960" s="17"/>
    </row>
    <row r="3961" spans="1:18" ht="12.75" x14ac:dyDescent="0.2">
      <c r="K3961" s="17"/>
    </row>
    <row r="3962" spans="1:18" ht="12.75" x14ac:dyDescent="0.2">
      <c r="K3962" s="17"/>
    </row>
    <row r="3963" spans="1:18" ht="12.75" x14ac:dyDescent="0.2"/>
    <row r="3964" spans="1:18" s="17" customFormat="1" ht="12.75" x14ac:dyDescent="0.2">
      <c r="A3964"/>
      <c r="B3964"/>
      <c r="C3964"/>
      <c r="D3964"/>
      <c r="E3964"/>
      <c r="F3964"/>
      <c r="G3964"/>
      <c r="H3964"/>
      <c r="I3964"/>
      <c r="J3964"/>
    </row>
    <row r="3965" spans="1:18" s="92" customFormat="1" ht="15" x14ac:dyDescent="0.2">
      <c r="A3965"/>
      <c r="B3965"/>
      <c r="C3965"/>
      <c r="D3965"/>
      <c r="E3965"/>
      <c r="F3965"/>
      <c r="G3965"/>
      <c r="H3965"/>
      <c r="I3965"/>
      <c r="J3965"/>
      <c r="K3965" s="19"/>
    </row>
    <row r="3966" spans="1:18" ht="12.75" x14ac:dyDescent="0.2"/>
    <row r="3967" spans="1:18" ht="12" customHeight="1" x14ac:dyDescent="0.2"/>
    <row r="3968" spans="1:18" ht="12.75" x14ac:dyDescent="0.2"/>
    <row r="3969" spans="1:11" ht="12.75" x14ac:dyDescent="0.2"/>
    <row r="3970" spans="1:11" ht="12.75" x14ac:dyDescent="0.2">
      <c r="K3970" s="57"/>
    </row>
    <row r="3971" spans="1:11" ht="12.75" x14ac:dyDescent="0.2">
      <c r="K3971" s="58"/>
    </row>
    <row r="3972" spans="1:11" ht="12.75" x14ac:dyDescent="0.2">
      <c r="K3972" s="58"/>
    </row>
    <row r="3973" spans="1:11" ht="12.75" x14ac:dyDescent="0.2"/>
    <row r="3974" spans="1:11" ht="12.75" x14ac:dyDescent="0.2">
      <c r="K3974" s="61"/>
    </row>
    <row r="3975" spans="1:11" ht="12.75" x14ac:dyDescent="0.2">
      <c r="K3975" s="61"/>
    </row>
    <row r="3976" spans="1:11" s="59" customFormat="1" ht="15" x14ac:dyDescent="0.25">
      <c r="A3976"/>
      <c r="B3976"/>
      <c r="C3976"/>
      <c r="D3976"/>
      <c r="E3976"/>
      <c r="F3976"/>
      <c r="G3976"/>
      <c r="H3976"/>
      <c r="I3976"/>
      <c r="J3976"/>
    </row>
    <row r="3977" spans="1:11" s="59" customFormat="1" ht="15" x14ac:dyDescent="0.25">
      <c r="A3977"/>
      <c r="B3977"/>
      <c r="C3977"/>
      <c r="D3977"/>
      <c r="E3977"/>
      <c r="F3977"/>
      <c r="G3977"/>
      <c r="H3977"/>
      <c r="I3977"/>
      <c r="J3977"/>
    </row>
    <row r="3978" spans="1:11" ht="12.75" x14ac:dyDescent="0.2"/>
    <row r="3979" spans="1:11" ht="14.25" customHeight="1" x14ac:dyDescent="0.2">
      <c r="K3979" s="68"/>
    </row>
    <row r="3980" spans="1:11" ht="14.25" customHeight="1" x14ac:dyDescent="0.2">
      <c r="K3980" s="68"/>
    </row>
    <row r="3981" spans="1:11" ht="12.75" x14ac:dyDescent="0.2">
      <c r="K3981" s="68"/>
    </row>
    <row r="3982" spans="1:11" ht="14.25" customHeight="1" x14ac:dyDescent="0.2">
      <c r="K3982" s="17"/>
    </row>
    <row r="3983" spans="1:11" ht="12.75" x14ac:dyDescent="0.2">
      <c r="K3983" s="17"/>
    </row>
    <row r="3984" spans="1:11" ht="12.75" x14ac:dyDescent="0.2">
      <c r="K3984" s="17"/>
    </row>
    <row r="3985" spans="1:18" ht="12.75" x14ac:dyDescent="0.2">
      <c r="K3985" s="17"/>
    </row>
    <row r="3986" spans="1:18" ht="12.75" x14ac:dyDescent="0.2">
      <c r="K3986" s="17"/>
    </row>
    <row r="3987" spans="1:18" ht="12.75" x14ac:dyDescent="0.2">
      <c r="K3987" s="17"/>
      <c r="R3987" s="17"/>
    </row>
    <row r="3988" spans="1:18" ht="12.75" x14ac:dyDescent="0.2">
      <c r="K3988" s="17"/>
    </row>
    <row r="3989" spans="1:18" ht="12.75" x14ac:dyDescent="0.2">
      <c r="K3989" s="17"/>
    </row>
    <row r="3990" spans="1:18" ht="12.75" x14ac:dyDescent="0.2"/>
    <row r="3991" spans="1:18" s="17" customFormat="1" ht="12.75" x14ac:dyDescent="0.2">
      <c r="A3991"/>
      <c r="B3991"/>
      <c r="C3991"/>
      <c r="D3991"/>
      <c r="E3991"/>
      <c r="F3991"/>
      <c r="G3991"/>
      <c r="H3991"/>
      <c r="I3991"/>
      <c r="J3991"/>
    </row>
    <row r="3992" spans="1:18" s="92" customFormat="1" ht="15" x14ac:dyDescent="0.2">
      <c r="A3992"/>
      <c r="B3992"/>
      <c r="C3992"/>
      <c r="D3992"/>
      <c r="E3992"/>
      <c r="F3992"/>
      <c r="G3992"/>
      <c r="H3992"/>
      <c r="I3992"/>
      <c r="J3992"/>
      <c r="K3992" s="19"/>
    </row>
    <row r="3993" spans="1:18" ht="12.75" x14ac:dyDescent="0.2"/>
    <row r="3994" spans="1:18" ht="12" customHeight="1" x14ac:dyDescent="0.2"/>
    <row r="3995" spans="1:18" ht="12.75" x14ac:dyDescent="0.2"/>
    <row r="3996" spans="1:18" ht="12.75" x14ac:dyDescent="0.2"/>
    <row r="3997" spans="1:18" ht="12.75" x14ac:dyDescent="0.2">
      <c r="K3997" s="57"/>
    </row>
    <row r="3998" spans="1:18" ht="12.75" x14ac:dyDescent="0.2">
      <c r="K3998" s="58"/>
    </row>
    <row r="3999" spans="1:18" ht="12.75" x14ac:dyDescent="0.2">
      <c r="K3999" s="58"/>
    </row>
    <row r="4000" spans="1:18" ht="12.75" x14ac:dyDescent="0.2"/>
    <row r="4001" spans="1:18" ht="12.75" x14ac:dyDescent="0.2">
      <c r="K4001" s="61"/>
    </row>
    <row r="4002" spans="1:18" ht="12.75" x14ac:dyDescent="0.2">
      <c r="K4002" s="61"/>
    </row>
    <row r="4003" spans="1:18" s="59" customFormat="1" ht="15" x14ac:dyDescent="0.25">
      <c r="A4003"/>
      <c r="B4003"/>
      <c r="C4003"/>
      <c r="D4003"/>
      <c r="E4003"/>
      <c r="F4003"/>
      <c r="G4003"/>
      <c r="H4003"/>
      <c r="I4003"/>
      <c r="J4003"/>
    </row>
    <row r="4004" spans="1:18" s="59" customFormat="1" ht="15" x14ac:dyDescent="0.25">
      <c r="A4004"/>
      <c r="B4004"/>
      <c r="C4004"/>
      <c r="D4004"/>
      <c r="E4004"/>
      <c r="F4004"/>
      <c r="G4004"/>
      <c r="H4004"/>
      <c r="I4004"/>
      <c r="J4004"/>
    </row>
    <row r="4005" spans="1:18" ht="12.75" x14ac:dyDescent="0.2"/>
    <row r="4006" spans="1:18" ht="14.25" customHeight="1" x14ac:dyDescent="0.2">
      <c r="K4006" s="68"/>
    </row>
    <row r="4007" spans="1:18" ht="14.25" customHeight="1" x14ac:dyDescent="0.2">
      <c r="K4007" s="68"/>
    </row>
    <row r="4008" spans="1:18" ht="12.75" x14ac:dyDescent="0.2">
      <c r="K4008" s="68"/>
    </row>
    <row r="4009" spans="1:18" ht="14.25" customHeight="1" x14ac:dyDescent="0.2">
      <c r="K4009" s="17"/>
    </row>
    <row r="4010" spans="1:18" ht="12.75" x14ac:dyDescent="0.2">
      <c r="K4010" s="17"/>
    </row>
    <row r="4011" spans="1:18" ht="12.75" x14ac:dyDescent="0.2">
      <c r="K4011" s="17"/>
    </row>
    <row r="4012" spans="1:18" ht="12.75" x14ac:dyDescent="0.2">
      <c r="K4012" s="17"/>
    </row>
    <row r="4013" spans="1:18" ht="12.75" x14ac:dyDescent="0.2">
      <c r="K4013" s="17"/>
    </row>
    <row r="4014" spans="1:18" ht="12.75" x14ac:dyDescent="0.2">
      <c r="K4014" s="17"/>
      <c r="R4014" s="17"/>
    </row>
    <row r="4015" spans="1:18" ht="12.75" x14ac:dyDescent="0.2">
      <c r="K4015" s="17"/>
    </row>
    <row r="4016" spans="1:18" ht="12.75" x14ac:dyDescent="0.2">
      <c r="K4016" s="17"/>
    </row>
    <row r="4017" spans="1:11" ht="12.75" x14ac:dyDescent="0.2"/>
    <row r="4018" spans="1:11" s="17" customFormat="1" ht="12.75" x14ac:dyDescent="0.2">
      <c r="A4018"/>
      <c r="B4018"/>
      <c r="C4018"/>
      <c r="D4018"/>
      <c r="E4018"/>
      <c r="F4018"/>
      <c r="G4018"/>
      <c r="H4018"/>
      <c r="I4018"/>
      <c r="J4018"/>
    </row>
    <row r="4019" spans="1:11" s="92" customFormat="1" ht="15" x14ac:dyDescent="0.2">
      <c r="A4019"/>
      <c r="B4019"/>
      <c r="C4019"/>
      <c r="D4019"/>
      <c r="E4019"/>
      <c r="F4019"/>
      <c r="G4019"/>
      <c r="H4019"/>
      <c r="I4019"/>
      <c r="J4019"/>
      <c r="K4019" s="19"/>
    </row>
    <row r="4020" spans="1:11" ht="12.75" x14ac:dyDescent="0.2"/>
    <row r="4021" spans="1:11" ht="12" customHeight="1" x14ac:dyDescent="0.2"/>
    <row r="4022" spans="1:11" ht="12.75" x14ac:dyDescent="0.2"/>
    <row r="4023" spans="1:11" ht="12.75" x14ac:dyDescent="0.2"/>
    <row r="4024" spans="1:11" ht="12.75" x14ac:dyDescent="0.2">
      <c r="K4024" s="57"/>
    </row>
    <row r="4025" spans="1:11" ht="12.75" x14ac:dyDescent="0.2">
      <c r="K4025" s="58"/>
    </row>
    <row r="4026" spans="1:11" ht="12.75" x14ac:dyDescent="0.2">
      <c r="K4026" s="58"/>
    </row>
    <row r="4027" spans="1:11" ht="12.75" x14ac:dyDescent="0.2"/>
    <row r="4028" spans="1:11" ht="12.75" x14ac:dyDescent="0.2">
      <c r="K4028" s="61"/>
    </row>
    <row r="4029" spans="1:11" ht="12.75" x14ac:dyDescent="0.2">
      <c r="K4029" s="61"/>
    </row>
    <row r="4030" spans="1:11" s="59" customFormat="1" ht="15" x14ac:dyDescent="0.25">
      <c r="A4030"/>
      <c r="B4030"/>
      <c r="C4030"/>
      <c r="D4030"/>
      <c r="E4030"/>
      <c r="F4030"/>
      <c r="G4030"/>
      <c r="H4030"/>
      <c r="I4030"/>
      <c r="J4030"/>
    </row>
    <row r="4031" spans="1:11" s="59" customFormat="1" ht="15" x14ac:dyDescent="0.25">
      <c r="A4031"/>
      <c r="B4031"/>
      <c r="C4031"/>
      <c r="D4031"/>
      <c r="E4031"/>
      <c r="F4031"/>
      <c r="G4031"/>
      <c r="H4031"/>
      <c r="I4031"/>
      <c r="J4031"/>
    </row>
    <row r="4032" spans="1:11" ht="12.75" x14ac:dyDescent="0.2"/>
    <row r="4033" spans="1:18" ht="14.25" customHeight="1" x14ac:dyDescent="0.2">
      <c r="K4033" s="68"/>
    </row>
    <row r="4034" spans="1:18" ht="14.25" customHeight="1" x14ac:dyDescent="0.2">
      <c r="K4034" s="68"/>
    </row>
    <row r="4035" spans="1:18" ht="12.75" x14ac:dyDescent="0.2">
      <c r="K4035" s="68"/>
    </row>
    <row r="4036" spans="1:18" ht="14.25" customHeight="1" x14ac:dyDescent="0.2">
      <c r="K4036" s="17"/>
    </row>
    <row r="4037" spans="1:18" ht="12.75" x14ac:dyDescent="0.2">
      <c r="K4037" s="17"/>
    </row>
    <row r="4038" spans="1:18" ht="12.75" x14ac:dyDescent="0.2">
      <c r="K4038" s="17"/>
    </row>
    <row r="4039" spans="1:18" ht="12.75" x14ac:dyDescent="0.2">
      <c r="K4039" s="17"/>
    </row>
    <row r="4040" spans="1:18" ht="12.75" x14ac:dyDescent="0.2">
      <c r="K4040" s="17"/>
    </row>
    <row r="4041" spans="1:18" ht="12.75" x14ac:dyDescent="0.2">
      <c r="K4041" s="17"/>
      <c r="R4041" s="17"/>
    </row>
    <row r="4042" spans="1:18" ht="12.75" x14ac:dyDescent="0.2">
      <c r="K4042" s="17"/>
    </row>
    <row r="4043" spans="1:18" ht="12.75" x14ac:dyDescent="0.2">
      <c r="K4043" s="17"/>
    </row>
    <row r="4044" spans="1:18" ht="12.75" x14ac:dyDescent="0.2"/>
    <row r="4045" spans="1:18" s="17" customFormat="1" ht="12.75" x14ac:dyDescent="0.2">
      <c r="A4045"/>
      <c r="B4045"/>
      <c r="C4045"/>
      <c r="D4045"/>
      <c r="E4045"/>
      <c r="F4045"/>
      <c r="G4045"/>
      <c r="H4045"/>
      <c r="I4045"/>
      <c r="J4045"/>
    </row>
    <row r="4046" spans="1:18" s="92" customFormat="1" ht="15" x14ac:dyDescent="0.2">
      <c r="A4046"/>
      <c r="B4046"/>
      <c r="C4046"/>
      <c r="D4046"/>
      <c r="E4046"/>
      <c r="F4046"/>
      <c r="G4046"/>
      <c r="H4046"/>
      <c r="I4046"/>
      <c r="J4046"/>
      <c r="K4046" s="19"/>
    </row>
    <row r="4047" spans="1:18" ht="12.75" x14ac:dyDescent="0.2"/>
    <row r="4048" spans="1:18" ht="12" customHeight="1" x14ac:dyDescent="0.2"/>
    <row r="4049" spans="1:11" ht="12.75" x14ac:dyDescent="0.2"/>
    <row r="4050" spans="1:11" ht="12.75" x14ac:dyDescent="0.2"/>
    <row r="4051" spans="1:11" ht="12.75" x14ac:dyDescent="0.2">
      <c r="K4051" s="57"/>
    </row>
    <row r="4052" spans="1:11" ht="12.75" x14ac:dyDescent="0.2">
      <c r="K4052" s="58"/>
    </row>
    <row r="4053" spans="1:11" ht="12.75" x14ac:dyDescent="0.2">
      <c r="K4053" s="58"/>
    </row>
    <row r="4054" spans="1:11" ht="12.75" x14ac:dyDescent="0.2"/>
    <row r="4055" spans="1:11" ht="12.75" x14ac:dyDescent="0.2">
      <c r="K4055" s="61"/>
    </row>
    <row r="4056" spans="1:11" ht="12.75" x14ac:dyDescent="0.2">
      <c r="K4056" s="61"/>
    </row>
    <row r="4057" spans="1:11" s="59" customFormat="1" ht="15" x14ac:dyDescent="0.25">
      <c r="A4057"/>
      <c r="B4057"/>
      <c r="C4057"/>
      <c r="D4057"/>
      <c r="E4057"/>
      <c r="F4057"/>
      <c r="G4057"/>
      <c r="H4057"/>
      <c r="I4057"/>
      <c r="J4057"/>
    </row>
    <row r="4058" spans="1:11" s="59" customFormat="1" ht="15" x14ac:dyDescent="0.25">
      <c r="A4058"/>
      <c r="B4058"/>
      <c r="C4058"/>
      <c r="D4058"/>
      <c r="E4058"/>
      <c r="F4058"/>
      <c r="G4058"/>
      <c r="H4058"/>
      <c r="I4058"/>
      <c r="J4058"/>
    </row>
    <row r="4059" spans="1:11" ht="12.75" x14ac:dyDescent="0.2"/>
    <row r="4060" spans="1:11" ht="14.25" customHeight="1" x14ac:dyDescent="0.2">
      <c r="K4060" s="68"/>
    </row>
    <row r="4061" spans="1:11" ht="14.25" customHeight="1" x14ac:dyDescent="0.2">
      <c r="K4061" s="68"/>
    </row>
    <row r="4062" spans="1:11" ht="12.75" x14ac:dyDescent="0.2">
      <c r="K4062" s="68"/>
    </row>
    <row r="4063" spans="1:11" ht="14.25" customHeight="1" x14ac:dyDescent="0.2">
      <c r="K4063" s="17"/>
    </row>
    <row r="4064" spans="1:11" ht="12.75" x14ac:dyDescent="0.2">
      <c r="K4064" s="17"/>
    </row>
    <row r="4065" spans="1:18" ht="12.75" x14ac:dyDescent="0.2">
      <c r="K4065" s="17"/>
    </row>
    <row r="4066" spans="1:18" ht="12.75" x14ac:dyDescent="0.2">
      <c r="K4066" s="17"/>
    </row>
    <row r="4067" spans="1:18" ht="12.75" x14ac:dyDescent="0.2">
      <c r="K4067" s="17"/>
    </row>
    <row r="4068" spans="1:18" ht="12.75" x14ac:dyDescent="0.2">
      <c r="K4068" s="17"/>
      <c r="R4068" s="17"/>
    </row>
    <row r="4069" spans="1:18" ht="12.75" x14ac:dyDescent="0.2">
      <c r="K4069" s="17"/>
    </row>
    <row r="4070" spans="1:18" ht="12.75" x14ac:dyDescent="0.2">
      <c r="K4070" s="17"/>
    </row>
    <row r="4071" spans="1:18" ht="12.75" x14ac:dyDescent="0.2"/>
    <row r="4072" spans="1:18" s="17" customFormat="1" ht="12.75" x14ac:dyDescent="0.2">
      <c r="A4072"/>
      <c r="B4072"/>
      <c r="C4072"/>
      <c r="D4072"/>
      <c r="E4072"/>
      <c r="F4072"/>
      <c r="G4072"/>
      <c r="H4072"/>
      <c r="I4072"/>
      <c r="J4072"/>
    </row>
    <row r="4073" spans="1:18" s="92" customFormat="1" ht="15" x14ac:dyDescent="0.2">
      <c r="A4073"/>
      <c r="B4073"/>
      <c r="C4073"/>
      <c r="D4073"/>
      <c r="E4073"/>
      <c r="F4073"/>
      <c r="G4073"/>
      <c r="H4073"/>
      <c r="I4073"/>
      <c r="J4073"/>
      <c r="K4073" s="19"/>
    </row>
    <row r="4074" spans="1:18" ht="12.75" x14ac:dyDescent="0.2"/>
    <row r="4075" spans="1:18" ht="12" customHeight="1" x14ac:dyDescent="0.2"/>
    <row r="4076" spans="1:18" ht="12.75" x14ac:dyDescent="0.2"/>
    <row r="4077" spans="1:18" ht="12.75" x14ac:dyDescent="0.2"/>
    <row r="4078" spans="1:18" ht="12.75" x14ac:dyDescent="0.2">
      <c r="K4078" s="57"/>
    </row>
    <row r="4079" spans="1:18" ht="12.75" x14ac:dyDescent="0.2">
      <c r="K4079" s="58"/>
    </row>
    <row r="4080" spans="1:18" ht="12.75" x14ac:dyDescent="0.2">
      <c r="K4080" s="58"/>
    </row>
    <row r="4081" spans="1:18" ht="12.75" x14ac:dyDescent="0.2"/>
    <row r="4082" spans="1:18" ht="12.75" x14ac:dyDescent="0.2">
      <c r="K4082" s="61"/>
    </row>
    <row r="4083" spans="1:18" ht="12.75" x14ac:dyDescent="0.2">
      <c r="K4083" s="61"/>
    </row>
    <row r="4084" spans="1:18" s="59" customFormat="1" ht="15" x14ac:dyDescent="0.25">
      <c r="A4084"/>
      <c r="B4084"/>
      <c r="C4084"/>
      <c r="D4084"/>
      <c r="E4084"/>
      <c r="F4084"/>
      <c r="G4084"/>
      <c r="H4084"/>
      <c r="I4084"/>
      <c r="J4084"/>
    </row>
    <row r="4085" spans="1:18" s="59" customFormat="1" ht="15" x14ac:dyDescent="0.25">
      <c r="A4085"/>
      <c r="B4085"/>
      <c r="C4085"/>
      <c r="D4085"/>
      <c r="E4085"/>
      <c r="F4085"/>
      <c r="G4085"/>
      <c r="H4085"/>
      <c r="I4085"/>
      <c r="J4085"/>
    </row>
    <row r="4086" spans="1:18" ht="12.75" x14ac:dyDescent="0.2"/>
    <row r="4087" spans="1:18" ht="14.25" customHeight="1" x14ac:dyDescent="0.2">
      <c r="K4087" s="68"/>
    </row>
    <row r="4088" spans="1:18" ht="14.25" customHeight="1" x14ac:dyDescent="0.2">
      <c r="K4088" s="68"/>
    </row>
    <row r="4089" spans="1:18" ht="12.75" x14ac:dyDescent="0.2">
      <c r="K4089" s="68"/>
    </row>
    <row r="4090" spans="1:18" ht="14.25" customHeight="1" x14ac:dyDescent="0.2">
      <c r="K4090" s="17"/>
    </row>
    <row r="4091" spans="1:18" ht="12.75" x14ac:dyDescent="0.2">
      <c r="K4091" s="17"/>
    </row>
    <row r="4092" spans="1:18" ht="12.75" x14ac:dyDescent="0.2">
      <c r="K4092" s="17"/>
    </row>
    <row r="4093" spans="1:18" ht="12.75" x14ac:dyDescent="0.2">
      <c r="K4093" s="17"/>
    </row>
    <row r="4094" spans="1:18" ht="12.75" x14ac:dyDescent="0.2">
      <c r="K4094" s="17"/>
    </row>
    <row r="4095" spans="1:18" ht="12.75" x14ac:dyDescent="0.2">
      <c r="K4095" s="17"/>
      <c r="R4095" s="17"/>
    </row>
    <row r="4096" spans="1:18" ht="12.75" x14ac:dyDescent="0.2">
      <c r="K4096" s="17"/>
    </row>
    <row r="4097" spans="1:11" ht="12.75" x14ac:dyDescent="0.2">
      <c r="K4097" s="17"/>
    </row>
    <row r="4098" spans="1:11" ht="12.75" x14ac:dyDescent="0.2"/>
    <row r="4099" spans="1:11" s="17" customFormat="1" ht="12.75" x14ac:dyDescent="0.2">
      <c r="A4099"/>
      <c r="B4099"/>
      <c r="C4099"/>
      <c r="D4099"/>
      <c r="E4099"/>
      <c r="F4099"/>
      <c r="G4099"/>
      <c r="H4099"/>
      <c r="I4099"/>
      <c r="J4099"/>
    </row>
    <row r="4100" spans="1:11" s="92" customFormat="1" ht="15" x14ac:dyDescent="0.2">
      <c r="A4100"/>
      <c r="B4100"/>
      <c r="C4100"/>
      <c r="D4100"/>
      <c r="E4100"/>
      <c r="F4100"/>
      <c r="G4100"/>
      <c r="H4100"/>
      <c r="I4100"/>
      <c r="J4100"/>
      <c r="K4100" s="19"/>
    </row>
    <row r="4101" spans="1:11" ht="12.75" x14ac:dyDescent="0.2"/>
    <row r="4102" spans="1:11" ht="12" customHeight="1" x14ac:dyDescent="0.2"/>
    <row r="4103" spans="1:11" ht="12.75" x14ac:dyDescent="0.2"/>
    <row r="4104" spans="1:11" ht="12.75" x14ac:dyDescent="0.2"/>
    <row r="4105" spans="1:11" ht="12.75" x14ac:dyDescent="0.2">
      <c r="K4105" s="57"/>
    </row>
    <row r="4106" spans="1:11" ht="12.75" x14ac:dyDescent="0.2">
      <c r="K4106" s="58"/>
    </row>
    <row r="4107" spans="1:11" ht="12.75" x14ac:dyDescent="0.2">
      <c r="K4107" s="58"/>
    </row>
    <row r="4108" spans="1:11" ht="12.75" x14ac:dyDescent="0.2"/>
    <row r="4109" spans="1:11" ht="12.75" x14ac:dyDescent="0.2">
      <c r="K4109" s="61"/>
    </row>
    <row r="4110" spans="1:11" ht="12.75" x14ac:dyDescent="0.2">
      <c r="K4110" s="61"/>
    </row>
    <row r="4111" spans="1:11" s="59" customFormat="1" ht="15" x14ac:dyDescent="0.25">
      <c r="A4111"/>
      <c r="B4111"/>
      <c r="C4111"/>
      <c r="D4111"/>
      <c r="E4111"/>
      <c r="F4111"/>
      <c r="G4111"/>
      <c r="H4111"/>
      <c r="I4111"/>
      <c r="J4111"/>
    </row>
    <row r="4112" spans="1:11" s="59" customFormat="1" ht="15" x14ac:dyDescent="0.25">
      <c r="A4112"/>
      <c r="B4112"/>
      <c r="C4112"/>
      <c r="D4112"/>
      <c r="E4112"/>
      <c r="F4112"/>
      <c r="G4112"/>
      <c r="H4112"/>
      <c r="I4112"/>
      <c r="J4112"/>
    </row>
    <row r="4113" spans="1:18" ht="12.75" x14ac:dyDescent="0.2"/>
    <row r="4114" spans="1:18" ht="14.25" customHeight="1" x14ac:dyDescent="0.2">
      <c r="K4114" s="68"/>
    </row>
    <row r="4115" spans="1:18" ht="14.25" customHeight="1" x14ac:dyDescent="0.2">
      <c r="K4115" s="68"/>
    </row>
    <row r="4116" spans="1:18" ht="12.75" x14ac:dyDescent="0.2">
      <c r="K4116" s="68"/>
    </row>
    <row r="4117" spans="1:18" ht="14.25" customHeight="1" x14ac:dyDescent="0.2">
      <c r="K4117" s="17"/>
    </row>
    <row r="4118" spans="1:18" ht="12.75" x14ac:dyDescent="0.2">
      <c r="K4118" s="17"/>
    </row>
    <row r="4119" spans="1:18" ht="12.75" x14ac:dyDescent="0.2">
      <c r="K4119" s="17"/>
    </row>
    <row r="4120" spans="1:18" ht="12.75" x14ac:dyDescent="0.2">
      <c r="K4120" s="17"/>
    </row>
    <row r="4121" spans="1:18" ht="12.75" x14ac:dyDescent="0.2">
      <c r="K4121" s="17"/>
    </row>
    <row r="4122" spans="1:18" ht="12.75" x14ac:dyDescent="0.2">
      <c r="K4122" s="17"/>
      <c r="R4122" s="17"/>
    </row>
    <row r="4123" spans="1:18" ht="12.75" x14ac:dyDescent="0.2">
      <c r="K4123" s="17"/>
    </row>
    <row r="4124" spans="1:18" ht="12.75" x14ac:dyDescent="0.2">
      <c r="K4124" s="17"/>
    </row>
    <row r="4125" spans="1:18" ht="12.75" x14ac:dyDescent="0.2"/>
    <row r="4126" spans="1:18" s="17" customFormat="1" ht="12.75" x14ac:dyDescent="0.2">
      <c r="A4126"/>
      <c r="B4126"/>
      <c r="C4126"/>
      <c r="D4126"/>
      <c r="E4126"/>
      <c r="F4126"/>
      <c r="G4126"/>
      <c r="H4126"/>
      <c r="I4126"/>
      <c r="J4126"/>
    </row>
    <row r="4127" spans="1:18" s="92" customFormat="1" ht="15" x14ac:dyDescent="0.2">
      <c r="A4127"/>
      <c r="B4127"/>
      <c r="C4127"/>
      <c r="D4127"/>
      <c r="E4127"/>
      <c r="F4127"/>
      <c r="G4127"/>
      <c r="H4127"/>
      <c r="I4127"/>
      <c r="J4127"/>
      <c r="K4127" s="19"/>
    </row>
    <row r="4128" spans="1:18" ht="12.75" x14ac:dyDescent="0.2"/>
    <row r="4129" spans="1:11" ht="12" customHeight="1" x14ac:dyDescent="0.2"/>
    <row r="4130" spans="1:11" ht="12.75" x14ac:dyDescent="0.2"/>
    <row r="4131" spans="1:11" ht="12.75" x14ac:dyDescent="0.2"/>
    <row r="4132" spans="1:11" ht="12.75" x14ac:dyDescent="0.2">
      <c r="K4132" s="57"/>
    </row>
    <row r="4133" spans="1:11" ht="12.75" x14ac:dyDescent="0.2">
      <c r="K4133" s="58"/>
    </row>
    <row r="4134" spans="1:11" ht="12.75" x14ac:dyDescent="0.2">
      <c r="K4134" s="58"/>
    </row>
    <row r="4135" spans="1:11" ht="12.75" x14ac:dyDescent="0.2"/>
    <row r="4136" spans="1:11" ht="12.75" x14ac:dyDescent="0.2">
      <c r="K4136" s="61"/>
    </row>
    <row r="4137" spans="1:11" ht="12.75" x14ac:dyDescent="0.2">
      <c r="K4137" s="61"/>
    </row>
    <row r="4138" spans="1:11" s="59" customFormat="1" ht="15" x14ac:dyDescent="0.25">
      <c r="A4138"/>
      <c r="B4138"/>
      <c r="C4138"/>
      <c r="D4138"/>
      <c r="E4138"/>
      <c r="F4138"/>
      <c r="G4138"/>
      <c r="H4138"/>
      <c r="I4138"/>
      <c r="J4138"/>
    </row>
    <row r="4139" spans="1:11" s="59" customFormat="1" ht="15" x14ac:dyDescent="0.25">
      <c r="A4139"/>
      <c r="B4139"/>
      <c r="C4139"/>
      <c r="D4139"/>
      <c r="E4139"/>
      <c r="F4139"/>
      <c r="G4139"/>
      <c r="H4139"/>
      <c r="I4139"/>
      <c r="J4139"/>
    </row>
    <row r="4140" spans="1:11" ht="12.75" x14ac:dyDescent="0.2"/>
    <row r="4141" spans="1:11" ht="14.25" customHeight="1" x14ac:dyDescent="0.2">
      <c r="K4141" s="68"/>
    </row>
    <row r="4142" spans="1:11" ht="14.25" customHeight="1" x14ac:dyDescent="0.2">
      <c r="K4142" s="68"/>
    </row>
    <row r="4143" spans="1:11" ht="12.75" x14ac:dyDescent="0.2">
      <c r="K4143" s="68"/>
    </row>
    <row r="4144" spans="1:11" ht="14.25" customHeight="1" x14ac:dyDescent="0.2">
      <c r="K4144" s="17"/>
    </row>
    <row r="4145" spans="1:18" ht="12.75" x14ac:dyDescent="0.2">
      <c r="K4145" s="17"/>
    </row>
    <row r="4146" spans="1:18" ht="12.75" x14ac:dyDescent="0.2">
      <c r="K4146" s="17"/>
    </row>
    <row r="4147" spans="1:18" ht="12.75" x14ac:dyDescent="0.2">
      <c r="K4147" s="17"/>
    </row>
    <row r="4148" spans="1:18" ht="12.75" x14ac:dyDescent="0.2">
      <c r="K4148" s="17"/>
    </row>
    <row r="4149" spans="1:18" ht="12.75" x14ac:dyDescent="0.2">
      <c r="K4149" s="17"/>
      <c r="R4149" s="17"/>
    </row>
    <row r="4150" spans="1:18" ht="12.75" x14ac:dyDescent="0.2">
      <c r="K4150" s="17"/>
    </row>
    <row r="4151" spans="1:18" ht="12.75" x14ac:dyDescent="0.2">
      <c r="K4151" s="17"/>
    </row>
    <row r="4152" spans="1:18" ht="12.75" x14ac:dyDescent="0.2"/>
    <row r="4153" spans="1:18" s="17" customFormat="1" ht="12.75" x14ac:dyDescent="0.2">
      <c r="A4153"/>
      <c r="B4153"/>
      <c r="C4153"/>
      <c r="D4153"/>
      <c r="E4153"/>
      <c r="F4153"/>
      <c r="G4153"/>
      <c r="H4153"/>
      <c r="I4153"/>
      <c r="J4153"/>
    </row>
    <row r="4154" spans="1:18" s="92" customFormat="1" ht="15" x14ac:dyDescent="0.2">
      <c r="A4154"/>
      <c r="B4154"/>
      <c r="C4154"/>
      <c r="D4154"/>
      <c r="E4154"/>
      <c r="F4154"/>
      <c r="G4154"/>
      <c r="H4154"/>
      <c r="I4154"/>
      <c r="J4154"/>
      <c r="K4154" s="19"/>
    </row>
    <row r="4155" spans="1:18" ht="12.75" x14ac:dyDescent="0.2"/>
    <row r="4156" spans="1:18" ht="12" customHeight="1" x14ac:dyDescent="0.2"/>
    <row r="4157" spans="1:18" ht="12.75" x14ac:dyDescent="0.2"/>
    <row r="4158" spans="1:18" ht="12.75" x14ac:dyDescent="0.2"/>
    <row r="4159" spans="1:18" ht="12.75" x14ac:dyDescent="0.2">
      <c r="K4159" s="57"/>
    </row>
    <row r="4160" spans="1:18" ht="12.75" x14ac:dyDescent="0.2">
      <c r="K4160" s="58"/>
    </row>
    <row r="4161" spans="1:18" ht="12.75" x14ac:dyDescent="0.2">
      <c r="K4161" s="58"/>
    </row>
    <row r="4162" spans="1:18" ht="12.75" x14ac:dyDescent="0.2"/>
    <row r="4163" spans="1:18" ht="12.75" x14ac:dyDescent="0.2">
      <c r="K4163" s="61"/>
    </row>
    <row r="4164" spans="1:18" ht="12.75" x14ac:dyDescent="0.2">
      <c r="K4164" s="61"/>
    </row>
    <row r="4165" spans="1:18" s="59" customFormat="1" ht="15" x14ac:dyDescent="0.25">
      <c r="A4165"/>
      <c r="B4165"/>
      <c r="C4165"/>
      <c r="D4165"/>
      <c r="E4165"/>
      <c r="F4165"/>
      <c r="G4165"/>
      <c r="H4165"/>
      <c r="I4165"/>
      <c r="J4165"/>
    </row>
    <row r="4166" spans="1:18" s="59" customFormat="1" ht="15" x14ac:dyDescent="0.25">
      <c r="A4166"/>
      <c r="B4166"/>
      <c r="C4166"/>
      <c r="D4166"/>
      <c r="E4166"/>
      <c r="F4166"/>
      <c r="G4166"/>
      <c r="H4166"/>
      <c r="I4166"/>
      <c r="J4166"/>
    </row>
    <row r="4167" spans="1:18" ht="12.75" x14ac:dyDescent="0.2"/>
    <row r="4168" spans="1:18" ht="14.25" customHeight="1" x14ac:dyDescent="0.2">
      <c r="K4168" s="68"/>
    </row>
    <row r="4169" spans="1:18" ht="14.25" customHeight="1" x14ac:dyDescent="0.2">
      <c r="K4169" s="68"/>
    </row>
    <row r="4170" spans="1:18" ht="12.75" x14ac:dyDescent="0.2">
      <c r="K4170" s="68"/>
    </row>
    <row r="4171" spans="1:18" ht="14.25" customHeight="1" x14ac:dyDescent="0.2">
      <c r="K4171" s="17"/>
    </row>
    <row r="4172" spans="1:18" ht="12.75" x14ac:dyDescent="0.2">
      <c r="K4172" s="17"/>
    </row>
    <row r="4173" spans="1:18" ht="12.75" x14ac:dyDescent="0.2">
      <c r="K4173" s="17"/>
    </row>
    <row r="4174" spans="1:18" ht="12.75" x14ac:dyDescent="0.2">
      <c r="K4174" s="17"/>
    </row>
    <row r="4175" spans="1:18" ht="12.75" x14ac:dyDescent="0.2">
      <c r="K4175" s="17"/>
    </row>
    <row r="4176" spans="1:18" ht="12.75" x14ac:dyDescent="0.2">
      <c r="K4176" s="17"/>
      <c r="R4176" s="17"/>
    </row>
    <row r="4177" spans="1:11" ht="12.75" x14ac:dyDescent="0.2">
      <c r="K4177" s="17"/>
    </row>
    <row r="4178" spans="1:11" ht="12.75" x14ac:dyDescent="0.2">
      <c r="K4178" s="17"/>
    </row>
    <row r="4179" spans="1:11" ht="12.75" x14ac:dyDescent="0.2"/>
    <row r="4180" spans="1:11" s="17" customFormat="1" ht="12.75" x14ac:dyDescent="0.2">
      <c r="A4180"/>
      <c r="B4180"/>
      <c r="C4180"/>
      <c r="D4180"/>
      <c r="E4180"/>
      <c r="F4180"/>
      <c r="G4180"/>
      <c r="H4180"/>
      <c r="I4180"/>
      <c r="J4180"/>
    </row>
    <row r="4181" spans="1:11" s="92" customFormat="1" ht="15" x14ac:dyDescent="0.2">
      <c r="A4181"/>
      <c r="B4181"/>
      <c r="C4181"/>
      <c r="D4181"/>
      <c r="E4181"/>
      <c r="F4181"/>
      <c r="G4181"/>
      <c r="H4181"/>
      <c r="I4181"/>
      <c r="J4181"/>
      <c r="K4181" s="19"/>
    </row>
    <row r="4182" spans="1:11" ht="12.75" x14ac:dyDescent="0.2"/>
    <row r="4183" spans="1:11" ht="12" customHeight="1" x14ac:dyDescent="0.2"/>
    <row r="4184" spans="1:11" ht="12.75" x14ac:dyDescent="0.2"/>
    <row r="4185" spans="1:11" ht="12.75" x14ac:dyDescent="0.2"/>
    <row r="4186" spans="1:11" ht="12.75" x14ac:dyDescent="0.2">
      <c r="K4186" s="57"/>
    </row>
    <row r="4187" spans="1:11" ht="12.75" x14ac:dyDescent="0.2">
      <c r="K4187" s="58"/>
    </row>
    <row r="4188" spans="1:11" ht="12.75" x14ac:dyDescent="0.2">
      <c r="K4188" s="58"/>
    </row>
    <row r="4189" spans="1:11" ht="12.75" x14ac:dyDescent="0.2"/>
    <row r="4190" spans="1:11" ht="12.75" x14ac:dyDescent="0.2">
      <c r="K4190" s="61"/>
    </row>
    <row r="4191" spans="1:11" ht="12.75" x14ac:dyDescent="0.2">
      <c r="K4191" s="61"/>
    </row>
    <row r="4192" spans="1:11" s="59" customFormat="1" ht="15" x14ac:dyDescent="0.25">
      <c r="A4192"/>
      <c r="B4192"/>
      <c r="C4192"/>
      <c r="D4192"/>
      <c r="E4192"/>
      <c r="F4192"/>
      <c r="G4192"/>
      <c r="H4192"/>
      <c r="I4192"/>
      <c r="J4192"/>
    </row>
    <row r="4193" spans="1:18" s="59" customFormat="1" ht="15" x14ac:dyDescent="0.25">
      <c r="A4193"/>
      <c r="B4193"/>
      <c r="C4193"/>
      <c r="D4193"/>
      <c r="E4193"/>
      <c r="F4193"/>
      <c r="G4193"/>
      <c r="H4193"/>
      <c r="I4193"/>
      <c r="J4193"/>
    </row>
    <row r="4194" spans="1:18" ht="12.75" x14ac:dyDescent="0.2"/>
    <row r="4195" spans="1:18" ht="14.25" customHeight="1" x14ac:dyDescent="0.2">
      <c r="K4195" s="68"/>
    </row>
    <row r="4196" spans="1:18" ht="14.25" customHeight="1" x14ac:dyDescent="0.2">
      <c r="K4196" s="68"/>
    </row>
    <row r="4197" spans="1:18" ht="12.75" x14ac:dyDescent="0.2">
      <c r="K4197" s="68"/>
    </row>
    <row r="4198" spans="1:18" ht="14.25" customHeight="1" x14ac:dyDescent="0.2">
      <c r="K4198" s="17"/>
    </row>
    <row r="4199" spans="1:18" ht="12.75" x14ac:dyDescent="0.2">
      <c r="K4199" s="17"/>
    </row>
    <row r="4200" spans="1:18" ht="12.75" x14ac:dyDescent="0.2">
      <c r="K4200" s="17"/>
    </row>
    <row r="4201" spans="1:18" ht="12.75" x14ac:dyDescent="0.2">
      <c r="K4201" s="17"/>
    </row>
    <row r="4202" spans="1:18" ht="12.75" x14ac:dyDescent="0.2">
      <c r="K4202" s="17"/>
    </row>
    <row r="4203" spans="1:18" ht="12.75" x14ac:dyDescent="0.2">
      <c r="K4203" s="17"/>
      <c r="R4203" s="17"/>
    </row>
    <row r="4204" spans="1:18" ht="12.75" x14ac:dyDescent="0.2">
      <c r="K4204" s="17"/>
    </row>
    <row r="4205" spans="1:18" ht="12.75" x14ac:dyDescent="0.2">
      <c r="K4205" s="17"/>
    </row>
    <row r="4206" spans="1:18" ht="12.75" x14ac:dyDescent="0.2"/>
    <row r="4207" spans="1:18" s="17" customFormat="1" ht="12.75" x14ac:dyDescent="0.2">
      <c r="A4207"/>
      <c r="B4207"/>
      <c r="C4207"/>
      <c r="D4207"/>
      <c r="E4207"/>
      <c r="F4207"/>
      <c r="G4207"/>
      <c r="H4207"/>
      <c r="I4207"/>
      <c r="J4207"/>
    </row>
    <row r="4208" spans="1:18" s="92" customFormat="1" ht="15" x14ac:dyDescent="0.2">
      <c r="A4208"/>
      <c r="B4208"/>
      <c r="C4208"/>
      <c r="D4208"/>
      <c r="E4208"/>
      <c r="F4208"/>
      <c r="G4208"/>
      <c r="H4208"/>
      <c r="I4208"/>
      <c r="J4208"/>
      <c r="K4208" s="19"/>
    </row>
    <row r="4209" spans="1:11" ht="12.75" x14ac:dyDescent="0.2"/>
    <row r="4210" spans="1:11" ht="12" customHeight="1" x14ac:dyDescent="0.2"/>
    <row r="4211" spans="1:11" ht="12.75" x14ac:dyDescent="0.2"/>
    <row r="4212" spans="1:11" ht="12.75" x14ac:dyDescent="0.2"/>
    <row r="4213" spans="1:11" ht="12.75" x14ac:dyDescent="0.2">
      <c r="K4213" s="57"/>
    </row>
    <row r="4214" spans="1:11" ht="12.75" x14ac:dyDescent="0.2">
      <c r="K4214" s="58"/>
    </row>
    <row r="4215" spans="1:11" ht="12.75" x14ac:dyDescent="0.2">
      <c r="K4215" s="58"/>
    </row>
    <row r="4216" spans="1:11" ht="12.75" x14ac:dyDescent="0.2"/>
    <row r="4217" spans="1:11" ht="12.75" x14ac:dyDescent="0.2">
      <c r="K4217" s="61"/>
    </row>
    <row r="4218" spans="1:11" ht="12.75" x14ac:dyDescent="0.2">
      <c r="K4218" s="61"/>
    </row>
    <row r="4219" spans="1:11" s="59" customFormat="1" ht="15" x14ac:dyDescent="0.25">
      <c r="A4219"/>
      <c r="B4219"/>
      <c r="C4219"/>
      <c r="D4219"/>
      <c r="E4219"/>
      <c r="F4219"/>
      <c r="G4219"/>
      <c r="H4219"/>
      <c r="I4219"/>
      <c r="J4219"/>
    </row>
    <row r="4220" spans="1:11" s="59" customFormat="1" ht="15" x14ac:dyDescent="0.25">
      <c r="A4220"/>
      <c r="B4220"/>
      <c r="C4220"/>
      <c r="D4220"/>
      <c r="E4220"/>
      <c r="F4220"/>
      <c r="G4220"/>
      <c r="H4220"/>
      <c r="I4220"/>
      <c r="J4220"/>
    </row>
    <row r="4221" spans="1:11" ht="12.75" x14ac:dyDescent="0.2"/>
    <row r="4222" spans="1:11" ht="14.25" customHeight="1" x14ac:dyDescent="0.2">
      <c r="K4222" s="68"/>
    </row>
    <row r="4223" spans="1:11" ht="14.25" customHeight="1" x14ac:dyDescent="0.2">
      <c r="K4223" s="68"/>
    </row>
    <row r="4224" spans="1:11" ht="12.75" x14ac:dyDescent="0.2">
      <c r="K4224" s="68"/>
    </row>
    <row r="4225" spans="1:18" ht="14.25" customHeight="1" x14ac:dyDescent="0.2">
      <c r="K4225" s="17"/>
    </row>
    <row r="4226" spans="1:18" ht="12.75" x14ac:dyDescent="0.2">
      <c r="K4226" s="17"/>
    </row>
    <row r="4227" spans="1:18" ht="12.75" x14ac:dyDescent="0.2">
      <c r="K4227" s="17"/>
    </row>
    <row r="4228" spans="1:18" ht="12.75" x14ac:dyDescent="0.2">
      <c r="K4228" s="17"/>
    </row>
    <row r="4229" spans="1:18" ht="12.75" x14ac:dyDescent="0.2">
      <c r="K4229" s="17"/>
    </row>
    <row r="4230" spans="1:18" ht="12.75" x14ac:dyDescent="0.2">
      <c r="K4230" s="17"/>
      <c r="R4230" s="17"/>
    </row>
    <row r="4231" spans="1:18" ht="12.75" x14ac:dyDescent="0.2">
      <c r="K4231" s="17"/>
    </row>
    <row r="4232" spans="1:18" ht="12.75" x14ac:dyDescent="0.2">
      <c r="K4232" s="17"/>
    </row>
    <row r="4233" spans="1:18" ht="12.75" x14ac:dyDescent="0.2"/>
    <row r="4234" spans="1:18" s="17" customFormat="1" ht="12.75" x14ac:dyDescent="0.2">
      <c r="A4234"/>
      <c r="B4234"/>
      <c r="C4234"/>
      <c r="D4234"/>
      <c r="E4234"/>
      <c r="F4234"/>
      <c r="G4234"/>
      <c r="H4234"/>
      <c r="I4234"/>
      <c r="J4234"/>
    </row>
    <row r="4235" spans="1:18" s="92" customFormat="1" ht="15" x14ac:dyDescent="0.2">
      <c r="A4235"/>
      <c r="B4235"/>
      <c r="C4235"/>
      <c r="D4235"/>
      <c r="E4235"/>
      <c r="F4235"/>
      <c r="G4235"/>
      <c r="H4235"/>
      <c r="I4235"/>
      <c r="J4235"/>
      <c r="K4235" s="19"/>
    </row>
    <row r="4236" spans="1:18" ht="12.75" x14ac:dyDescent="0.2"/>
    <row r="4237" spans="1:18" ht="12" customHeight="1" x14ac:dyDescent="0.2"/>
    <row r="4238" spans="1:18" ht="12.75" x14ac:dyDescent="0.2"/>
    <row r="4239" spans="1:18" ht="12.75" x14ac:dyDescent="0.2"/>
    <row r="4240" spans="1:18" ht="12.75" x14ac:dyDescent="0.2">
      <c r="K4240" s="57"/>
    </row>
    <row r="4241" spans="1:11" ht="12.75" x14ac:dyDescent="0.2">
      <c r="K4241" s="58"/>
    </row>
    <row r="4242" spans="1:11" ht="12.75" x14ac:dyDescent="0.2">
      <c r="K4242" s="58"/>
    </row>
    <row r="4243" spans="1:11" ht="12.75" x14ac:dyDescent="0.2"/>
    <row r="4244" spans="1:11" ht="12.75" x14ac:dyDescent="0.2">
      <c r="K4244" s="61"/>
    </row>
    <row r="4245" spans="1:11" ht="12.75" x14ac:dyDescent="0.2">
      <c r="K4245" s="61"/>
    </row>
    <row r="4246" spans="1:11" s="59" customFormat="1" ht="15" x14ac:dyDescent="0.25">
      <c r="A4246"/>
      <c r="B4246"/>
      <c r="C4246"/>
      <c r="D4246"/>
      <c r="E4246"/>
      <c r="F4246"/>
      <c r="G4246"/>
      <c r="H4246"/>
      <c r="I4246"/>
      <c r="J4246"/>
    </row>
    <row r="4247" spans="1:11" s="59" customFormat="1" ht="15" x14ac:dyDescent="0.25">
      <c r="A4247"/>
      <c r="B4247"/>
      <c r="C4247"/>
      <c r="D4247"/>
      <c r="E4247"/>
      <c r="F4247"/>
      <c r="G4247"/>
      <c r="H4247"/>
      <c r="I4247"/>
      <c r="J4247"/>
    </row>
    <row r="4248" spans="1:11" ht="12.75" x14ac:dyDescent="0.2"/>
    <row r="4249" spans="1:11" ht="14.25" customHeight="1" x14ac:dyDescent="0.2">
      <c r="K4249" s="68"/>
    </row>
    <row r="4250" spans="1:11" ht="14.25" customHeight="1" x14ac:dyDescent="0.2">
      <c r="K4250" s="68"/>
    </row>
    <row r="4251" spans="1:11" ht="12.75" x14ac:dyDescent="0.2">
      <c r="K4251" s="68"/>
    </row>
    <row r="4252" spans="1:11" ht="14.25" customHeight="1" x14ac:dyDescent="0.2">
      <c r="K4252" s="17"/>
    </row>
    <row r="4253" spans="1:11" ht="12.75" x14ac:dyDescent="0.2">
      <c r="K4253" s="17"/>
    </row>
    <row r="4254" spans="1:11" ht="12.75" x14ac:dyDescent="0.2">
      <c r="K4254" s="17"/>
    </row>
    <row r="4255" spans="1:11" ht="12.75" x14ac:dyDescent="0.2">
      <c r="K4255" s="17"/>
    </row>
    <row r="4256" spans="1:11" ht="12.75" x14ac:dyDescent="0.2">
      <c r="K4256" s="17"/>
    </row>
    <row r="4257" spans="1:18" ht="12.75" x14ac:dyDescent="0.2">
      <c r="K4257" s="17"/>
      <c r="R4257" s="17"/>
    </row>
    <row r="4258" spans="1:18" ht="12.75" x14ac:dyDescent="0.2">
      <c r="K4258" s="17"/>
    </row>
    <row r="4259" spans="1:18" ht="12.75" x14ac:dyDescent="0.2">
      <c r="K4259" s="17"/>
    </row>
    <row r="4260" spans="1:18" ht="12.75" x14ac:dyDescent="0.2"/>
    <row r="4261" spans="1:18" s="17" customFormat="1" ht="12.75" x14ac:dyDescent="0.2">
      <c r="A4261"/>
      <c r="B4261"/>
      <c r="C4261"/>
      <c r="D4261"/>
      <c r="E4261"/>
      <c r="F4261"/>
      <c r="G4261"/>
      <c r="H4261"/>
      <c r="I4261"/>
      <c r="J4261"/>
    </row>
    <row r="4262" spans="1:18" s="92" customFormat="1" ht="15" x14ac:dyDescent="0.2">
      <c r="A4262"/>
      <c r="B4262"/>
      <c r="C4262"/>
      <c r="D4262"/>
      <c r="E4262"/>
      <c r="F4262"/>
      <c r="G4262"/>
      <c r="H4262"/>
      <c r="I4262"/>
      <c r="J4262"/>
      <c r="K4262" s="19"/>
    </row>
    <row r="4263" spans="1:18" ht="12.75" x14ac:dyDescent="0.2"/>
    <row r="4264" spans="1:18" ht="12" customHeight="1" x14ac:dyDescent="0.2"/>
    <row r="4265" spans="1:18" ht="12.75" x14ac:dyDescent="0.2"/>
    <row r="4266" spans="1:18" ht="12.75" x14ac:dyDescent="0.2"/>
    <row r="4267" spans="1:18" ht="12.75" x14ac:dyDescent="0.2">
      <c r="K4267" s="57"/>
    </row>
    <row r="4268" spans="1:18" ht="12.75" x14ac:dyDescent="0.2">
      <c r="K4268" s="58"/>
    </row>
    <row r="4269" spans="1:18" ht="12.75" x14ac:dyDescent="0.2">
      <c r="K4269" s="58"/>
    </row>
    <row r="4270" spans="1:18" ht="12.75" x14ac:dyDescent="0.2"/>
    <row r="4271" spans="1:18" ht="12.75" x14ac:dyDescent="0.2">
      <c r="K4271" s="61"/>
    </row>
    <row r="4272" spans="1:18" ht="12.75" x14ac:dyDescent="0.2">
      <c r="K4272" s="61"/>
    </row>
    <row r="4273" spans="1:18" s="59" customFormat="1" ht="15" x14ac:dyDescent="0.25">
      <c r="A4273"/>
      <c r="B4273"/>
      <c r="C4273"/>
      <c r="D4273"/>
      <c r="E4273"/>
      <c r="F4273"/>
      <c r="G4273"/>
      <c r="H4273"/>
      <c r="I4273"/>
      <c r="J4273"/>
    </row>
    <row r="4274" spans="1:18" s="59" customFormat="1" ht="15" x14ac:dyDescent="0.25">
      <c r="A4274"/>
      <c r="B4274"/>
      <c r="C4274"/>
      <c r="D4274"/>
      <c r="E4274"/>
      <c r="F4274"/>
      <c r="G4274"/>
      <c r="H4274"/>
      <c r="I4274"/>
      <c r="J4274"/>
    </row>
    <row r="4275" spans="1:18" ht="12.75" x14ac:dyDescent="0.2"/>
    <row r="4276" spans="1:18" ht="14.25" customHeight="1" x14ac:dyDescent="0.2">
      <c r="K4276" s="68"/>
    </row>
    <row r="4277" spans="1:18" ht="14.25" customHeight="1" x14ac:dyDescent="0.2">
      <c r="K4277" s="68"/>
    </row>
    <row r="4278" spans="1:18" ht="12.75" x14ac:dyDescent="0.2">
      <c r="K4278" s="68"/>
    </row>
    <row r="4279" spans="1:18" ht="14.25" customHeight="1" x14ac:dyDescent="0.2">
      <c r="K4279" s="17"/>
    </row>
    <row r="4280" spans="1:18" ht="12.75" x14ac:dyDescent="0.2">
      <c r="K4280" s="17"/>
    </row>
    <row r="4281" spans="1:18" ht="12.75" x14ac:dyDescent="0.2">
      <c r="K4281" s="17"/>
    </row>
    <row r="4282" spans="1:18" ht="12.75" x14ac:dyDescent="0.2">
      <c r="K4282" s="17"/>
    </row>
    <row r="4283" spans="1:18" ht="12.75" x14ac:dyDescent="0.2">
      <c r="K4283" s="17"/>
    </row>
    <row r="4284" spans="1:18" ht="12.75" x14ac:dyDescent="0.2">
      <c r="K4284" s="17"/>
      <c r="R4284" s="17"/>
    </row>
    <row r="4285" spans="1:18" ht="12.75" x14ac:dyDescent="0.2">
      <c r="K4285" s="17"/>
    </row>
    <row r="4286" spans="1:18" ht="12.75" x14ac:dyDescent="0.2">
      <c r="K4286" s="17"/>
    </row>
    <row r="4287" spans="1:18" ht="12.75" x14ac:dyDescent="0.2"/>
    <row r="4288" spans="1:18" s="17" customFormat="1" ht="12.75" x14ac:dyDescent="0.2">
      <c r="A4288"/>
      <c r="B4288"/>
      <c r="C4288"/>
      <c r="D4288"/>
      <c r="E4288"/>
      <c r="F4288"/>
      <c r="G4288"/>
      <c r="H4288"/>
      <c r="I4288"/>
      <c r="J4288"/>
    </row>
    <row r="4289" spans="1:11" s="92" customFormat="1" ht="15" x14ac:dyDescent="0.2">
      <c r="A4289"/>
      <c r="B4289"/>
      <c r="C4289"/>
      <c r="D4289"/>
      <c r="E4289"/>
      <c r="F4289"/>
      <c r="G4289"/>
      <c r="H4289"/>
      <c r="I4289"/>
      <c r="J4289"/>
      <c r="K4289" s="19"/>
    </row>
    <row r="4290" spans="1:11" ht="12.75" x14ac:dyDescent="0.2"/>
    <row r="4291" spans="1:11" ht="12" customHeight="1" x14ac:dyDescent="0.2"/>
    <row r="4292" spans="1:11" ht="12.75" x14ac:dyDescent="0.2"/>
    <row r="4293" spans="1:11" ht="12.75" x14ac:dyDescent="0.2"/>
    <row r="4294" spans="1:11" ht="12.75" x14ac:dyDescent="0.2">
      <c r="K4294" s="57"/>
    </row>
    <row r="4295" spans="1:11" ht="12.75" x14ac:dyDescent="0.2">
      <c r="K4295" s="58"/>
    </row>
    <row r="4296" spans="1:11" ht="12.75" x14ac:dyDescent="0.2">
      <c r="K4296" s="58"/>
    </row>
    <row r="4297" spans="1:11" ht="12.75" x14ac:dyDescent="0.2"/>
    <row r="4298" spans="1:11" ht="12.75" x14ac:dyDescent="0.2">
      <c r="K4298" s="61"/>
    </row>
    <row r="4299" spans="1:11" ht="12.75" x14ac:dyDescent="0.2">
      <c r="K4299" s="61"/>
    </row>
    <row r="4300" spans="1:11" s="59" customFormat="1" ht="15" x14ac:dyDescent="0.25">
      <c r="A4300"/>
      <c r="B4300"/>
      <c r="C4300"/>
      <c r="D4300"/>
      <c r="E4300"/>
      <c r="F4300"/>
      <c r="G4300"/>
      <c r="H4300"/>
      <c r="I4300"/>
      <c r="J4300"/>
    </row>
    <row r="4301" spans="1:11" s="59" customFormat="1" ht="15" x14ac:dyDescent="0.25">
      <c r="A4301"/>
      <c r="B4301"/>
      <c r="C4301"/>
      <c r="D4301"/>
      <c r="E4301"/>
      <c r="F4301"/>
      <c r="G4301"/>
      <c r="H4301"/>
      <c r="I4301"/>
      <c r="J4301"/>
    </row>
    <row r="4302" spans="1:11" ht="12.75" x14ac:dyDescent="0.2"/>
    <row r="4303" spans="1:11" ht="14.25" customHeight="1" x14ac:dyDescent="0.2">
      <c r="K4303" s="68"/>
    </row>
    <row r="4304" spans="1:11" ht="14.25" customHeight="1" x14ac:dyDescent="0.2">
      <c r="K4304" s="68"/>
    </row>
    <row r="4305" spans="1:18" ht="12.75" x14ac:dyDescent="0.2">
      <c r="K4305" s="68"/>
    </row>
    <row r="4306" spans="1:18" ht="14.25" customHeight="1" x14ac:dyDescent="0.2">
      <c r="K4306" s="17"/>
    </row>
    <row r="4307" spans="1:18" ht="12.75" x14ac:dyDescent="0.2">
      <c r="K4307" s="17"/>
    </row>
    <row r="4308" spans="1:18" ht="12.75" x14ac:dyDescent="0.2">
      <c r="K4308" s="17"/>
    </row>
    <row r="4309" spans="1:18" ht="12.75" x14ac:dyDescent="0.2">
      <c r="K4309" s="17"/>
    </row>
    <row r="4310" spans="1:18" ht="12.75" x14ac:dyDescent="0.2">
      <c r="K4310" s="17"/>
    </row>
    <row r="4311" spans="1:18" ht="12.75" x14ac:dyDescent="0.2">
      <c r="K4311" s="17"/>
      <c r="R4311" s="17"/>
    </row>
    <row r="4312" spans="1:18" ht="12.75" x14ac:dyDescent="0.2">
      <c r="K4312" s="17"/>
    </row>
    <row r="4313" spans="1:18" ht="12.75" x14ac:dyDescent="0.2">
      <c r="K4313" s="17"/>
    </row>
    <row r="4314" spans="1:18" ht="12.75" x14ac:dyDescent="0.2"/>
    <row r="4315" spans="1:18" s="17" customFormat="1" ht="12.75" x14ac:dyDescent="0.2">
      <c r="A4315"/>
      <c r="B4315"/>
      <c r="C4315"/>
      <c r="D4315"/>
      <c r="E4315"/>
      <c r="F4315"/>
      <c r="G4315"/>
      <c r="H4315"/>
      <c r="I4315"/>
      <c r="J4315"/>
    </row>
    <row r="4316" spans="1:18" s="92" customFormat="1" ht="15" x14ac:dyDescent="0.2">
      <c r="A4316"/>
      <c r="B4316"/>
      <c r="C4316"/>
      <c r="D4316"/>
      <c r="E4316"/>
      <c r="F4316"/>
      <c r="G4316"/>
      <c r="H4316"/>
      <c r="I4316"/>
      <c r="J4316"/>
      <c r="K4316" s="19"/>
    </row>
    <row r="4317" spans="1:18" ht="12.75" x14ac:dyDescent="0.2"/>
    <row r="4318" spans="1:18" ht="12" customHeight="1" x14ac:dyDescent="0.2"/>
    <row r="4319" spans="1:18" ht="12.75" x14ac:dyDescent="0.2"/>
    <row r="4320" spans="1:18" ht="12.75" x14ac:dyDescent="0.2"/>
    <row r="4321" spans="1:11" ht="12.75" x14ac:dyDescent="0.2">
      <c r="K4321" s="57"/>
    </row>
    <row r="4322" spans="1:11" ht="12.75" x14ac:dyDescent="0.2">
      <c r="K4322" s="58"/>
    </row>
    <row r="4323" spans="1:11" ht="12.75" x14ac:dyDescent="0.2">
      <c r="K4323" s="58"/>
    </row>
    <row r="4324" spans="1:11" ht="12.75" x14ac:dyDescent="0.2"/>
    <row r="4325" spans="1:11" ht="12.75" x14ac:dyDescent="0.2">
      <c r="K4325" s="61"/>
    </row>
    <row r="4326" spans="1:11" ht="12.75" x14ac:dyDescent="0.2">
      <c r="K4326" s="61"/>
    </row>
    <row r="4327" spans="1:11" s="59" customFormat="1" ht="15" x14ac:dyDescent="0.25">
      <c r="A4327"/>
      <c r="B4327"/>
      <c r="C4327"/>
      <c r="D4327"/>
      <c r="E4327"/>
      <c r="F4327"/>
      <c r="G4327"/>
      <c r="H4327"/>
      <c r="I4327"/>
      <c r="J4327"/>
    </row>
    <row r="4328" spans="1:11" s="59" customFormat="1" ht="15" x14ac:dyDescent="0.25">
      <c r="A4328"/>
      <c r="B4328"/>
      <c r="C4328"/>
      <c r="D4328"/>
      <c r="E4328"/>
      <c r="F4328"/>
      <c r="G4328"/>
      <c r="H4328"/>
      <c r="I4328"/>
      <c r="J4328"/>
    </row>
    <row r="4329" spans="1:11" ht="12.75" x14ac:dyDescent="0.2"/>
    <row r="4330" spans="1:11" ht="14.25" customHeight="1" x14ac:dyDescent="0.2">
      <c r="K4330" s="68"/>
    </row>
    <row r="4331" spans="1:11" ht="14.25" customHeight="1" x14ac:dyDescent="0.2">
      <c r="K4331" s="68"/>
    </row>
    <row r="4332" spans="1:11" ht="12.75" x14ac:dyDescent="0.2">
      <c r="K4332" s="68"/>
    </row>
    <row r="4333" spans="1:11" ht="14.25" customHeight="1" x14ac:dyDescent="0.2">
      <c r="K4333" s="17"/>
    </row>
    <row r="4334" spans="1:11" ht="12.75" x14ac:dyDescent="0.2">
      <c r="K4334" s="17"/>
    </row>
    <row r="4335" spans="1:11" ht="12.75" x14ac:dyDescent="0.2">
      <c r="K4335" s="17"/>
    </row>
    <row r="4336" spans="1:11" ht="12.75" x14ac:dyDescent="0.2">
      <c r="K4336" s="17"/>
    </row>
    <row r="4337" spans="1:18" ht="12.75" x14ac:dyDescent="0.2">
      <c r="K4337" s="17"/>
    </row>
    <row r="4338" spans="1:18" ht="12.75" x14ac:dyDescent="0.2">
      <c r="K4338" s="17"/>
      <c r="R4338" s="17"/>
    </row>
    <row r="4339" spans="1:18" ht="12.75" x14ac:dyDescent="0.2">
      <c r="K4339" s="17"/>
    </row>
    <row r="4340" spans="1:18" ht="12.75" x14ac:dyDescent="0.2">
      <c r="K4340" s="17"/>
    </row>
    <row r="4341" spans="1:18" ht="12.75" x14ac:dyDescent="0.2"/>
    <row r="4342" spans="1:18" s="17" customFormat="1" ht="12.75" x14ac:dyDescent="0.2">
      <c r="A4342"/>
      <c r="B4342"/>
      <c r="C4342"/>
      <c r="D4342"/>
      <c r="E4342"/>
      <c r="F4342"/>
      <c r="G4342"/>
      <c r="H4342"/>
      <c r="I4342"/>
      <c r="J4342"/>
    </row>
    <row r="4343" spans="1:18" s="92" customFormat="1" ht="15" x14ac:dyDescent="0.2">
      <c r="A4343"/>
      <c r="B4343"/>
      <c r="C4343"/>
      <c r="D4343"/>
      <c r="E4343"/>
      <c r="F4343"/>
      <c r="G4343"/>
      <c r="H4343"/>
      <c r="I4343"/>
      <c r="J4343"/>
      <c r="K4343" s="19"/>
    </row>
    <row r="4344" spans="1:18" ht="12.75" x14ac:dyDescent="0.2"/>
    <row r="4345" spans="1:18" ht="12" customHeight="1" x14ac:dyDescent="0.2"/>
    <row r="4346" spans="1:18" ht="12.75" x14ac:dyDescent="0.2"/>
    <row r="4347" spans="1:18" ht="12.75" x14ac:dyDescent="0.2"/>
    <row r="4348" spans="1:18" ht="12.75" x14ac:dyDescent="0.2">
      <c r="K4348" s="57"/>
    </row>
    <row r="4349" spans="1:18" ht="12.75" x14ac:dyDescent="0.2">
      <c r="K4349" s="58"/>
    </row>
    <row r="4350" spans="1:18" ht="12.75" x14ac:dyDescent="0.2">
      <c r="K4350" s="58"/>
    </row>
    <row r="4351" spans="1:18" ht="12.75" x14ac:dyDescent="0.2"/>
    <row r="4352" spans="1:18" ht="12.75" x14ac:dyDescent="0.2">
      <c r="K4352" s="61"/>
    </row>
    <row r="4353" spans="1:18" ht="12.75" x14ac:dyDescent="0.2">
      <c r="K4353" s="61"/>
    </row>
    <row r="4354" spans="1:18" s="59" customFormat="1" ht="15" x14ac:dyDescent="0.25">
      <c r="A4354"/>
      <c r="B4354"/>
      <c r="C4354"/>
      <c r="D4354"/>
      <c r="E4354"/>
      <c r="F4354"/>
      <c r="G4354"/>
      <c r="H4354"/>
      <c r="I4354"/>
      <c r="J4354"/>
    </row>
    <row r="4355" spans="1:18" s="59" customFormat="1" ht="15" x14ac:dyDescent="0.25">
      <c r="A4355"/>
      <c r="B4355"/>
      <c r="C4355"/>
      <c r="D4355"/>
      <c r="E4355"/>
      <c r="F4355"/>
      <c r="G4355"/>
      <c r="H4355"/>
      <c r="I4355"/>
      <c r="J4355"/>
    </row>
    <row r="4356" spans="1:18" ht="12.75" x14ac:dyDescent="0.2"/>
    <row r="4357" spans="1:18" ht="14.25" customHeight="1" x14ac:dyDescent="0.2">
      <c r="K4357" s="68"/>
    </row>
    <row r="4358" spans="1:18" ht="14.25" customHeight="1" x14ac:dyDescent="0.2">
      <c r="K4358" s="68"/>
    </row>
    <row r="4359" spans="1:18" ht="12.75" x14ac:dyDescent="0.2">
      <c r="K4359" s="68"/>
    </row>
    <row r="4360" spans="1:18" ht="14.25" customHeight="1" x14ac:dyDescent="0.2">
      <c r="K4360" s="17"/>
    </row>
    <row r="4361" spans="1:18" ht="12.75" x14ac:dyDescent="0.2">
      <c r="K4361" s="17"/>
    </row>
    <row r="4362" spans="1:18" ht="12.75" x14ac:dyDescent="0.2">
      <c r="K4362" s="17"/>
    </row>
    <row r="4363" spans="1:18" ht="12.75" x14ac:dyDescent="0.2">
      <c r="K4363" s="17"/>
    </row>
    <row r="4364" spans="1:18" ht="12.75" x14ac:dyDescent="0.2">
      <c r="K4364" s="17"/>
    </row>
    <row r="4365" spans="1:18" ht="12.75" x14ac:dyDescent="0.2">
      <c r="K4365" s="17"/>
      <c r="R4365" s="17"/>
    </row>
    <row r="4366" spans="1:18" ht="12.75" x14ac:dyDescent="0.2">
      <c r="K4366" s="17"/>
    </row>
    <row r="4367" spans="1:18" ht="12.75" x14ac:dyDescent="0.2">
      <c r="K4367" s="17"/>
    </row>
    <row r="4368" spans="1:18" ht="12.75" x14ac:dyDescent="0.2"/>
    <row r="4369" spans="1:11" s="17" customFormat="1" ht="12.75" x14ac:dyDescent="0.2">
      <c r="A4369"/>
      <c r="B4369"/>
      <c r="C4369"/>
      <c r="D4369"/>
      <c r="E4369"/>
      <c r="F4369"/>
      <c r="G4369"/>
      <c r="H4369"/>
      <c r="I4369"/>
      <c r="J4369"/>
    </row>
    <row r="4370" spans="1:11" s="92" customFormat="1" ht="15" x14ac:dyDescent="0.2">
      <c r="A4370"/>
      <c r="B4370"/>
      <c r="C4370"/>
      <c r="D4370"/>
      <c r="E4370"/>
      <c r="F4370"/>
      <c r="G4370"/>
      <c r="H4370"/>
      <c r="I4370"/>
      <c r="J4370"/>
      <c r="K4370" s="19"/>
    </row>
    <row r="4371" spans="1:11" ht="12.75" x14ac:dyDescent="0.2"/>
    <row r="4372" spans="1:11" ht="12" customHeight="1" x14ac:dyDescent="0.2"/>
    <row r="4373" spans="1:11" ht="12.75" x14ac:dyDescent="0.2"/>
    <row r="4374" spans="1:11" ht="12.75" x14ac:dyDescent="0.2"/>
    <row r="4375" spans="1:11" ht="12.75" x14ac:dyDescent="0.2">
      <c r="K4375" s="57"/>
    </row>
    <row r="4376" spans="1:11" ht="12.75" x14ac:dyDescent="0.2">
      <c r="K4376" s="58"/>
    </row>
    <row r="4377" spans="1:11" ht="12.75" x14ac:dyDescent="0.2">
      <c r="K4377" s="58"/>
    </row>
    <row r="4378" spans="1:11" ht="12.75" x14ac:dyDescent="0.2"/>
    <row r="4379" spans="1:11" ht="12.75" x14ac:dyDescent="0.2">
      <c r="K4379" s="61"/>
    </row>
    <row r="4380" spans="1:11" ht="12.75" x14ac:dyDescent="0.2">
      <c r="K4380" s="61"/>
    </row>
    <row r="4381" spans="1:11" s="59" customFormat="1" ht="15" x14ac:dyDescent="0.25">
      <c r="A4381"/>
      <c r="B4381"/>
      <c r="C4381"/>
      <c r="D4381"/>
      <c r="E4381"/>
      <c r="F4381"/>
      <c r="G4381"/>
      <c r="H4381"/>
      <c r="I4381"/>
      <c r="J4381"/>
    </row>
    <row r="4382" spans="1:11" s="59" customFormat="1" ht="15" x14ac:dyDescent="0.25">
      <c r="A4382"/>
      <c r="B4382"/>
      <c r="C4382"/>
      <c r="D4382"/>
      <c r="E4382"/>
      <c r="F4382"/>
      <c r="G4382"/>
      <c r="H4382"/>
      <c r="I4382"/>
      <c r="J4382"/>
    </row>
    <row r="4383" spans="1:11" ht="12.75" x14ac:dyDescent="0.2"/>
    <row r="4384" spans="1:11" ht="14.25" customHeight="1" x14ac:dyDescent="0.2">
      <c r="K4384" s="68"/>
    </row>
    <row r="4385" spans="1:18" ht="14.25" customHeight="1" x14ac:dyDescent="0.2">
      <c r="K4385" s="68"/>
    </row>
    <row r="4386" spans="1:18" ht="12.75" x14ac:dyDescent="0.2">
      <c r="K4386" s="68"/>
    </row>
    <row r="4387" spans="1:18" ht="14.25" customHeight="1" x14ac:dyDescent="0.2">
      <c r="K4387" s="17"/>
    </row>
    <row r="4388" spans="1:18" ht="12.75" x14ac:dyDescent="0.2">
      <c r="K4388" s="17"/>
    </row>
    <row r="4389" spans="1:18" ht="12.75" x14ac:dyDescent="0.2">
      <c r="K4389" s="17"/>
    </row>
    <row r="4390" spans="1:18" ht="12.75" x14ac:dyDescent="0.2">
      <c r="K4390" s="17"/>
    </row>
    <row r="4391" spans="1:18" ht="12.75" x14ac:dyDescent="0.2">
      <c r="K4391" s="17"/>
    </row>
    <row r="4392" spans="1:18" ht="12.75" x14ac:dyDescent="0.2">
      <c r="K4392" s="17"/>
      <c r="R4392" s="17"/>
    </row>
    <row r="4393" spans="1:18" ht="12.75" x14ac:dyDescent="0.2">
      <c r="K4393" s="17"/>
    </row>
    <row r="4394" spans="1:18" ht="12.75" x14ac:dyDescent="0.2">
      <c r="K4394" s="17"/>
    </row>
    <row r="4395" spans="1:18" ht="12.75" x14ac:dyDescent="0.2"/>
    <row r="4396" spans="1:18" s="17" customFormat="1" ht="12.75" x14ac:dyDescent="0.2">
      <c r="A4396"/>
      <c r="B4396"/>
      <c r="C4396"/>
      <c r="D4396"/>
      <c r="E4396"/>
      <c r="F4396"/>
      <c r="G4396"/>
      <c r="H4396"/>
      <c r="I4396"/>
      <c r="J4396"/>
    </row>
    <row r="4397" spans="1:18" s="92" customFormat="1" ht="15" x14ac:dyDescent="0.2">
      <c r="A4397"/>
      <c r="B4397"/>
      <c r="C4397"/>
      <c r="D4397"/>
      <c r="E4397"/>
      <c r="F4397"/>
      <c r="G4397"/>
      <c r="H4397"/>
      <c r="I4397"/>
      <c r="J4397"/>
      <c r="K4397" s="19"/>
    </row>
    <row r="4398" spans="1:18" ht="12.75" x14ac:dyDescent="0.2"/>
    <row r="4399" spans="1:18" ht="12" customHeight="1" x14ac:dyDescent="0.2"/>
    <row r="4400" spans="1:18" ht="12.75" x14ac:dyDescent="0.2"/>
    <row r="4401" spans="1:11" ht="12.75" x14ac:dyDescent="0.2"/>
    <row r="4402" spans="1:11" ht="12.75" x14ac:dyDescent="0.2">
      <c r="K4402" s="57"/>
    </row>
    <row r="4403" spans="1:11" ht="12.75" x14ac:dyDescent="0.2">
      <c r="K4403" s="58"/>
    </row>
    <row r="4404" spans="1:11" ht="12.75" x14ac:dyDescent="0.2">
      <c r="K4404" s="58"/>
    </row>
    <row r="4405" spans="1:11" ht="12.75" x14ac:dyDescent="0.2"/>
    <row r="4406" spans="1:11" ht="12.75" x14ac:dyDescent="0.2">
      <c r="K4406" s="61"/>
    </row>
    <row r="4407" spans="1:11" ht="12.75" x14ac:dyDescent="0.2">
      <c r="K4407" s="61"/>
    </row>
    <row r="4408" spans="1:11" s="59" customFormat="1" ht="15" x14ac:dyDescent="0.25">
      <c r="A4408"/>
      <c r="B4408"/>
      <c r="C4408"/>
      <c r="D4408"/>
      <c r="E4408"/>
      <c r="F4408"/>
      <c r="G4408"/>
      <c r="H4408"/>
      <c r="I4408"/>
      <c r="J4408"/>
    </row>
    <row r="4409" spans="1:11" s="59" customFormat="1" ht="15" x14ac:dyDescent="0.25">
      <c r="A4409"/>
      <c r="B4409"/>
      <c r="C4409"/>
      <c r="D4409"/>
      <c r="E4409"/>
      <c r="F4409"/>
      <c r="G4409"/>
      <c r="H4409"/>
      <c r="I4409"/>
      <c r="J4409"/>
    </row>
    <row r="4410" spans="1:11" ht="12.75" x14ac:dyDescent="0.2"/>
    <row r="4411" spans="1:11" ht="14.25" customHeight="1" x14ac:dyDescent="0.2">
      <c r="K4411" s="68"/>
    </row>
    <row r="4412" spans="1:11" ht="14.25" customHeight="1" x14ac:dyDescent="0.2">
      <c r="K4412" s="68"/>
    </row>
    <row r="4413" spans="1:11" ht="12.75" x14ac:dyDescent="0.2">
      <c r="K4413" s="68"/>
    </row>
    <row r="4414" spans="1:11" ht="14.25" customHeight="1" x14ac:dyDescent="0.2">
      <c r="K4414" s="17"/>
    </row>
    <row r="4415" spans="1:11" ht="12.75" x14ac:dyDescent="0.2">
      <c r="K4415" s="17"/>
    </row>
    <row r="4416" spans="1:11" ht="12.75" x14ac:dyDescent="0.2">
      <c r="K4416" s="17"/>
    </row>
    <row r="4417" spans="1:18" ht="12.75" x14ac:dyDescent="0.2">
      <c r="K4417" s="17"/>
    </row>
    <row r="4418" spans="1:18" ht="12.75" x14ac:dyDescent="0.2">
      <c r="K4418" s="17"/>
    </row>
    <row r="4419" spans="1:18" ht="12.75" x14ac:dyDescent="0.2">
      <c r="K4419" s="17"/>
      <c r="R4419" s="17"/>
    </row>
    <row r="4420" spans="1:18" ht="12.75" x14ac:dyDescent="0.2">
      <c r="K4420" s="17"/>
    </row>
    <row r="4421" spans="1:18" ht="12.75" x14ac:dyDescent="0.2">
      <c r="K4421" s="17"/>
    </row>
    <row r="4422" spans="1:18" ht="12.75" x14ac:dyDescent="0.2"/>
    <row r="4423" spans="1:18" s="17" customFormat="1" ht="12.75" x14ac:dyDescent="0.2">
      <c r="A4423"/>
      <c r="B4423"/>
      <c r="C4423"/>
      <c r="D4423"/>
      <c r="E4423"/>
      <c r="F4423"/>
      <c r="G4423"/>
      <c r="H4423"/>
      <c r="I4423"/>
      <c r="J4423"/>
    </row>
    <row r="4424" spans="1:18" s="92" customFormat="1" ht="15" x14ac:dyDescent="0.2">
      <c r="A4424"/>
      <c r="B4424"/>
      <c r="C4424"/>
      <c r="D4424"/>
      <c r="E4424"/>
      <c r="F4424"/>
      <c r="G4424"/>
      <c r="H4424"/>
      <c r="I4424"/>
      <c r="J4424"/>
      <c r="K4424" s="19"/>
    </row>
    <row r="4425" spans="1:18" ht="12.75" x14ac:dyDescent="0.2"/>
    <row r="4426" spans="1:18" ht="12" customHeight="1" x14ac:dyDescent="0.2"/>
    <row r="4427" spans="1:18" ht="12.75" x14ac:dyDescent="0.2"/>
    <row r="4428" spans="1:18" ht="12.75" x14ac:dyDescent="0.2"/>
    <row r="4429" spans="1:18" ht="12.75" x14ac:dyDescent="0.2">
      <c r="K4429" s="57"/>
    </row>
    <row r="4430" spans="1:18" ht="12.75" x14ac:dyDescent="0.2">
      <c r="K4430" s="58"/>
    </row>
    <row r="4431" spans="1:18" ht="12.75" x14ac:dyDescent="0.2">
      <c r="K4431" s="58"/>
    </row>
    <row r="4432" spans="1:18" ht="12.75" x14ac:dyDescent="0.2"/>
    <row r="4433" spans="1:18" ht="12.75" x14ac:dyDescent="0.2">
      <c r="K4433" s="61"/>
    </row>
    <row r="4434" spans="1:18" ht="12.75" x14ac:dyDescent="0.2">
      <c r="K4434" s="61"/>
    </row>
    <row r="4435" spans="1:18" s="59" customFormat="1" ht="15" x14ac:dyDescent="0.25">
      <c r="A4435"/>
      <c r="B4435"/>
      <c r="C4435"/>
      <c r="D4435"/>
      <c r="E4435"/>
      <c r="F4435"/>
      <c r="G4435"/>
      <c r="H4435"/>
      <c r="I4435"/>
      <c r="J4435"/>
    </row>
    <row r="4436" spans="1:18" s="59" customFormat="1" ht="15" x14ac:dyDescent="0.25">
      <c r="A4436"/>
      <c r="B4436"/>
      <c r="C4436"/>
      <c r="D4436"/>
      <c r="E4436"/>
      <c r="F4436"/>
      <c r="G4436"/>
      <c r="H4436"/>
      <c r="I4436"/>
      <c r="J4436"/>
    </row>
    <row r="4437" spans="1:18" ht="12.75" x14ac:dyDescent="0.2"/>
    <row r="4438" spans="1:18" ht="14.25" customHeight="1" x14ac:dyDescent="0.2">
      <c r="K4438" s="68"/>
    </row>
    <row r="4439" spans="1:18" ht="14.25" customHeight="1" x14ac:dyDescent="0.2">
      <c r="K4439" s="68"/>
    </row>
    <row r="4440" spans="1:18" ht="12.75" x14ac:dyDescent="0.2">
      <c r="K4440" s="68"/>
    </row>
    <row r="4441" spans="1:18" ht="14.25" customHeight="1" x14ac:dyDescent="0.2">
      <c r="K4441" s="17"/>
    </row>
    <row r="4442" spans="1:18" ht="12.75" x14ac:dyDescent="0.2">
      <c r="K4442" s="17"/>
    </row>
    <row r="4443" spans="1:18" ht="12.75" x14ac:dyDescent="0.2">
      <c r="K4443" s="17"/>
    </row>
    <row r="4444" spans="1:18" ht="12.75" x14ac:dyDescent="0.2">
      <c r="K4444" s="17"/>
    </row>
    <row r="4445" spans="1:18" ht="12.75" x14ac:dyDescent="0.2">
      <c r="K4445" s="17"/>
    </row>
    <row r="4446" spans="1:18" ht="12.75" x14ac:dyDescent="0.2">
      <c r="K4446" s="17"/>
      <c r="R4446" s="17"/>
    </row>
    <row r="4447" spans="1:18" ht="12.75" x14ac:dyDescent="0.2">
      <c r="K4447" s="17"/>
    </row>
    <row r="4448" spans="1:18" ht="12.75" x14ac:dyDescent="0.2">
      <c r="K4448" s="17"/>
    </row>
    <row r="4449" spans="1:11" ht="12.75" x14ac:dyDescent="0.2"/>
    <row r="4450" spans="1:11" s="17" customFormat="1" ht="12.75" x14ac:dyDescent="0.2">
      <c r="A4450"/>
      <c r="B4450"/>
      <c r="C4450"/>
      <c r="D4450"/>
      <c r="E4450"/>
      <c r="F4450"/>
      <c r="G4450"/>
      <c r="H4450"/>
      <c r="I4450"/>
      <c r="J4450"/>
    </row>
    <row r="4451" spans="1:11" s="92" customFormat="1" ht="15" x14ac:dyDescent="0.2">
      <c r="A4451"/>
      <c r="B4451"/>
      <c r="C4451"/>
      <c r="D4451"/>
      <c r="E4451"/>
      <c r="F4451"/>
      <c r="G4451"/>
      <c r="H4451"/>
      <c r="I4451"/>
      <c r="J4451"/>
      <c r="K4451" s="19"/>
    </row>
    <row r="4452" spans="1:11" ht="12.75" x14ac:dyDescent="0.2"/>
    <row r="4453" spans="1:11" ht="12" customHeight="1" x14ac:dyDescent="0.2"/>
    <row r="4454" spans="1:11" ht="12.75" x14ac:dyDescent="0.2"/>
    <row r="4455" spans="1:11" ht="12.75" x14ac:dyDescent="0.2"/>
    <row r="4456" spans="1:11" ht="12.75" x14ac:dyDescent="0.2">
      <c r="K4456" s="57"/>
    </row>
    <row r="4457" spans="1:11" ht="12.75" x14ac:dyDescent="0.2">
      <c r="K4457" s="58"/>
    </row>
    <row r="4458" spans="1:11" ht="12.75" x14ac:dyDescent="0.2">
      <c r="K4458" s="58"/>
    </row>
    <row r="4459" spans="1:11" ht="12.75" x14ac:dyDescent="0.2"/>
    <row r="4460" spans="1:11" ht="12.75" x14ac:dyDescent="0.2">
      <c r="K4460" s="61"/>
    </row>
    <row r="4461" spans="1:11" ht="12.75" x14ac:dyDescent="0.2">
      <c r="K4461" s="61"/>
    </row>
    <row r="4462" spans="1:11" s="59" customFormat="1" ht="15" x14ac:dyDescent="0.25">
      <c r="A4462"/>
      <c r="B4462"/>
      <c r="C4462"/>
      <c r="D4462"/>
      <c r="E4462"/>
      <c r="F4462"/>
      <c r="G4462"/>
      <c r="H4462"/>
      <c r="I4462"/>
      <c r="J4462"/>
    </row>
    <row r="4463" spans="1:11" s="59" customFormat="1" ht="15" x14ac:dyDescent="0.25">
      <c r="A4463"/>
      <c r="B4463"/>
      <c r="C4463"/>
      <c r="D4463"/>
      <c r="E4463"/>
      <c r="F4463"/>
      <c r="G4463"/>
      <c r="H4463"/>
      <c r="I4463"/>
      <c r="J4463"/>
    </row>
    <row r="4464" spans="1:11" ht="12.75" x14ac:dyDescent="0.2"/>
    <row r="4465" spans="1:18" ht="14.25" customHeight="1" x14ac:dyDescent="0.2">
      <c r="K4465" s="68"/>
    </row>
    <row r="4466" spans="1:18" ht="14.25" customHeight="1" x14ac:dyDescent="0.2">
      <c r="K4466" s="68"/>
    </row>
    <row r="4467" spans="1:18" ht="12.75" x14ac:dyDescent="0.2">
      <c r="K4467" s="68"/>
    </row>
    <row r="4468" spans="1:18" ht="14.25" customHeight="1" x14ac:dyDescent="0.2">
      <c r="K4468" s="17"/>
    </row>
    <row r="4469" spans="1:18" ht="12.75" x14ac:dyDescent="0.2">
      <c r="K4469" s="17"/>
    </row>
    <row r="4470" spans="1:18" ht="12.75" x14ac:dyDescent="0.2">
      <c r="K4470" s="17"/>
    </row>
    <row r="4471" spans="1:18" ht="12.75" x14ac:dyDescent="0.2">
      <c r="K4471" s="17"/>
    </row>
    <row r="4472" spans="1:18" ht="12.75" x14ac:dyDescent="0.2">
      <c r="K4472" s="17"/>
    </row>
    <row r="4473" spans="1:18" ht="12.75" x14ac:dyDescent="0.2">
      <c r="K4473" s="17"/>
      <c r="R4473" s="17"/>
    </row>
    <row r="4474" spans="1:18" ht="12.75" x14ac:dyDescent="0.2">
      <c r="K4474" s="17"/>
    </row>
    <row r="4475" spans="1:18" ht="12.75" x14ac:dyDescent="0.2">
      <c r="K4475" s="17"/>
    </row>
    <row r="4476" spans="1:18" ht="12.75" x14ac:dyDescent="0.2"/>
    <row r="4477" spans="1:18" s="17" customFormat="1" ht="12.75" x14ac:dyDescent="0.2">
      <c r="A4477"/>
      <c r="B4477"/>
      <c r="C4477"/>
      <c r="D4477"/>
      <c r="E4477"/>
      <c r="F4477"/>
      <c r="G4477"/>
      <c r="H4477"/>
      <c r="I4477"/>
      <c r="J4477"/>
    </row>
    <row r="4478" spans="1:18" s="92" customFormat="1" ht="15" x14ac:dyDescent="0.2">
      <c r="A4478"/>
      <c r="B4478"/>
      <c r="C4478"/>
      <c r="D4478"/>
      <c r="E4478"/>
      <c r="F4478"/>
      <c r="G4478"/>
      <c r="H4478"/>
      <c r="I4478"/>
      <c r="J4478"/>
      <c r="K4478" s="19"/>
    </row>
    <row r="4479" spans="1:18" ht="12.75" x14ac:dyDescent="0.2"/>
    <row r="4480" spans="1:18" ht="12" customHeight="1" x14ac:dyDescent="0.2"/>
    <row r="4481" spans="1:11" ht="12.75" x14ac:dyDescent="0.2"/>
    <row r="4482" spans="1:11" ht="12.75" x14ac:dyDescent="0.2"/>
    <row r="4483" spans="1:11" ht="12.75" x14ac:dyDescent="0.2">
      <c r="K4483" s="57"/>
    </row>
    <row r="4484" spans="1:11" ht="12.75" x14ac:dyDescent="0.2">
      <c r="K4484" s="58"/>
    </row>
    <row r="4485" spans="1:11" ht="12.75" x14ac:dyDescent="0.2">
      <c r="K4485" s="58"/>
    </row>
    <row r="4486" spans="1:11" ht="12.75" x14ac:dyDescent="0.2"/>
    <row r="4487" spans="1:11" ht="12.75" x14ac:dyDescent="0.2">
      <c r="K4487" s="61"/>
    </row>
    <row r="4488" spans="1:11" ht="12.75" x14ac:dyDescent="0.2">
      <c r="K4488" s="61"/>
    </row>
    <row r="4489" spans="1:11" s="59" customFormat="1" ht="15" x14ac:dyDescent="0.25">
      <c r="A4489"/>
      <c r="B4489"/>
      <c r="C4489"/>
      <c r="D4489"/>
      <c r="E4489"/>
      <c r="F4489"/>
      <c r="G4489"/>
      <c r="H4489"/>
      <c r="I4489"/>
      <c r="J4489"/>
    </row>
    <row r="4490" spans="1:11" s="59" customFormat="1" ht="15" x14ac:dyDescent="0.25">
      <c r="A4490"/>
      <c r="B4490"/>
      <c r="C4490"/>
      <c r="D4490"/>
      <c r="E4490"/>
      <c r="F4490"/>
      <c r="G4490"/>
      <c r="H4490"/>
      <c r="I4490"/>
      <c r="J4490"/>
    </row>
    <row r="4491" spans="1:11" ht="12.75" x14ac:dyDescent="0.2"/>
    <row r="4492" spans="1:11" ht="14.25" customHeight="1" x14ac:dyDescent="0.2">
      <c r="K4492" s="68"/>
    </row>
    <row r="4493" spans="1:11" ht="14.25" customHeight="1" x14ac:dyDescent="0.2">
      <c r="K4493" s="68"/>
    </row>
    <row r="4494" spans="1:11" ht="12.75" x14ac:dyDescent="0.2">
      <c r="K4494" s="68"/>
    </row>
    <row r="4495" spans="1:11" ht="14.25" customHeight="1" x14ac:dyDescent="0.2">
      <c r="K4495" s="17"/>
    </row>
    <row r="4496" spans="1:11" ht="12.75" x14ac:dyDescent="0.2">
      <c r="K4496" s="17"/>
    </row>
    <row r="4497" spans="1:18" ht="12.75" x14ac:dyDescent="0.2">
      <c r="K4497" s="17"/>
    </row>
    <row r="4498" spans="1:18" ht="12.75" x14ac:dyDescent="0.2">
      <c r="K4498" s="17"/>
    </row>
    <row r="4499" spans="1:18" ht="12.75" x14ac:dyDescent="0.2">
      <c r="K4499" s="17"/>
    </row>
    <row r="4500" spans="1:18" ht="12.75" x14ac:dyDescent="0.2">
      <c r="K4500" s="17"/>
      <c r="R4500" s="17"/>
    </row>
    <row r="4501" spans="1:18" ht="12.75" x14ac:dyDescent="0.2">
      <c r="K4501" s="17"/>
    </row>
    <row r="4502" spans="1:18" ht="12.75" x14ac:dyDescent="0.2">
      <c r="K4502" s="17"/>
    </row>
    <row r="4503" spans="1:18" ht="12.75" x14ac:dyDescent="0.2"/>
    <row r="4504" spans="1:18" s="17" customFormat="1" ht="12.75" x14ac:dyDescent="0.2">
      <c r="A4504"/>
      <c r="B4504"/>
      <c r="C4504"/>
      <c r="D4504"/>
      <c r="E4504"/>
      <c r="F4504"/>
      <c r="G4504"/>
      <c r="H4504"/>
      <c r="I4504"/>
      <c r="J4504"/>
    </row>
    <row r="4505" spans="1:18" s="92" customFormat="1" ht="15" x14ac:dyDescent="0.2">
      <c r="A4505"/>
      <c r="B4505"/>
      <c r="C4505"/>
      <c r="D4505"/>
      <c r="E4505"/>
      <c r="F4505"/>
      <c r="G4505"/>
      <c r="H4505"/>
      <c r="I4505"/>
      <c r="J4505"/>
      <c r="K4505" s="19"/>
    </row>
    <row r="4506" spans="1:18" ht="12.75" x14ac:dyDescent="0.2"/>
    <row r="4507" spans="1:18" ht="12" customHeight="1" x14ac:dyDescent="0.2"/>
    <row r="4508" spans="1:18" ht="12.75" x14ac:dyDescent="0.2"/>
    <row r="4509" spans="1:18" ht="12.75" x14ac:dyDescent="0.2"/>
    <row r="4510" spans="1:18" ht="12.75" x14ac:dyDescent="0.2">
      <c r="K4510" s="57"/>
    </row>
    <row r="4511" spans="1:18" ht="12.75" x14ac:dyDescent="0.2">
      <c r="K4511" s="58"/>
    </row>
    <row r="4512" spans="1:18" ht="12.75" x14ac:dyDescent="0.2">
      <c r="K4512" s="58"/>
    </row>
    <row r="4513" spans="1:18" ht="12.75" x14ac:dyDescent="0.2"/>
    <row r="4514" spans="1:18" ht="12.75" x14ac:dyDescent="0.2">
      <c r="K4514" s="61"/>
    </row>
    <row r="4515" spans="1:18" ht="12.75" x14ac:dyDescent="0.2">
      <c r="K4515" s="61"/>
    </row>
    <row r="4516" spans="1:18" s="59" customFormat="1" ht="15" x14ac:dyDescent="0.25">
      <c r="A4516"/>
      <c r="B4516"/>
      <c r="C4516"/>
      <c r="D4516"/>
      <c r="E4516"/>
      <c r="F4516"/>
      <c r="G4516"/>
      <c r="H4516"/>
      <c r="I4516"/>
      <c r="J4516"/>
    </row>
    <row r="4517" spans="1:18" s="59" customFormat="1" ht="15" x14ac:dyDescent="0.25">
      <c r="A4517"/>
      <c r="B4517"/>
      <c r="C4517"/>
      <c r="D4517"/>
      <c r="E4517"/>
      <c r="F4517"/>
      <c r="G4517"/>
      <c r="H4517"/>
      <c r="I4517"/>
      <c r="J4517"/>
    </row>
    <row r="4518" spans="1:18" ht="12.75" x14ac:dyDescent="0.2"/>
    <row r="4519" spans="1:18" ht="14.25" customHeight="1" x14ac:dyDescent="0.2">
      <c r="K4519" s="68"/>
    </row>
    <row r="4520" spans="1:18" ht="14.25" customHeight="1" x14ac:dyDescent="0.2">
      <c r="K4520" s="68"/>
    </row>
    <row r="4521" spans="1:18" ht="12.75" x14ac:dyDescent="0.2">
      <c r="K4521" s="68"/>
    </row>
    <row r="4522" spans="1:18" ht="14.25" customHeight="1" x14ac:dyDescent="0.2">
      <c r="K4522" s="17"/>
    </row>
    <row r="4523" spans="1:18" ht="12.75" x14ac:dyDescent="0.2">
      <c r="K4523" s="17"/>
    </row>
    <row r="4524" spans="1:18" ht="12.75" x14ac:dyDescent="0.2">
      <c r="K4524" s="17"/>
    </row>
    <row r="4525" spans="1:18" ht="12.75" x14ac:dyDescent="0.2">
      <c r="K4525" s="17"/>
    </row>
    <row r="4526" spans="1:18" ht="12.75" x14ac:dyDescent="0.2">
      <c r="K4526" s="17"/>
    </row>
    <row r="4527" spans="1:18" ht="12.75" x14ac:dyDescent="0.2">
      <c r="K4527" s="17"/>
      <c r="R4527" s="17"/>
    </row>
    <row r="4528" spans="1:18" ht="12.75" x14ac:dyDescent="0.2">
      <c r="K4528" s="17"/>
    </row>
    <row r="4529" spans="1:11" ht="12.75" x14ac:dyDescent="0.2">
      <c r="K4529" s="17"/>
    </row>
    <row r="4530" spans="1:11" ht="12.75" x14ac:dyDescent="0.2"/>
    <row r="4531" spans="1:11" s="17" customFormat="1" ht="12.75" x14ac:dyDescent="0.2">
      <c r="A4531"/>
      <c r="B4531"/>
      <c r="C4531"/>
      <c r="D4531"/>
      <c r="E4531"/>
      <c r="F4531"/>
      <c r="G4531"/>
      <c r="H4531"/>
      <c r="I4531"/>
      <c r="J4531"/>
    </row>
    <row r="4532" spans="1:11" s="92" customFormat="1" ht="15" x14ac:dyDescent="0.2">
      <c r="A4532"/>
      <c r="B4532"/>
      <c r="C4532"/>
      <c r="D4532"/>
      <c r="E4532"/>
      <c r="F4532"/>
      <c r="G4532"/>
      <c r="H4532"/>
      <c r="I4532"/>
      <c r="J4532"/>
      <c r="K4532" s="19"/>
    </row>
    <row r="4533" spans="1:11" ht="12.75" x14ac:dyDescent="0.2"/>
    <row r="4534" spans="1:11" ht="12" customHeight="1" x14ac:dyDescent="0.2"/>
    <row r="4535" spans="1:11" ht="12.75" x14ac:dyDescent="0.2"/>
    <row r="4536" spans="1:11" ht="12.75" x14ac:dyDescent="0.2"/>
    <row r="4537" spans="1:11" ht="12.75" x14ac:dyDescent="0.2">
      <c r="K4537" s="57"/>
    </row>
    <row r="4538" spans="1:11" ht="12.75" x14ac:dyDescent="0.2">
      <c r="K4538" s="58"/>
    </row>
    <row r="4539" spans="1:11" ht="12.75" x14ac:dyDescent="0.2">
      <c r="K4539" s="58"/>
    </row>
    <row r="4540" spans="1:11" ht="12.75" x14ac:dyDescent="0.2"/>
    <row r="4541" spans="1:11" ht="12.75" x14ac:dyDescent="0.2">
      <c r="K4541" s="61"/>
    </row>
    <row r="4542" spans="1:11" ht="12.75" x14ac:dyDescent="0.2">
      <c r="K4542" s="61"/>
    </row>
    <row r="4543" spans="1:11" s="59" customFormat="1" ht="15" x14ac:dyDescent="0.25">
      <c r="A4543"/>
      <c r="B4543"/>
      <c r="C4543"/>
      <c r="D4543"/>
      <c r="E4543"/>
      <c r="F4543"/>
      <c r="G4543"/>
      <c r="H4543"/>
      <c r="I4543"/>
      <c r="J4543"/>
    </row>
    <row r="4544" spans="1:11" s="59" customFormat="1" ht="15" x14ac:dyDescent="0.25">
      <c r="A4544"/>
      <c r="B4544"/>
      <c r="C4544"/>
      <c r="D4544"/>
      <c r="E4544"/>
      <c r="F4544"/>
      <c r="G4544"/>
      <c r="H4544"/>
      <c r="I4544"/>
      <c r="J4544"/>
    </row>
    <row r="4545" spans="1:18" ht="12.75" x14ac:dyDescent="0.2"/>
    <row r="4546" spans="1:18" ht="14.25" customHeight="1" x14ac:dyDescent="0.2">
      <c r="K4546" s="68"/>
    </row>
    <row r="4547" spans="1:18" ht="14.25" customHeight="1" x14ac:dyDescent="0.2">
      <c r="K4547" s="68"/>
    </row>
    <row r="4548" spans="1:18" ht="12.75" x14ac:dyDescent="0.2">
      <c r="K4548" s="68"/>
    </row>
    <row r="4549" spans="1:18" ht="14.25" customHeight="1" x14ac:dyDescent="0.2">
      <c r="K4549" s="17"/>
    </row>
    <row r="4550" spans="1:18" ht="12.75" x14ac:dyDescent="0.2">
      <c r="K4550" s="17"/>
    </row>
    <row r="4551" spans="1:18" ht="12.75" x14ac:dyDescent="0.2">
      <c r="K4551" s="17"/>
    </row>
    <row r="4552" spans="1:18" ht="12.75" x14ac:dyDescent="0.2">
      <c r="K4552" s="17"/>
    </row>
    <row r="4553" spans="1:18" ht="12.75" x14ac:dyDescent="0.2">
      <c r="K4553" s="17"/>
    </row>
    <row r="4554" spans="1:18" ht="12.75" x14ac:dyDescent="0.2">
      <c r="K4554" s="17"/>
      <c r="R4554" s="17"/>
    </row>
    <row r="4555" spans="1:18" ht="12.75" x14ac:dyDescent="0.2">
      <c r="K4555" s="17"/>
    </row>
    <row r="4556" spans="1:18" ht="12.75" x14ac:dyDescent="0.2">
      <c r="K4556" s="17"/>
    </row>
    <row r="4557" spans="1:18" ht="12.75" x14ac:dyDescent="0.2"/>
    <row r="4558" spans="1:18" s="17" customFormat="1" ht="12.75" x14ac:dyDescent="0.2">
      <c r="A4558"/>
      <c r="B4558"/>
      <c r="C4558"/>
      <c r="D4558"/>
      <c r="E4558"/>
      <c r="F4558"/>
      <c r="G4558"/>
      <c r="H4558"/>
      <c r="I4558"/>
      <c r="J4558"/>
    </row>
    <row r="4559" spans="1:18" s="92" customFormat="1" ht="15" x14ac:dyDescent="0.2">
      <c r="A4559"/>
      <c r="B4559"/>
      <c r="C4559"/>
      <c r="D4559"/>
      <c r="E4559"/>
      <c r="F4559"/>
      <c r="G4559"/>
      <c r="H4559"/>
      <c r="I4559"/>
      <c r="J4559"/>
      <c r="K4559" s="19"/>
    </row>
    <row r="4560" spans="1:18" ht="12.75" x14ac:dyDescent="0.2"/>
    <row r="4561" spans="1:11" ht="12" customHeight="1" x14ac:dyDescent="0.2"/>
    <row r="4562" spans="1:11" ht="12.75" x14ac:dyDescent="0.2"/>
    <row r="4563" spans="1:11" ht="12.75" x14ac:dyDescent="0.2"/>
    <row r="4564" spans="1:11" ht="12.75" x14ac:dyDescent="0.2">
      <c r="K4564" s="57"/>
    </row>
    <row r="4565" spans="1:11" ht="12.75" x14ac:dyDescent="0.2">
      <c r="K4565" s="58"/>
    </row>
    <row r="4566" spans="1:11" ht="12.75" x14ac:dyDescent="0.2">
      <c r="K4566" s="58"/>
    </row>
    <row r="4567" spans="1:11" ht="12.75" x14ac:dyDescent="0.2"/>
    <row r="4568" spans="1:11" ht="12.75" x14ac:dyDescent="0.2">
      <c r="K4568" s="61"/>
    </row>
    <row r="4569" spans="1:11" ht="12.75" x14ac:dyDescent="0.2">
      <c r="K4569" s="61"/>
    </row>
    <row r="4570" spans="1:11" s="59" customFormat="1" ht="15" x14ac:dyDescent="0.25">
      <c r="A4570"/>
      <c r="B4570"/>
      <c r="C4570"/>
      <c r="D4570"/>
      <c r="E4570"/>
      <c r="F4570"/>
      <c r="G4570"/>
      <c r="H4570"/>
      <c r="I4570"/>
      <c r="J4570"/>
    </row>
    <row r="4571" spans="1:11" s="59" customFormat="1" ht="15" x14ac:dyDescent="0.25">
      <c r="A4571"/>
      <c r="B4571"/>
      <c r="C4571"/>
      <c r="D4571"/>
      <c r="E4571"/>
      <c r="F4571"/>
      <c r="G4571"/>
      <c r="H4571"/>
      <c r="I4571"/>
      <c r="J4571"/>
    </row>
    <row r="4572" spans="1:11" ht="12.75" x14ac:dyDescent="0.2"/>
    <row r="4573" spans="1:11" ht="14.25" customHeight="1" x14ac:dyDescent="0.2">
      <c r="K4573" s="68"/>
    </row>
    <row r="4574" spans="1:11" ht="14.25" customHeight="1" x14ac:dyDescent="0.2">
      <c r="K4574" s="68"/>
    </row>
    <row r="4575" spans="1:11" ht="12.75" x14ac:dyDescent="0.2">
      <c r="K4575" s="68"/>
    </row>
    <row r="4576" spans="1:11" ht="14.25" customHeight="1" x14ac:dyDescent="0.2">
      <c r="K4576" s="17"/>
    </row>
    <row r="4577" spans="1:18" ht="12.75" x14ac:dyDescent="0.2">
      <c r="K4577" s="17"/>
    </row>
    <row r="4578" spans="1:18" ht="12.75" x14ac:dyDescent="0.2">
      <c r="K4578" s="17"/>
    </row>
    <row r="4579" spans="1:18" ht="12.75" x14ac:dyDescent="0.2">
      <c r="K4579" s="17"/>
    </row>
    <row r="4580" spans="1:18" ht="12.75" x14ac:dyDescent="0.2">
      <c r="K4580" s="17"/>
    </row>
    <row r="4581" spans="1:18" ht="12.75" x14ac:dyDescent="0.2">
      <c r="K4581" s="17"/>
      <c r="R4581" s="17"/>
    </row>
    <row r="4582" spans="1:18" ht="12.75" x14ac:dyDescent="0.2">
      <c r="K4582" s="17"/>
    </row>
    <row r="4583" spans="1:18" ht="12.75" x14ac:dyDescent="0.2">
      <c r="K4583" s="17"/>
    </row>
    <row r="4584" spans="1:18" ht="12.75" x14ac:dyDescent="0.2"/>
    <row r="4585" spans="1:18" s="17" customFormat="1" ht="12.75" x14ac:dyDescent="0.2">
      <c r="A4585"/>
      <c r="B4585"/>
      <c r="C4585"/>
      <c r="D4585"/>
      <c r="E4585"/>
      <c r="F4585"/>
      <c r="G4585"/>
      <c r="H4585"/>
      <c r="I4585"/>
      <c r="J4585"/>
    </row>
    <row r="4586" spans="1:18" s="92" customFormat="1" ht="15" x14ac:dyDescent="0.2">
      <c r="A4586"/>
      <c r="B4586"/>
      <c r="C4586"/>
      <c r="D4586"/>
      <c r="E4586"/>
      <c r="F4586"/>
      <c r="G4586"/>
      <c r="H4586"/>
      <c r="I4586"/>
      <c r="J4586"/>
      <c r="K4586" s="19"/>
    </row>
    <row r="4587" spans="1:18" ht="12.75" x14ac:dyDescent="0.2"/>
    <row r="4588" spans="1:18" ht="12" customHeight="1" x14ac:dyDescent="0.2"/>
    <row r="4589" spans="1:18" ht="12.75" x14ac:dyDescent="0.2"/>
    <row r="4590" spans="1:18" ht="12.75" x14ac:dyDescent="0.2"/>
    <row r="4591" spans="1:18" ht="12.75" x14ac:dyDescent="0.2">
      <c r="K4591" s="57"/>
    </row>
    <row r="4592" spans="1:18" ht="12.75" x14ac:dyDescent="0.2">
      <c r="K4592" s="58"/>
    </row>
    <row r="4593" spans="1:18" ht="12.75" x14ac:dyDescent="0.2">
      <c r="K4593" s="58"/>
    </row>
    <row r="4594" spans="1:18" ht="12.75" x14ac:dyDescent="0.2"/>
    <row r="4595" spans="1:18" ht="12.75" x14ac:dyDescent="0.2">
      <c r="K4595" s="61"/>
    </row>
    <row r="4596" spans="1:18" ht="12.75" x14ac:dyDescent="0.2">
      <c r="K4596" s="61"/>
    </row>
    <row r="4597" spans="1:18" s="59" customFormat="1" ht="15" x14ac:dyDescent="0.25">
      <c r="A4597"/>
      <c r="B4597"/>
      <c r="C4597"/>
      <c r="D4597"/>
      <c r="E4597"/>
      <c r="F4597"/>
      <c r="G4597"/>
      <c r="H4597"/>
      <c r="I4597"/>
      <c r="J4597"/>
    </row>
    <row r="4598" spans="1:18" s="59" customFormat="1" ht="15" x14ac:dyDescent="0.25">
      <c r="A4598"/>
      <c r="B4598"/>
      <c r="C4598"/>
      <c r="D4598"/>
      <c r="E4598"/>
      <c r="F4598"/>
      <c r="G4598"/>
      <c r="H4598"/>
      <c r="I4598"/>
      <c r="J4598"/>
    </row>
    <row r="4599" spans="1:18" ht="12.75" x14ac:dyDescent="0.2"/>
    <row r="4600" spans="1:18" ht="14.25" customHeight="1" x14ac:dyDescent="0.2">
      <c r="K4600" s="68"/>
    </row>
    <row r="4601" spans="1:18" ht="14.25" customHeight="1" x14ac:dyDescent="0.2">
      <c r="K4601" s="68"/>
    </row>
    <row r="4602" spans="1:18" ht="12.75" x14ac:dyDescent="0.2">
      <c r="K4602" s="68"/>
    </row>
    <row r="4603" spans="1:18" ht="14.25" customHeight="1" x14ac:dyDescent="0.2">
      <c r="K4603" s="17"/>
    </row>
    <row r="4604" spans="1:18" ht="12.75" x14ac:dyDescent="0.2">
      <c r="K4604" s="17"/>
    </row>
    <row r="4605" spans="1:18" ht="12.75" x14ac:dyDescent="0.2">
      <c r="K4605" s="17"/>
    </row>
    <row r="4606" spans="1:18" ht="12.75" x14ac:dyDescent="0.2">
      <c r="K4606" s="17"/>
    </row>
    <row r="4607" spans="1:18" ht="12.75" x14ac:dyDescent="0.2">
      <c r="K4607" s="17"/>
    </row>
    <row r="4608" spans="1:18" ht="12.75" x14ac:dyDescent="0.2">
      <c r="K4608" s="17"/>
      <c r="R4608" s="17"/>
    </row>
    <row r="4609" spans="1:11" ht="12.75" x14ac:dyDescent="0.2">
      <c r="K4609" s="17"/>
    </row>
    <row r="4610" spans="1:11" ht="12.75" x14ac:dyDescent="0.2">
      <c r="K4610" s="17"/>
    </row>
    <row r="4611" spans="1:11" ht="12.75" x14ac:dyDescent="0.2"/>
    <row r="4612" spans="1:11" s="17" customFormat="1" ht="12.75" x14ac:dyDescent="0.2">
      <c r="A4612"/>
      <c r="B4612"/>
      <c r="C4612"/>
      <c r="D4612"/>
      <c r="E4612"/>
      <c r="F4612"/>
      <c r="G4612"/>
      <c r="H4612"/>
      <c r="I4612"/>
      <c r="J4612"/>
    </row>
    <row r="4613" spans="1:11" s="92" customFormat="1" ht="15" x14ac:dyDescent="0.2">
      <c r="A4613"/>
      <c r="B4613"/>
      <c r="C4613"/>
      <c r="D4613"/>
      <c r="E4613"/>
      <c r="F4613"/>
      <c r="G4613"/>
      <c r="H4613"/>
      <c r="I4613"/>
      <c r="J4613"/>
      <c r="K4613" s="19"/>
    </row>
    <row r="4614" spans="1:11" ht="12.75" x14ac:dyDescent="0.2"/>
    <row r="4615" spans="1:11" ht="12" customHeight="1" x14ac:dyDescent="0.2"/>
    <row r="4616" spans="1:11" ht="12.75" x14ac:dyDescent="0.2"/>
    <row r="4617" spans="1:11" ht="12.75" x14ac:dyDescent="0.2"/>
    <row r="4618" spans="1:11" ht="12.75" x14ac:dyDescent="0.2">
      <c r="K4618" s="57"/>
    </row>
    <row r="4619" spans="1:11" ht="12.75" x14ac:dyDescent="0.2">
      <c r="K4619" s="58"/>
    </row>
    <row r="4620" spans="1:11" ht="12.75" x14ac:dyDescent="0.2">
      <c r="K4620" s="58"/>
    </row>
    <row r="4621" spans="1:11" ht="12.75" x14ac:dyDescent="0.2"/>
    <row r="4622" spans="1:11" ht="12.75" x14ac:dyDescent="0.2">
      <c r="K4622" s="61"/>
    </row>
    <row r="4623" spans="1:11" ht="12.75" x14ac:dyDescent="0.2">
      <c r="K4623" s="61"/>
    </row>
    <row r="4624" spans="1:11" s="59" customFormat="1" ht="15" x14ac:dyDescent="0.25">
      <c r="A4624"/>
      <c r="B4624"/>
      <c r="C4624"/>
      <c r="D4624"/>
      <c r="E4624"/>
      <c r="F4624"/>
      <c r="G4624"/>
      <c r="H4624"/>
      <c r="I4624"/>
      <c r="J4624"/>
    </row>
    <row r="4625" spans="1:18" s="59" customFormat="1" ht="15" x14ac:dyDescent="0.25">
      <c r="A4625"/>
      <c r="B4625"/>
      <c r="C4625"/>
      <c r="D4625"/>
      <c r="E4625"/>
      <c r="F4625"/>
      <c r="G4625"/>
      <c r="H4625"/>
      <c r="I4625"/>
      <c r="J4625"/>
    </row>
    <row r="4626" spans="1:18" ht="12.75" x14ac:dyDescent="0.2"/>
    <row r="4627" spans="1:18" ht="14.25" customHeight="1" x14ac:dyDescent="0.2">
      <c r="K4627" s="68"/>
    </row>
    <row r="4628" spans="1:18" ht="14.25" customHeight="1" x14ac:dyDescent="0.2">
      <c r="K4628" s="68"/>
    </row>
    <row r="4629" spans="1:18" ht="12.75" x14ac:dyDescent="0.2">
      <c r="K4629" s="68"/>
    </row>
    <row r="4630" spans="1:18" ht="14.25" customHeight="1" x14ac:dyDescent="0.2">
      <c r="K4630" s="17"/>
    </row>
    <row r="4631" spans="1:18" ht="12.75" x14ac:dyDescent="0.2">
      <c r="K4631" s="17"/>
    </row>
    <row r="4632" spans="1:18" ht="12.75" x14ac:dyDescent="0.2">
      <c r="K4632" s="17"/>
    </row>
    <row r="4633" spans="1:18" ht="12.75" x14ac:dyDescent="0.2">
      <c r="K4633" s="17"/>
    </row>
    <row r="4634" spans="1:18" ht="12.75" x14ac:dyDescent="0.2">
      <c r="K4634" s="17"/>
    </row>
    <row r="4635" spans="1:18" ht="12.75" x14ac:dyDescent="0.2">
      <c r="K4635" s="17"/>
      <c r="R4635" s="17"/>
    </row>
    <row r="4636" spans="1:18" ht="12.75" x14ac:dyDescent="0.2">
      <c r="K4636" s="17"/>
    </row>
    <row r="4637" spans="1:18" ht="12.75" x14ac:dyDescent="0.2">
      <c r="K4637" s="17"/>
    </row>
    <row r="4638" spans="1:18" ht="12.75" x14ac:dyDescent="0.2"/>
    <row r="4639" spans="1:18" s="17" customFormat="1" ht="12.75" x14ac:dyDescent="0.2">
      <c r="A4639"/>
      <c r="B4639"/>
      <c r="C4639"/>
      <c r="D4639"/>
      <c r="E4639"/>
      <c r="F4639"/>
      <c r="G4639"/>
      <c r="H4639"/>
      <c r="I4639"/>
      <c r="J4639"/>
    </row>
    <row r="4640" spans="1:18" s="92" customFormat="1" ht="15" x14ac:dyDescent="0.2">
      <c r="A4640"/>
      <c r="B4640"/>
      <c r="C4640"/>
      <c r="D4640"/>
      <c r="E4640"/>
      <c r="F4640"/>
      <c r="G4640"/>
      <c r="H4640"/>
      <c r="I4640"/>
      <c r="J4640"/>
      <c r="K4640" s="19"/>
    </row>
    <row r="4641" spans="1:11" ht="12.75" x14ac:dyDescent="0.2"/>
    <row r="4642" spans="1:11" ht="12" customHeight="1" x14ac:dyDescent="0.2"/>
    <row r="4643" spans="1:11" ht="12.75" x14ac:dyDescent="0.2"/>
    <row r="4644" spans="1:11" ht="12.75" x14ac:dyDescent="0.2"/>
    <row r="4645" spans="1:11" ht="12.75" x14ac:dyDescent="0.2">
      <c r="K4645" s="57"/>
    </row>
    <row r="4646" spans="1:11" ht="12.75" x14ac:dyDescent="0.2">
      <c r="K4646" s="58"/>
    </row>
    <row r="4647" spans="1:11" ht="12.75" x14ac:dyDescent="0.2">
      <c r="K4647" s="58"/>
    </row>
    <row r="4648" spans="1:11" ht="12.75" x14ac:dyDescent="0.2"/>
    <row r="4649" spans="1:11" ht="12.75" x14ac:dyDescent="0.2">
      <c r="K4649" s="61"/>
    </row>
    <row r="4650" spans="1:11" ht="12.75" x14ac:dyDescent="0.2">
      <c r="K4650" s="61"/>
    </row>
    <row r="4651" spans="1:11" s="59" customFormat="1" ht="15" x14ac:dyDescent="0.25">
      <c r="A4651"/>
      <c r="B4651"/>
      <c r="C4651"/>
      <c r="D4651"/>
      <c r="E4651"/>
      <c r="F4651"/>
      <c r="G4651"/>
      <c r="H4651"/>
      <c r="I4651"/>
      <c r="J4651"/>
    </row>
    <row r="4652" spans="1:11" s="59" customFormat="1" ht="15" x14ac:dyDescent="0.25">
      <c r="A4652"/>
      <c r="B4652"/>
      <c r="C4652"/>
      <c r="D4652"/>
      <c r="E4652"/>
      <c r="F4652"/>
      <c r="G4652"/>
      <c r="H4652"/>
      <c r="I4652"/>
      <c r="J4652"/>
    </row>
    <row r="4653" spans="1:11" ht="12.75" x14ac:dyDescent="0.2"/>
    <row r="4654" spans="1:11" ht="14.25" customHeight="1" x14ac:dyDescent="0.2">
      <c r="K4654" s="68"/>
    </row>
    <row r="4655" spans="1:11" ht="14.25" customHeight="1" x14ac:dyDescent="0.2">
      <c r="K4655" s="68"/>
    </row>
    <row r="4656" spans="1:11" ht="12.75" x14ac:dyDescent="0.2">
      <c r="K4656" s="68"/>
    </row>
    <row r="4657" spans="1:18" ht="14.25" customHeight="1" x14ac:dyDescent="0.2">
      <c r="K4657" s="17"/>
    </row>
    <row r="4658" spans="1:18" ht="12.75" x14ac:dyDescent="0.2">
      <c r="K4658" s="17"/>
    </row>
    <row r="4659" spans="1:18" ht="12.75" x14ac:dyDescent="0.2">
      <c r="K4659" s="17"/>
    </row>
    <row r="4660" spans="1:18" ht="12.75" x14ac:dyDescent="0.2">
      <c r="K4660" s="17"/>
    </row>
    <row r="4661" spans="1:18" ht="12.75" x14ac:dyDescent="0.2">
      <c r="K4661" s="17"/>
    </row>
    <row r="4662" spans="1:18" ht="12.75" x14ac:dyDescent="0.2">
      <c r="K4662" s="17"/>
      <c r="R4662" s="17"/>
    </row>
    <row r="4663" spans="1:18" ht="12.75" x14ac:dyDescent="0.2">
      <c r="K4663" s="17"/>
    </row>
    <row r="4664" spans="1:18" ht="12.75" x14ac:dyDescent="0.2">
      <c r="K4664" s="17"/>
    </row>
    <row r="4665" spans="1:18" ht="12.75" x14ac:dyDescent="0.2"/>
    <row r="4666" spans="1:18" s="17" customFormat="1" ht="12.75" x14ac:dyDescent="0.2">
      <c r="A4666"/>
      <c r="B4666"/>
      <c r="C4666"/>
      <c r="D4666"/>
      <c r="E4666"/>
      <c r="F4666"/>
      <c r="G4666"/>
      <c r="H4666"/>
      <c r="I4666"/>
      <c r="J4666"/>
    </row>
    <row r="4667" spans="1:18" s="92" customFormat="1" ht="15" x14ac:dyDescent="0.2">
      <c r="A4667"/>
      <c r="B4667"/>
      <c r="C4667"/>
      <c r="D4667"/>
      <c r="E4667"/>
      <c r="F4667"/>
      <c r="G4667"/>
      <c r="H4667"/>
      <c r="I4667"/>
      <c r="J4667"/>
      <c r="K4667" s="19"/>
    </row>
    <row r="4668" spans="1:18" ht="12.75" x14ac:dyDescent="0.2"/>
    <row r="4669" spans="1:18" ht="12" customHeight="1" x14ac:dyDescent="0.2"/>
    <row r="4670" spans="1:18" ht="12.75" x14ac:dyDescent="0.2"/>
    <row r="4671" spans="1:18" ht="12.75" x14ac:dyDescent="0.2"/>
    <row r="4672" spans="1:18" ht="12.75" x14ac:dyDescent="0.2">
      <c r="K4672" s="57"/>
    </row>
    <row r="4673" spans="1:11" ht="12.75" x14ac:dyDescent="0.2">
      <c r="K4673" s="58"/>
    </row>
    <row r="4674" spans="1:11" ht="12.75" x14ac:dyDescent="0.2">
      <c r="K4674" s="58"/>
    </row>
    <row r="4675" spans="1:11" ht="12.75" x14ac:dyDescent="0.2"/>
    <row r="4676" spans="1:11" ht="12.75" x14ac:dyDescent="0.2">
      <c r="K4676" s="61"/>
    </row>
    <row r="4677" spans="1:11" ht="12.75" x14ac:dyDescent="0.2">
      <c r="K4677" s="61"/>
    </row>
    <row r="4678" spans="1:11" s="59" customFormat="1" ht="15" x14ac:dyDescent="0.25">
      <c r="A4678"/>
      <c r="B4678"/>
      <c r="C4678"/>
      <c r="D4678"/>
      <c r="E4678"/>
      <c r="F4678"/>
      <c r="G4678"/>
      <c r="H4678"/>
      <c r="I4678"/>
      <c r="J4678"/>
    </row>
    <row r="4679" spans="1:11" s="59" customFormat="1" ht="15" x14ac:dyDescent="0.25">
      <c r="A4679"/>
      <c r="B4679"/>
      <c r="C4679"/>
      <c r="D4679"/>
      <c r="E4679"/>
      <c r="F4679"/>
      <c r="G4679"/>
      <c r="H4679"/>
      <c r="I4679"/>
      <c r="J4679"/>
    </row>
    <row r="4680" spans="1:11" ht="12.75" x14ac:dyDescent="0.2"/>
    <row r="4681" spans="1:11" ht="14.25" customHeight="1" x14ac:dyDescent="0.2">
      <c r="K4681" s="68"/>
    </row>
    <row r="4682" spans="1:11" ht="14.25" customHeight="1" x14ac:dyDescent="0.2">
      <c r="K4682" s="68"/>
    </row>
    <row r="4683" spans="1:11" ht="12.75" x14ac:dyDescent="0.2">
      <c r="K4683" s="68"/>
    </row>
    <row r="4684" spans="1:11" ht="14.25" customHeight="1" x14ac:dyDescent="0.2">
      <c r="K4684" s="17"/>
    </row>
    <row r="4685" spans="1:11" ht="12.75" x14ac:dyDescent="0.2">
      <c r="K4685" s="17"/>
    </row>
    <row r="4686" spans="1:11" ht="12.75" x14ac:dyDescent="0.2">
      <c r="K4686" s="17"/>
    </row>
    <row r="4687" spans="1:11" ht="12.75" x14ac:dyDescent="0.2">
      <c r="K4687" s="17"/>
    </row>
    <row r="4688" spans="1:11" ht="12.75" x14ac:dyDescent="0.2">
      <c r="K4688" s="17"/>
    </row>
    <row r="4689" spans="1:18" ht="12.75" x14ac:dyDescent="0.2">
      <c r="K4689" s="17"/>
      <c r="R4689" s="17"/>
    </row>
    <row r="4690" spans="1:18" ht="12.75" x14ac:dyDescent="0.2">
      <c r="K4690" s="17"/>
    </row>
    <row r="4691" spans="1:18" ht="12.75" x14ac:dyDescent="0.2">
      <c r="K4691" s="17"/>
    </row>
    <row r="4692" spans="1:18" ht="12.75" x14ac:dyDescent="0.2"/>
    <row r="4693" spans="1:18" s="17" customFormat="1" ht="12.75" x14ac:dyDescent="0.2">
      <c r="A4693"/>
      <c r="B4693"/>
      <c r="C4693"/>
      <c r="D4693"/>
      <c r="E4693"/>
      <c r="F4693"/>
      <c r="G4693"/>
      <c r="H4693"/>
      <c r="I4693"/>
      <c r="J4693"/>
    </row>
    <row r="4694" spans="1:18" s="92" customFormat="1" ht="15" x14ac:dyDescent="0.2">
      <c r="A4694"/>
      <c r="B4694"/>
      <c r="C4694"/>
      <c r="D4694"/>
      <c r="E4694"/>
      <c r="F4694"/>
      <c r="G4694"/>
      <c r="H4694"/>
      <c r="I4694"/>
      <c r="J4694"/>
      <c r="K4694" s="19"/>
    </row>
    <row r="4695" spans="1:18" ht="12.75" x14ac:dyDescent="0.2"/>
    <row r="4696" spans="1:18" ht="12" customHeight="1" x14ac:dyDescent="0.2"/>
    <row r="4697" spans="1:18" ht="12.75" x14ac:dyDescent="0.2"/>
    <row r="4698" spans="1:18" ht="12.75" x14ac:dyDescent="0.2"/>
    <row r="4699" spans="1:18" ht="12.75" x14ac:dyDescent="0.2">
      <c r="K4699" s="57"/>
    </row>
    <row r="4700" spans="1:18" ht="12.75" x14ac:dyDescent="0.2">
      <c r="K4700" s="58"/>
    </row>
    <row r="4701" spans="1:18" ht="12.75" x14ac:dyDescent="0.2">
      <c r="K4701" s="58"/>
    </row>
    <row r="4702" spans="1:18" ht="12.75" x14ac:dyDescent="0.2"/>
    <row r="4703" spans="1:18" ht="12.75" x14ac:dyDescent="0.2">
      <c r="K4703" s="61"/>
    </row>
    <row r="4704" spans="1:18" ht="12.75" x14ac:dyDescent="0.2">
      <c r="K4704" s="61"/>
    </row>
    <row r="4705" spans="1:18" s="59" customFormat="1" ht="15" x14ac:dyDescent="0.25">
      <c r="A4705"/>
      <c r="B4705"/>
      <c r="C4705"/>
      <c r="D4705"/>
      <c r="E4705"/>
      <c r="F4705"/>
      <c r="G4705"/>
      <c r="H4705"/>
      <c r="I4705"/>
      <c r="J4705"/>
    </row>
    <row r="4706" spans="1:18" s="59" customFormat="1" ht="15" x14ac:dyDescent="0.25">
      <c r="A4706"/>
      <c r="B4706"/>
      <c r="C4706"/>
      <c r="D4706"/>
      <c r="E4706"/>
      <c r="F4706"/>
      <c r="G4706"/>
      <c r="H4706"/>
      <c r="I4706"/>
      <c r="J4706"/>
    </row>
    <row r="4707" spans="1:18" ht="12.75" x14ac:dyDescent="0.2"/>
    <row r="4708" spans="1:18" ht="14.25" customHeight="1" x14ac:dyDescent="0.2">
      <c r="K4708" s="68"/>
    </row>
    <row r="4709" spans="1:18" ht="14.25" customHeight="1" x14ac:dyDescent="0.2">
      <c r="K4709" s="68"/>
    </row>
    <row r="4710" spans="1:18" ht="12.75" x14ac:dyDescent="0.2">
      <c r="K4710" s="68"/>
    </row>
    <row r="4711" spans="1:18" ht="14.25" customHeight="1" x14ac:dyDescent="0.2">
      <c r="K4711" s="17"/>
    </row>
    <row r="4712" spans="1:18" ht="12.75" x14ac:dyDescent="0.2">
      <c r="K4712" s="17"/>
    </row>
    <row r="4713" spans="1:18" ht="12.75" x14ac:dyDescent="0.2">
      <c r="K4713" s="17"/>
    </row>
    <row r="4714" spans="1:18" ht="12.75" x14ac:dyDescent="0.2">
      <c r="K4714" s="17"/>
    </row>
    <row r="4715" spans="1:18" ht="12.75" x14ac:dyDescent="0.2">
      <c r="K4715" s="17"/>
    </row>
    <row r="4716" spans="1:18" ht="12.75" x14ac:dyDescent="0.2">
      <c r="K4716" s="17"/>
      <c r="R4716" s="17"/>
    </row>
    <row r="4717" spans="1:18" ht="12.75" x14ac:dyDescent="0.2">
      <c r="K4717" s="17"/>
    </row>
    <row r="4718" spans="1:18" ht="12.75" x14ac:dyDescent="0.2">
      <c r="K4718" s="17"/>
    </row>
    <row r="4719" spans="1:18" ht="12.75" x14ac:dyDescent="0.2"/>
    <row r="4720" spans="1:18" s="17" customFormat="1" ht="12.75" x14ac:dyDescent="0.2">
      <c r="A4720"/>
      <c r="B4720"/>
      <c r="C4720"/>
      <c r="D4720"/>
      <c r="E4720"/>
      <c r="F4720"/>
      <c r="G4720"/>
      <c r="H4720"/>
      <c r="I4720"/>
      <c r="J4720"/>
    </row>
    <row r="4721" spans="1:11" s="92" customFormat="1" ht="15" x14ac:dyDescent="0.2">
      <c r="A4721"/>
      <c r="B4721"/>
      <c r="C4721"/>
      <c r="D4721"/>
      <c r="E4721"/>
      <c r="F4721"/>
      <c r="G4721"/>
      <c r="H4721"/>
      <c r="I4721"/>
      <c r="J4721"/>
      <c r="K4721" s="19"/>
    </row>
    <row r="4722" spans="1:11" ht="12.75" x14ac:dyDescent="0.2"/>
    <row r="4723" spans="1:11" ht="12" customHeight="1" x14ac:dyDescent="0.2"/>
    <row r="4724" spans="1:11" ht="12.75" x14ac:dyDescent="0.2"/>
    <row r="4725" spans="1:11" ht="12.75" x14ac:dyDescent="0.2"/>
    <row r="4726" spans="1:11" ht="12.75" x14ac:dyDescent="0.2">
      <c r="K4726" s="57"/>
    </row>
    <row r="4727" spans="1:11" ht="12.75" x14ac:dyDescent="0.2">
      <c r="K4727" s="58"/>
    </row>
    <row r="4728" spans="1:11" ht="12.75" x14ac:dyDescent="0.2">
      <c r="K4728" s="58"/>
    </row>
    <row r="4729" spans="1:11" ht="12.75" x14ac:dyDescent="0.2"/>
    <row r="4730" spans="1:11" ht="12.75" x14ac:dyDescent="0.2">
      <c r="K4730" s="61"/>
    </row>
    <row r="4731" spans="1:11" ht="12.75" x14ac:dyDescent="0.2">
      <c r="K4731" s="61"/>
    </row>
    <row r="4732" spans="1:11" s="59" customFormat="1" ht="15" x14ac:dyDescent="0.25">
      <c r="A4732"/>
      <c r="B4732"/>
      <c r="C4732"/>
      <c r="D4732"/>
      <c r="E4732"/>
      <c r="F4732"/>
      <c r="G4732"/>
      <c r="H4732"/>
      <c r="I4732"/>
      <c r="J4732"/>
    </row>
    <row r="4733" spans="1:11" s="59" customFormat="1" ht="15" x14ac:dyDescent="0.25">
      <c r="A4733"/>
      <c r="B4733"/>
      <c r="C4733"/>
      <c r="D4733"/>
      <c r="E4733"/>
      <c r="F4733"/>
      <c r="G4733"/>
      <c r="H4733"/>
      <c r="I4733"/>
      <c r="J4733"/>
    </row>
    <row r="4734" spans="1:11" ht="12.75" x14ac:dyDescent="0.2"/>
    <row r="4735" spans="1:11" ht="14.25" customHeight="1" x14ac:dyDescent="0.2">
      <c r="K4735" s="68"/>
    </row>
    <row r="4736" spans="1:11" ht="14.25" customHeight="1" x14ac:dyDescent="0.2">
      <c r="K4736" s="68"/>
    </row>
    <row r="4737" spans="1:18" ht="12.75" x14ac:dyDescent="0.2">
      <c r="K4737" s="68"/>
    </row>
    <row r="4738" spans="1:18" ht="14.25" customHeight="1" x14ac:dyDescent="0.2">
      <c r="K4738" s="17"/>
    </row>
    <row r="4739" spans="1:18" ht="12.75" x14ac:dyDescent="0.2">
      <c r="K4739" s="17"/>
    </row>
    <row r="4740" spans="1:18" ht="12.75" x14ac:dyDescent="0.2">
      <c r="K4740" s="17"/>
    </row>
    <row r="4741" spans="1:18" ht="12.75" x14ac:dyDescent="0.2">
      <c r="K4741" s="17"/>
    </row>
    <row r="4742" spans="1:18" ht="12.75" x14ac:dyDescent="0.2">
      <c r="K4742" s="17"/>
    </row>
    <row r="4743" spans="1:18" ht="12.75" x14ac:dyDescent="0.2">
      <c r="K4743" s="17"/>
      <c r="R4743" s="17"/>
    </row>
    <row r="4744" spans="1:18" ht="12.75" x14ac:dyDescent="0.2">
      <c r="K4744" s="17"/>
    </row>
    <row r="4745" spans="1:18" ht="12.75" x14ac:dyDescent="0.2">
      <c r="K4745" s="17"/>
    </row>
    <row r="4746" spans="1:18" ht="12.75" x14ac:dyDescent="0.2"/>
    <row r="4747" spans="1:18" s="17" customFormat="1" ht="12.75" x14ac:dyDescent="0.2">
      <c r="A4747"/>
      <c r="B4747"/>
      <c r="C4747"/>
      <c r="D4747"/>
      <c r="E4747"/>
      <c r="F4747"/>
      <c r="G4747"/>
      <c r="H4747"/>
      <c r="I4747"/>
      <c r="J4747"/>
    </row>
    <row r="4748" spans="1:18" s="92" customFormat="1" ht="15" x14ac:dyDescent="0.2">
      <c r="A4748"/>
      <c r="B4748"/>
      <c r="C4748"/>
      <c r="D4748"/>
      <c r="E4748"/>
      <c r="F4748"/>
      <c r="G4748"/>
      <c r="H4748"/>
      <c r="I4748"/>
      <c r="J4748"/>
      <c r="K4748" s="19"/>
    </row>
    <row r="4749" spans="1:18" ht="12.75" x14ac:dyDescent="0.2"/>
    <row r="4750" spans="1:18" ht="12" customHeight="1" x14ac:dyDescent="0.2"/>
    <row r="4751" spans="1:18" ht="12.75" x14ac:dyDescent="0.2"/>
    <row r="4752" spans="1:18" ht="12.75" x14ac:dyDescent="0.2"/>
    <row r="4753" spans="1:11" ht="12.75" x14ac:dyDescent="0.2">
      <c r="K4753" s="57"/>
    </row>
    <row r="4754" spans="1:11" ht="12.75" x14ac:dyDescent="0.2">
      <c r="K4754" s="58"/>
    </row>
    <row r="4755" spans="1:11" ht="12.75" x14ac:dyDescent="0.2">
      <c r="K4755" s="58"/>
    </row>
    <row r="4756" spans="1:11" ht="12.75" x14ac:dyDescent="0.2"/>
    <row r="4757" spans="1:11" ht="12.75" x14ac:dyDescent="0.2">
      <c r="K4757" s="61"/>
    </row>
    <row r="4758" spans="1:11" ht="12.75" x14ac:dyDescent="0.2">
      <c r="K4758" s="61"/>
    </row>
    <row r="4759" spans="1:11" s="59" customFormat="1" ht="15" x14ac:dyDescent="0.25">
      <c r="A4759"/>
      <c r="B4759"/>
      <c r="C4759"/>
      <c r="D4759"/>
      <c r="E4759"/>
      <c r="F4759"/>
      <c r="G4759"/>
      <c r="H4759"/>
      <c r="I4759"/>
      <c r="J4759"/>
    </row>
    <row r="4760" spans="1:11" s="59" customFormat="1" ht="15" x14ac:dyDescent="0.25">
      <c r="A4760"/>
      <c r="B4760"/>
      <c r="C4760"/>
      <c r="D4760"/>
      <c r="E4760"/>
      <c r="F4760"/>
      <c r="G4760"/>
      <c r="H4760"/>
      <c r="I4760"/>
      <c r="J4760"/>
    </row>
    <row r="4761" spans="1:11" ht="12.75" x14ac:dyDescent="0.2"/>
    <row r="4762" spans="1:11" ht="14.25" customHeight="1" x14ac:dyDescent="0.2">
      <c r="K4762" s="68"/>
    </row>
    <row r="4763" spans="1:11" ht="14.25" customHeight="1" x14ac:dyDescent="0.2">
      <c r="K4763" s="68"/>
    </row>
    <row r="4764" spans="1:11" ht="12.75" x14ac:dyDescent="0.2">
      <c r="K4764" s="68"/>
    </row>
    <row r="4765" spans="1:11" ht="14.25" customHeight="1" x14ac:dyDescent="0.2">
      <c r="K4765" s="17"/>
    </row>
    <row r="4766" spans="1:11" ht="12.75" x14ac:dyDescent="0.2">
      <c r="K4766" s="17"/>
    </row>
    <row r="4767" spans="1:11" ht="12.75" x14ac:dyDescent="0.2">
      <c r="K4767" s="17"/>
    </row>
    <row r="4768" spans="1:11" ht="12.75" x14ac:dyDescent="0.2">
      <c r="K4768" s="17"/>
    </row>
    <row r="4769" spans="1:18" ht="12.75" x14ac:dyDescent="0.2">
      <c r="K4769" s="17"/>
    </row>
    <row r="4770" spans="1:18" ht="12.75" x14ac:dyDescent="0.2">
      <c r="K4770" s="17"/>
      <c r="R4770" s="17"/>
    </row>
    <row r="4771" spans="1:18" ht="12.75" x14ac:dyDescent="0.2">
      <c r="K4771" s="17"/>
    </row>
    <row r="4772" spans="1:18" ht="12.75" x14ac:dyDescent="0.2">
      <c r="K4772" s="17"/>
    </row>
    <row r="4773" spans="1:18" ht="12.75" x14ac:dyDescent="0.2"/>
    <row r="4774" spans="1:18" s="17" customFormat="1" ht="12.75" x14ac:dyDescent="0.2">
      <c r="A4774"/>
      <c r="B4774"/>
      <c r="C4774"/>
      <c r="D4774"/>
      <c r="E4774"/>
      <c r="F4774"/>
      <c r="G4774"/>
      <c r="H4774"/>
      <c r="I4774"/>
      <c r="J4774"/>
    </row>
    <row r="4775" spans="1:18" s="92" customFormat="1" ht="15" x14ac:dyDescent="0.2">
      <c r="A4775"/>
      <c r="B4775"/>
      <c r="C4775"/>
      <c r="D4775"/>
      <c r="E4775"/>
      <c r="F4775"/>
      <c r="G4775"/>
      <c r="H4775"/>
      <c r="I4775"/>
      <c r="J4775"/>
      <c r="K4775" s="19"/>
    </row>
    <row r="4776" spans="1:18" ht="12.75" x14ac:dyDescent="0.2"/>
    <row r="4777" spans="1:18" ht="12" customHeight="1" x14ac:dyDescent="0.2"/>
    <row r="4778" spans="1:18" ht="12.75" x14ac:dyDescent="0.2"/>
    <row r="4779" spans="1:18" ht="12.75" x14ac:dyDescent="0.2"/>
    <row r="4780" spans="1:18" ht="12.75" x14ac:dyDescent="0.2">
      <c r="K4780" s="57"/>
    </row>
    <row r="4781" spans="1:18" ht="12.75" x14ac:dyDescent="0.2">
      <c r="K4781" s="58"/>
    </row>
    <row r="4782" spans="1:18" ht="12.75" x14ac:dyDescent="0.2">
      <c r="K4782" s="58"/>
    </row>
    <row r="4783" spans="1:18" ht="12.75" x14ac:dyDescent="0.2"/>
    <row r="4784" spans="1:18" ht="12.75" x14ac:dyDescent="0.2">
      <c r="K4784" s="61"/>
    </row>
    <row r="4785" spans="1:18" ht="12.75" x14ac:dyDescent="0.2">
      <c r="K4785" s="61"/>
    </row>
    <row r="4786" spans="1:18" s="59" customFormat="1" ht="15" x14ac:dyDescent="0.25">
      <c r="A4786"/>
      <c r="B4786"/>
      <c r="C4786"/>
      <c r="D4786"/>
      <c r="E4786"/>
      <c r="F4786"/>
      <c r="G4786"/>
      <c r="H4786"/>
      <c r="I4786"/>
      <c r="J4786"/>
    </row>
    <row r="4787" spans="1:18" s="59" customFormat="1" ht="15" x14ac:dyDescent="0.25">
      <c r="A4787"/>
      <c r="B4787"/>
      <c r="C4787"/>
      <c r="D4787"/>
      <c r="E4787"/>
      <c r="F4787"/>
      <c r="G4787"/>
      <c r="H4787"/>
      <c r="I4787"/>
      <c r="J4787"/>
    </row>
    <row r="4788" spans="1:18" ht="12.75" x14ac:dyDescent="0.2"/>
    <row r="4789" spans="1:18" ht="14.25" customHeight="1" x14ac:dyDescent="0.2">
      <c r="K4789" s="68"/>
    </row>
    <row r="4790" spans="1:18" ht="14.25" customHeight="1" x14ac:dyDescent="0.2">
      <c r="K4790" s="68"/>
    </row>
    <row r="4791" spans="1:18" ht="12.75" x14ac:dyDescent="0.2">
      <c r="K4791" s="68"/>
    </row>
    <row r="4792" spans="1:18" ht="14.25" customHeight="1" x14ac:dyDescent="0.2">
      <c r="K4792" s="17"/>
    </row>
    <row r="4793" spans="1:18" ht="12.75" x14ac:dyDescent="0.2">
      <c r="K4793" s="17"/>
    </row>
    <row r="4794" spans="1:18" ht="12.75" x14ac:dyDescent="0.2">
      <c r="K4794" s="17"/>
    </row>
    <row r="4795" spans="1:18" ht="12.75" x14ac:dyDescent="0.2">
      <c r="K4795" s="17"/>
    </row>
    <row r="4796" spans="1:18" ht="12.75" x14ac:dyDescent="0.2">
      <c r="K4796" s="17"/>
    </row>
    <row r="4797" spans="1:18" ht="12.75" x14ac:dyDescent="0.2">
      <c r="K4797" s="17"/>
      <c r="R4797" s="17"/>
    </row>
    <row r="4798" spans="1:18" ht="12.75" x14ac:dyDescent="0.2">
      <c r="K4798" s="17"/>
    </row>
    <row r="4799" spans="1:18" ht="12.75" x14ac:dyDescent="0.2">
      <c r="K4799" s="17"/>
    </row>
    <row r="4800" spans="1:18" ht="12.75" x14ac:dyDescent="0.2"/>
    <row r="4801" spans="1:11" s="17" customFormat="1" ht="12.75" x14ac:dyDescent="0.2">
      <c r="A4801"/>
      <c r="B4801"/>
      <c r="C4801"/>
      <c r="D4801"/>
      <c r="E4801"/>
      <c r="F4801"/>
      <c r="G4801"/>
      <c r="H4801"/>
      <c r="I4801"/>
      <c r="J4801"/>
    </row>
    <row r="4802" spans="1:11" s="92" customFormat="1" ht="15" x14ac:dyDescent="0.2">
      <c r="A4802"/>
      <c r="B4802"/>
      <c r="C4802"/>
      <c r="D4802"/>
      <c r="E4802"/>
      <c r="F4802"/>
      <c r="G4802"/>
      <c r="H4802"/>
      <c r="I4802"/>
      <c r="J4802"/>
      <c r="K4802" s="19"/>
    </row>
    <row r="4803" spans="1:11" ht="12.75" x14ac:dyDescent="0.2"/>
    <row r="4804" spans="1:11" ht="12" customHeight="1" x14ac:dyDescent="0.2"/>
    <row r="4805" spans="1:11" ht="12.75" x14ac:dyDescent="0.2"/>
    <row r="4806" spans="1:11" ht="12.75" x14ac:dyDescent="0.2"/>
    <row r="4807" spans="1:11" ht="12.75" x14ac:dyDescent="0.2">
      <c r="K4807" s="57"/>
    </row>
    <row r="4808" spans="1:11" ht="12.75" x14ac:dyDescent="0.2">
      <c r="K4808" s="58"/>
    </row>
    <row r="4809" spans="1:11" ht="12.75" x14ac:dyDescent="0.2">
      <c r="K4809" s="58"/>
    </row>
    <row r="4810" spans="1:11" ht="12.75" x14ac:dyDescent="0.2"/>
    <row r="4811" spans="1:11" ht="12.75" x14ac:dyDescent="0.2">
      <c r="K4811" s="61"/>
    </row>
    <row r="4812" spans="1:11" ht="12.75" x14ac:dyDescent="0.2">
      <c r="K4812" s="61"/>
    </row>
    <row r="4813" spans="1:11" s="59" customFormat="1" ht="15" x14ac:dyDescent="0.25">
      <c r="A4813"/>
      <c r="B4813"/>
      <c r="C4813"/>
      <c r="D4813"/>
      <c r="E4813"/>
      <c r="F4813"/>
      <c r="G4813"/>
      <c r="H4813"/>
      <c r="I4813"/>
      <c r="J4813"/>
    </row>
    <row r="4814" spans="1:11" s="59" customFormat="1" ht="15" x14ac:dyDescent="0.25">
      <c r="A4814"/>
      <c r="B4814"/>
      <c r="C4814"/>
      <c r="D4814"/>
      <c r="E4814"/>
      <c r="F4814"/>
      <c r="G4814"/>
      <c r="H4814"/>
      <c r="I4814"/>
      <c r="J4814"/>
    </row>
    <row r="4815" spans="1:11" ht="12.75" x14ac:dyDescent="0.2"/>
    <row r="4816" spans="1:11" ht="14.25" customHeight="1" x14ac:dyDescent="0.2">
      <c r="K4816" s="68"/>
    </row>
    <row r="4817" spans="1:18" ht="14.25" customHeight="1" x14ac:dyDescent="0.2">
      <c r="K4817" s="68"/>
    </row>
    <row r="4818" spans="1:18" ht="12.75" x14ac:dyDescent="0.2">
      <c r="K4818" s="68"/>
    </row>
    <row r="4819" spans="1:18" ht="14.25" customHeight="1" x14ac:dyDescent="0.2">
      <c r="K4819" s="17"/>
    </row>
    <row r="4820" spans="1:18" ht="12.75" x14ac:dyDescent="0.2">
      <c r="K4820" s="17"/>
    </row>
    <row r="4821" spans="1:18" ht="12.75" x14ac:dyDescent="0.2">
      <c r="K4821" s="17"/>
    </row>
    <row r="4822" spans="1:18" ht="12.75" x14ac:dyDescent="0.2">
      <c r="K4822" s="17"/>
    </row>
    <row r="4823" spans="1:18" ht="12.75" x14ac:dyDescent="0.2">
      <c r="K4823" s="17"/>
    </row>
    <row r="4824" spans="1:18" ht="12.75" x14ac:dyDescent="0.2">
      <c r="K4824" s="17"/>
      <c r="R4824" s="17"/>
    </row>
    <row r="4825" spans="1:18" ht="12.75" x14ac:dyDescent="0.2">
      <c r="K4825" s="17"/>
    </row>
    <row r="4826" spans="1:18" ht="12.75" x14ac:dyDescent="0.2">
      <c r="K4826" s="17"/>
    </row>
    <row r="4827" spans="1:18" ht="12.75" x14ac:dyDescent="0.2"/>
    <row r="4828" spans="1:18" s="17" customFormat="1" ht="12.75" x14ac:dyDescent="0.2">
      <c r="A4828"/>
      <c r="B4828"/>
      <c r="C4828"/>
      <c r="D4828"/>
      <c r="E4828"/>
      <c r="F4828"/>
      <c r="G4828"/>
      <c r="H4828"/>
      <c r="I4828"/>
      <c r="J4828"/>
    </row>
    <row r="4829" spans="1:18" s="92" customFormat="1" ht="15" x14ac:dyDescent="0.2">
      <c r="A4829"/>
      <c r="B4829"/>
      <c r="C4829"/>
      <c r="D4829"/>
      <c r="E4829"/>
      <c r="F4829"/>
      <c r="G4829"/>
      <c r="H4829"/>
      <c r="I4829"/>
      <c r="J4829"/>
      <c r="K4829" s="19"/>
    </row>
    <row r="4830" spans="1:18" ht="12.75" x14ac:dyDescent="0.2"/>
    <row r="4831" spans="1:18" ht="12" customHeight="1" x14ac:dyDescent="0.2"/>
    <row r="4832" spans="1:18" ht="12.75" x14ac:dyDescent="0.2"/>
    <row r="4833" spans="1:11" ht="12.75" x14ac:dyDescent="0.2"/>
    <row r="4834" spans="1:11" ht="12.75" x14ac:dyDescent="0.2">
      <c r="K4834" s="57"/>
    </row>
    <row r="4835" spans="1:11" ht="12.75" x14ac:dyDescent="0.2">
      <c r="K4835" s="58"/>
    </row>
    <row r="4836" spans="1:11" ht="12.75" x14ac:dyDescent="0.2">
      <c r="K4836" s="58"/>
    </row>
    <row r="4837" spans="1:11" ht="12.75" x14ac:dyDescent="0.2"/>
    <row r="4838" spans="1:11" ht="12.75" x14ac:dyDescent="0.2">
      <c r="K4838" s="61"/>
    </row>
    <row r="4839" spans="1:11" ht="12.75" x14ac:dyDescent="0.2">
      <c r="K4839" s="61"/>
    </row>
    <row r="4840" spans="1:11" s="59" customFormat="1" ht="15" x14ac:dyDescent="0.25">
      <c r="A4840"/>
      <c r="B4840"/>
      <c r="C4840"/>
      <c r="D4840"/>
      <c r="E4840"/>
      <c r="F4840"/>
      <c r="G4840"/>
      <c r="H4840"/>
      <c r="I4840"/>
      <c r="J4840"/>
    </row>
    <row r="4841" spans="1:11" s="59" customFormat="1" ht="15" x14ac:dyDescent="0.25">
      <c r="A4841"/>
      <c r="B4841"/>
      <c r="C4841"/>
      <c r="D4841"/>
      <c r="E4841"/>
      <c r="F4841"/>
      <c r="G4841"/>
      <c r="H4841"/>
      <c r="I4841"/>
      <c r="J4841"/>
    </row>
    <row r="4842" spans="1:11" ht="12.75" x14ac:dyDescent="0.2"/>
    <row r="4843" spans="1:11" ht="14.25" customHeight="1" x14ac:dyDescent="0.2">
      <c r="K4843" s="68"/>
    </row>
    <row r="4844" spans="1:11" ht="14.25" customHeight="1" x14ac:dyDescent="0.2">
      <c r="K4844" s="68"/>
    </row>
    <row r="4845" spans="1:11" ht="12.75" x14ac:dyDescent="0.2">
      <c r="K4845" s="68"/>
    </row>
    <row r="4846" spans="1:11" ht="14.25" customHeight="1" x14ac:dyDescent="0.2">
      <c r="K4846" s="17"/>
    </row>
    <row r="4847" spans="1:11" ht="12.75" x14ac:dyDescent="0.2">
      <c r="K4847" s="17"/>
    </row>
    <row r="4848" spans="1:11" ht="12.75" x14ac:dyDescent="0.2">
      <c r="K4848" s="17"/>
    </row>
    <row r="4849" spans="1:18" ht="12.75" x14ac:dyDescent="0.2">
      <c r="K4849" s="17"/>
    </row>
    <row r="4850" spans="1:18" ht="12.75" x14ac:dyDescent="0.2">
      <c r="K4850" s="17"/>
    </row>
    <row r="4851" spans="1:18" ht="12.75" x14ac:dyDescent="0.2">
      <c r="K4851" s="17"/>
      <c r="R4851" s="17"/>
    </row>
    <row r="4852" spans="1:18" ht="12.75" x14ac:dyDescent="0.2">
      <c r="K4852" s="17"/>
    </row>
    <row r="4853" spans="1:18" ht="12.75" x14ac:dyDescent="0.2">
      <c r="K4853" s="17"/>
    </row>
    <row r="4854" spans="1:18" ht="12.75" x14ac:dyDescent="0.2"/>
    <row r="4855" spans="1:18" s="17" customFormat="1" ht="12.75" x14ac:dyDescent="0.2">
      <c r="A4855"/>
      <c r="B4855"/>
      <c r="C4855"/>
      <c r="D4855"/>
      <c r="E4855"/>
      <c r="F4855"/>
      <c r="G4855"/>
      <c r="H4855"/>
      <c r="I4855"/>
      <c r="J4855"/>
    </row>
    <row r="4856" spans="1:18" s="92" customFormat="1" ht="15" x14ac:dyDescent="0.2">
      <c r="A4856"/>
      <c r="B4856"/>
      <c r="C4856"/>
      <c r="D4856"/>
      <c r="E4856"/>
      <c r="F4856"/>
      <c r="G4856"/>
      <c r="H4856"/>
      <c r="I4856"/>
      <c r="J4856"/>
      <c r="K4856" s="19"/>
    </row>
    <row r="4857" spans="1:18" ht="12.75" x14ac:dyDescent="0.2"/>
    <row r="4858" spans="1:18" ht="12" customHeight="1" x14ac:dyDescent="0.2"/>
    <row r="4859" spans="1:18" ht="12.75" x14ac:dyDescent="0.2"/>
    <row r="4860" spans="1:18" ht="12.75" x14ac:dyDescent="0.2"/>
    <row r="4861" spans="1:18" ht="12.75" x14ac:dyDescent="0.2">
      <c r="K4861" s="57"/>
    </row>
    <row r="4862" spans="1:18" ht="12.75" x14ac:dyDescent="0.2">
      <c r="K4862" s="58"/>
    </row>
    <row r="4863" spans="1:18" ht="12.75" x14ac:dyDescent="0.2">
      <c r="K4863" s="58"/>
    </row>
    <row r="4864" spans="1:18" ht="12.75" x14ac:dyDescent="0.2"/>
    <row r="4865" spans="1:18" ht="12.75" x14ac:dyDescent="0.2">
      <c r="K4865" s="61"/>
    </row>
    <row r="4866" spans="1:18" ht="12.75" x14ac:dyDescent="0.2">
      <c r="K4866" s="61"/>
    </row>
    <row r="4867" spans="1:18" s="59" customFormat="1" ht="15" x14ac:dyDescent="0.25">
      <c r="A4867"/>
      <c r="B4867"/>
      <c r="C4867"/>
      <c r="D4867"/>
      <c r="E4867"/>
      <c r="F4867"/>
      <c r="G4867"/>
      <c r="H4867"/>
      <c r="I4867"/>
      <c r="J4867"/>
    </row>
    <row r="4868" spans="1:18" s="59" customFormat="1" ht="15" x14ac:dyDescent="0.25">
      <c r="A4868"/>
      <c r="B4868"/>
      <c r="C4868"/>
      <c r="D4868"/>
      <c r="E4868"/>
      <c r="F4868"/>
      <c r="G4868"/>
      <c r="H4868"/>
      <c r="I4868"/>
      <c r="J4868"/>
    </row>
    <row r="4869" spans="1:18" ht="12.75" x14ac:dyDescent="0.2"/>
    <row r="4870" spans="1:18" ht="14.25" customHeight="1" x14ac:dyDescent="0.2">
      <c r="K4870" s="68"/>
    </row>
    <row r="4871" spans="1:18" ht="14.25" customHeight="1" x14ac:dyDescent="0.2">
      <c r="K4871" s="68"/>
    </row>
    <row r="4872" spans="1:18" ht="12.75" x14ac:dyDescent="0.2">
      <c r="K4872" s="68"/>
    </row>
    <row r="4873" spans="1:18" ht="14.25" customHeight="1" x14ac:dyDescent="0.2">
      <c r="K4873" s="17"/>
    </row>
    <row r="4874" spans="1:18" ht="12.75" x14ac:dyDescent="0.2">
      <c r="K4874" s="17"/>
    </row>
    <row r="4875" spans="1:18" ht="12.75" x14ac:dyDescent="0.2">
      <c r="K4875" s="17"/>
    </row>
    <row r="4876" spans="1:18" ht="12.75" x14ac:dyDescent="0.2">
      <c r="K4876" s="17"/>
    </row>
    <row r="4877" spans="1:18" ht="12.75" x14ac:dyDescent="0.2">
      <c r="K4877" s="17"/>
    </row>
    <row r="4878" spans="1:18" ht="12.75" x14ac:dyDescent="0.2">
      <c r="K4878" s="17"/>
      <c r="R4878" s="17"/>
    </row>
    <row r="4879" spans="1:18" ht="12.75" x14ac:dyDescent="0.2">
      <c r="K4879" s="17"/>
    </row>
    <row r="4880" spans="1:18" ht="12.75" x14ac:dyDescent="0.2">
      <c r="K4880" s="17"/>
    </row>
    <row r="4881" spans="1:11" ht="12.75" x14ac:dyDescent="0.2"/>
    <row r="4882" spans="1:11" s="17" customFormat="1" ht="12.75" x14ac:dyDescent="0.2">
      <c r="A4882"/>
      <c r="B4882"/>
      <c r="C4882"/>
      <c r="D4882"/>
      <c r="E4882"/>
      <c r="F4882"/>
      <c r="G4882"/>
      <c r="H4882"/>
      <c r="I4882"/>
      <c r="J4882"/>
    </row>
    <row r="4883" spans="1:11" s="92" customFormat="1" ht="15" x14ac:dyDescent="0.2">
      <c r="A4883"/>
      <c r="B4883"/>
      <c r="C4883"/>
      <c r="D4883"/>
      <c r="E4883"/>
      <c r="F4883"/>
      <c r="G4883"/>
      <c r="H4883"/>
      <c r="I4883"/>
      <c r="J4883"/>
      <c r="K4883" s="19"/>
    </row>
    <row r="4884" spans="1:11" ht="12.75" x14ac:dyDescent="0.2"/>
    <row r="4885" spans="1:11" ht="12" customHeight="1" x14ac:dyDescent="0.2"/>
    <row r="4886" spans="1:11" ht="12.75" x14ac:dyDescent="0.2"/>
    <row r="4887" spans="1:11" ht="12.75" x14ac:dyDescent="0.2"/>
    <row r="4888" spans="1:11" ht="12.75" x14ac:dyDescent="0.2">
      <c r="K4888" s="57"/>
    </row>
    <row r="4889" spans="1:11" ht="12.75" x14ac:dyDescent="0.2">
      <c r="K4889" s="58"/>
    </row>
    <row r="4890" spans="1:11" ht="12.75" x14ac:dyDescent="0.2">
      <c r="K4890" s="58"/>
    </row>
    <row r="4891" spans="1:11" ht="12.75" x14ac:dyDescent="0.2"/>
    <row r="4892" spans="1:11" ht="12.75" x14ac:dyDescent="0.2">
      <c r="K4892" s="61"/>
    </row>
    <row r="4893" spans="1:11" ht="12.75" x14ac:dyDescent="0.2">
      <c r="K4893" s="61"/>
    </row>
    <row r="4894" spans="1:11" s="59" customFormat="1" ht="15" x14ac:dyDescent="0.25">
      <c r="A4894"/>
      <c r="B4894"/>
      <c r="C4894"/>
      <c r="D4894"/>
      <c r="E4894"/>
      <c r="F4894"/>
      <c r="G4894"/>
      <c r="H4894"/>
      <c r="I4894"/>
      <c r="J4894"/>
    </row>
    <row r="4895" spans="1:11" s="59" customFormat="1" ht="15" x14ac:dyDescent="0.25">
      <c r="A4895"/>
      <c r="B4895"/>
      <c r="C4895"/>
      <c r="D4895"/>
      <c r="E4895"/>
      <c r="F4895"/>
      <c r="G4895"/>
      <c r="H4895"/>
      <c r="I4895"/>
      <c r="J4895"/>
    </row>
    <row r="4896" spans="1:11" ht="12.75" x14ac:dyDescent="0.2"/>
    <row r="4897" spans="1:18" ht="14.25" customHeight="1" x14ac:dyDescent="0.2">
      <c r="K4897" s="68"/>
    </row>
    <row r="4898" spans="1:18" ht="14.25" customHeight="1" x14ac:dyDescent="0.2">
      <c r="K4898" s="68"/>
    </row>
    <row r="4899" spans="1:18" ht="12.75" x14ac:dyDescent="0.2">
      <c r="K4899" s="68"/>
    </row>
    <row r="4900" spans="1:18" ht="14.25" customHeight="1" x14ac:dyDescent="0.2">
      <c r="K4900" s="17"/>
    </row>
    <row r="4901" spans="1:18" ht="12.75" x14ac:dyDescent="0.2">
      <c r="K4901" s="17"/>
    </row>
    <row r="4902" spans="1:18" ht="12.75" x14ac:dyDescent="0.2">
      <c r="K4902" s="17"/>
    </row>
    <row r="4903" spans="1:18" ht="12.75" x14ac:dyDescent="0.2">
      <c r="K4903" s="17"/>
    </row>
    <row r="4904" spans="1:18" ht="12.75" x14ac:dyDescent="0.2">
      <c r="K4904" s="17"/>
    </row>
    <row r="4905" spans="1:18" ht="12.75" x14ac:dyDescent="0.2">
      <c r="K4905" s="17"/>
      <c r="R4905" s="17"/>
    </row>
    <row r="4906" spans="1:18" ht="12.75" x14ac:dyDescent="0.2">
      <c r="K4906" s="17"/>
    </row>
    <row r="4907" spans="1:18" ht="12.75" x14ac:dyDescent="0.2">
      <c r="K4907" s="17"/>
    </row>
    <row r="4908" spans="1:18" ht="12.75" x14ac:dyDescent="0.2"/>
    <row r="4909" spans="1:18" s="17" customFormat="1" ht="12.75" x14ac:dyDescent="0.2">
      <c r="A4909"/>
      <c r="B4909"/>
      <c r="C4909"/>
      <c r="D4909"/>
      <c r="E4909"/>
      <c r="F4909"/>
      <c r="G4909"/>
      <c r="H4909"/>
      <c r="I4909"/>
      <c r="J4909"/>
    </row>
    <row r="4910" spans="1:18" s="92" customFormat="1" ht="15" x14ac:dyDescent="0.2">
      <c r="A4910"/>
      <c r="B4910"/>
      <c r="C4910"/>
      <c r="D4910"/>
      <c r="E4910"/>
      <c r="F4910"/>
      <c r="G4910"/>
      <c r="H4910"/>
      <c r="I4910"/>
      <c r="J4910"/>
      <c r="K4910" s="19"/>
    </row>
    <row r="4911" spans="1:18" ht="12.75" x14ac:dyDescent="0.2"/>
    <row r="4912" spans="1:18" ht="12" customHeight="1" x14ac:dyDescent="0.2"/>
    <row r="4913" spans="1:11" ht="12.75" x14ac:dyDescent="0.2"/>
    <row r="4914" spans="1:11" ht="12.75" x14ac:dyDescent="0.2"/>
    <row r="4915" spans="1:11" ht="12.75" x14ac:dyDescent="0.2">
      <c r="K4915" s="57"/>
    </row>
    <row r="4916" spans="1:11" ht="12.75" x14ac:dyDescent="0.2">
      <c r="K4916" s="58"/>
    </row>
    <row r="4917" spans="1:11" ht="12.75" x14ac:dyDescent="0.2">
      <c r="K4917" s="58"/>
    </row>
    <row r="4918" spans="1:11" ht="12.75" x14ac:dyDescent="0.2"/>
    <row r="4919" spans="1:11" ht="12.75" x14ac:dyDescent="0.2">
      <c r="K4919" s="61"/>
    </row>
    <row r="4920" spans="1:11" ht="12.75" x14ac:dyDescent="0.2">
      <c r="K4920" s="61"/>
    </row>
    <row r="4921" spans="1:11" s="59" customFormat="1" ht="15" x14ac:dyDescent="0.25">
      <c r="A4921"/>
      <c r="B4921"/>
      <c r="C4921"/>
      <c r="D4921"/>
      <c r="E4921"/>
      <c r="F4921"/>
      <c r="G4921"/>
      <c r="H4921"/>
      <c r="I4921"/>
      <c r="J4921"/>
    </row>
    <row r="4922" spans="1:11" s="59" customFormat="1" ht="15" x14ac:dyDescent="0.25">
      <c r="A4922"/>
      <c r="B4922"/>
      <c r="C4922"/>
      <c r="D4922"/>
      <c r="E4922"/>
      <c r="F4922"/>
      <c r="G4922"/>
      <c r="H4922"/>
      <c r="I4922"/>
      <c r="J4922"/>
    </row>
    <row r="4923" spans="1:11" ht="12.75" x14ac:dyDescent="0.2"/>
    <row r="4924" spans="1:11" ht="14.25" customHeight="1" x14ac:dyDescent="0.2">
      <c r="K4924" s="68"/>
    </row>
    <row r="4925" spans="1:11" ht="14.25" customHeight="1" x14ac:dyDescent="0.2">
      <c r="K4925" s="68"/>
    </row>
    <row r="4926" spans="1:11" ht="12.75" x14ac:dyDescent="0.2">
      <c r="K4926" s="68"/>
    </row>
    <row r="4927" spans="1:11" ht="14.25" customHeight="1" x14ac:dyDescent="0.2">
      <c r="K4927" s="17"/>
    </row>
    <row r="4928" spans="1:11" ht="12.75" x14ac:dyDescent="0.2">
      <c r="K4928" s="17"/>
    </row>
    <row r="4929" spans="1:18" ht="12.75" x14ac:dyDescent="0.2">
      <c r="K4929" s="17"/>
    </row>
    <row r="4930" spans="1:18" ht="12.75" x14ac:dyDescent="0.2">
      <c r="K4930" s="17"/>
    </row>
    <row r="4931" spans="1:18" ht="12.75" x14ac:dyDescent="0.2">
      <c r="K4931" s="17"/>
    </row>
    <row r="4932" spans="1:18" ht="12.75" x14ac:dyDescent="0.2">
      <c r="K4932" s="17"/>
      <c r="R4932" s="17"/>
    </row>
    <row r="4933" spans="1:18" ht="12.75" x14ac:dyDescent="0.2">
      <c r="K4933" s="17"/>
    </row>
    <row r="4934" spans="1:18" ht="12.75" x14ac:dyDescent="0.2">
      <c r="K4934" s="17"/>
    </row>
    <row r="4935" spans="1:18" ht="12.75" x14ac:dyDescent="0.2"/>
    <row r="4936" spans="1:18" s="17" customFormat="1" ht="12.75" x14ac:dyDescent="0.2">
      <c r="A4936"/>
      <c r="B4936"/>
      <c r="C4936"/>
      <c r="D4936"/>
      <c r="E4936"/>
      <c r="F4936"/>
      <c r="G4936"/>
      <c r="H4936"/>
      <c r="I4936"/>
      <c r="J4936"/>
    </row>
    <row r="4937" spans="1:18" s="92" customFormat="1" ht="15" x14ac:dyDescent="0.2">
      <c r="A4937"/>
      <c r="B4937"/>
      <c r="C4937"/>
      <c r="D4937"/>
      <c r="E4937"/>
      <c r="F4937"/>
      <c r="G4937"/>
      <c r="H4937"/>
      <c r="I4937"/>
      <c r="J4937"/>
      <c r="K4937" s="19"/>
    </row>
    <row r="4938" spans="1:18" ht="12.75" x14ac:dyDescent="0.2"/>
    <row r="4939" spans="1:18" ht="12" customHeight="1" x14ac:dyDescent="0.2"/>
    <row r="4940" spans="1:18" ht="12.75" x14ac:dyDescent="0.2"/>
    <row r="4941" spans="1:18" ht="12.75" x14ac:dyDescent="0.2"/>
    <row r="4942" spans="1:18" ht="12.75" x14ac:dyDescent="0.2">
      <c r="K4942" s="57"/>
    </row>
    <row r="4943" spans="1:18" ht="12.75" x14ac:dyDescent="0.2">
      <c r="K4943" s="58"/>
    </row>
    <row r="4944" spans="1:18" ht="12.75" x14ac:dyDescent="0.2">
      <c r="K4944" s="58"/>
    </row>
    <row r="4945" spans="1:18" ht="12.75" x14ac:dyDescent="0.2"/>
    <row r="4946" spans="1:18" ht="12.75" x14ac:dyDescent="0.2">
      <c r="K4946" s="61"/>
    </row>
    <row r="4947" spans="1:18" ht="12.75" x14ac:dyDescent="0.2">
      <c r="K4947" s="61"/>
    </row>
    <row r="4948" spans="1:18" s="59" customFormat="1" ht="15" x14ac:dyDescent="0.25">
      <c r="A4948"/>
      <c r="B4948"/>
      <c r="C4948"/>
      <c r="D4948"/>
      <c r="E4948"/>
      <c r="F4948"/>
      <c r="G4948"/>
      <c r="H4948"/>
      <c r="I4948"/>
      <c r="J4948"/>
    </row>
    <row r="4949" spans="1:18" s="59" customFormat="1" ht="15" x14ac:dyDescent="0.25">
      <c r="A4949"/>
      <c r="B4949"/>
      <c r="C4949"/>
      <c r="D4949"/>
      <c r="E4949"/>
      <c r="F4949"/>
      <c r="G4949"/>
      <c r="H4949"/>
      <c r="I4949"/>
      <c r="J4949"/>
    </row>
    <row r="4950" spans="1:18" ht="12.75" x14ac:dyDescent="0.2"/>
    <row r="4951" spans="1:18" ht="14.25" customHeight="1" x14ac:dyDescent="0.2">
      <c r="K4951" s="68"/>
    </row>
    <row r="4952" spans="1:18" ht="14.25" customHeight="1" x14ac:dyDescent="0.2">
      <c r="K4952" s="68"/>
    </row>
    <row r="4953" spans="1:18" ht="12.75" x14ac:dyDescent="0.2">
      <c r="K4953" s="68"/>
    </row>
    <row r="4954" spans="1:18" ht="14.25" customHeight="1" x14ac:dyDescent="0.2">
      <c r="K4954" s="17"/>
    </row>
    <row r="4955" spans="1:18" ht="12.75" x14ac:dyDescent="0.2">
      <c r="K4955" s="17"/>
    </row>
    <row r="4956" spans="1:18" ht="12.75" x14ac:dyDescent="0.2">
      <c r="K4956" s="17"/>
    </row>
    <row r="4957" spans="1:18" ht="12.75" x14ac:dyDescent="0.2">
      <c r="K4957" s="17"/>
    </row>
    <row r="4958" spans="1:18" ht="12.75" x14ac:dyDescent="0.2">
      <c r="K4958" s="17"/>
    </row>
    <row r="4959" spans="1:18" ht="12.75" x14ac:dyDescent="0.2">
      <c r="K4959" s="17"/>
      <c r="R4959" s="17"/>
    </row>
    <row r="4960" spans="1:18" ht="12.75" x14ac:dyDescent="0.2">
      <c r="K4960" s="17"/>
    </row>
    <row r="4961" spans="1:11" ht="12.75" x14ac:dyDescent="0.2">
      <c r="K4961" s="17"/>
    </row>
    <row r="4962" spans="1:11" ht="12.75" x14ac:dyDescent="0.2"/>
    <row r="4963" spans="1:11" s="17" customFormat="1" ht="12.75" x14ac:dyDescent="0.2">
      <c r="A4963"/>
      <c r="B4963"/>
      <c r="C4963"/>
      <c r="D4963"/>
      <c r="E4963"/>
      <c r="F4963"/>
      <c r="G4963"/>
      <c r="H4963"/>
      <c r="I4963"/>
      <c r="J4963"/>
    </row>
    <row r="4964" spans="1:11" s="92" customFormat="1" ht="15" x14ac:dyDescent="0.2">
      <c r="A4964"/>
      <c r="B4964"/>
      <c r="C4964"/>
      <c r="D4964"/>
      <c r="E4964"/>
      <c r="F4964"/>
      <c r="G4964"/>
      <c r="H4964"/>
      <c r="I4964"/>
      <c r="J4964"/>
      <c r="K4964" s="19"/>
    </row>
    <row r="4965" spans="1:11" ht="12.75" x14ac:dyDescent="0.2"/>
    <row r="4966" spans="1:11" ht="12" customHeight="1" x14ac:dyDescent="0.2"/>
    <row r="4967" spans="1:11" ht="12.75" x14ac:dyDescent="0.2"/>
    <row r="4968" spans="1:11" ht="12.75" x14ac:dyDescent="0.2"/>
    <row r="4969" spans="1:11" ht="12.75" x14ac:dyDescent="0.2">
      <c r="K4969" s="57"/>
    </row>
    <row r="4970" spans="1:11" ht="12.75" x14ac:dyDescent="0.2">
      <c r="K4970" s="58"/>
    </row>
    <row r="4971" spans="1:11" ht="12.75" x14ac:dyDescent="0.2">
      <c r="K4971" s="58"/>
    </row>
    <row r="4972" spans="1:11" ht="12.75" x14ac:dyDescent="0.2"/>
    <row r="4973" spans="1:11" ht="12.75" x14ac:dyDescent="0.2">
      <c r="K4973" s="61"/>
    </row>
    <row r="4974" spans="1:11" ht="12.75" x14ac:dyDescent="0.2">
      <c r="K4974" s="61"/>
    </row>
    <row r="4975" spans="1:11" s="59" customFormat="1" ht="15" x14ac:dyDescent="0.25">
      <c r="A4975"/>
      <c r="B4975"/>
      <c r="C4975"/>
      <c r="D4975"/>
      <c r="E4975"/>
      <c r="F4975"/>
      <c r="G4975"/>
      <c r="H4975"/>
      <c r="I4975"/>
      <c r="J4975"/>
    </row>
    <row r="4976" spans="1:11" s="59" customFormat="1" ht="15" x14ac:dyDescent="0.25">
      <c r="A4976"/>
      <c r="B4976"/>
      <c r="C4976"/>
      <c r="D4976"/>
      <c r="E4976"/>
      <c r="F4976"/>
      <c r="G4976"/>
      <c r="H4976"/>
      <c r="I4976"/>
      <c r="J4976"/>
    </row>
    <row r="4977" spans="1:18" ht="12.75" x14ac:dyDescent="0.2"/>
    <row r="4978" spans="1:18" ht="14.25" customHeight="1" x14ac:dyDescent="0.2">
      <c r="K4978" s="68"/>
    </row>
    <row r="4979" spans="1:18" ht="14.25" customHeight="1" x14ac:dyDescent="0.2">
      <c r="K4979" s="68"/>
    </row>
    <row r="4980" spans="1:18" ht="12.75" x14ac:dyDescent="0.2">
      <c r="K4980" s="68"/>
    </row>
    <row r="4981" spans="1:18" ht="14.25" customHeight="1" x14ac:dyDescent="0.2">
      <c r="K4981" s="17"/>
    </row>
    <row r="4982" spans="1:18" ht="12.75" x14ac:dyDescent="0.2">
      <c r="K4982" s="17"/>
    </row>
    <row r="4983" spans="1:18" ht="12.75" x14ac:dyDescent="0.2">
      <c r="K4983" s="17"/>
    </row>
    <row r="4984" spans="1:18" ht="12.75" x14ac:dyDescent="0.2">
      <c r="K4984" s="17"/>
    </row>
    <row r="4985" spans="1:18" ht="12.75" x14ac:dyDescent="0.2">
      <c r="K4985" s="17"/>
    </row>
    <row r="4986" spans="1:18" ht="12.75" x14ac:dyDescent="0.2">
      <c r="K4986" s="17"/>
      <c r="R4986" s="17"/>
    </row>
    <row r="4987" spans="1:18" ht="12.75" x14ac:dyDescent="0.2">
      <c r="K4987" s="17"/>
    </row>
    <row r="4988" spans="1:18" ht="12.75" x14ac:dyDescent="0.2">
      <c r="K4988" s="17"/>
    </row>
    <row r="4989" spans="1:18" ht="12.75" x14ac:dyDescent="0.2"/>
    <row r="4990" spans="1:18" s="17" customFormat="1" ht="12.75" x14ac:dyDescent="0.2">
      <c r="A4990"/>
      <c r="B4990"/>
      <c r="C4990"/>
      <c r="D4990"/>
      <c r="E4990"/>
      <c r="F4990"/>
      <c r="G4990"/>
      <c r="H4990"/>
      <c r="I4990"/>
      <c r="J4990"/>
    </row>
    <row r="4991" spans="1:18" s="92" customFormat="1" ht="15" x14ac:dyDescent="0.2">
      <c r="A4991"/>
      <c r="B4991"/>
      <c r="C4991"/>
      <c r="D4991"/>
      <c r="E4991"/>
      <c r="F4991"/>
      <c r="G4991"/>
      <c r="H4991"/>
      <c r="I4991"/>
      <c r="J4991"/>
      <c r="K4991" s="19"/>
    </row>
    <row r="4992" spans="1:18" ht="12.75" x14ac:dyDescent="0.2"/>
    <row r="4993" spans="1:11" ht="12" customHeight="1" x14ac:dyDescent="0.2"/>
    <row r="4994" spans="1:11" ht="12.75" x14ac:dyDescent="0.2"/>
    <row r="4995" spans="1:11" ht="12.75" x14ac:dyDescent="0.2"/>
    <row r="4996" spans="1:11" ht="12.75" x14ac:dyDescent="0.2">
      <c r="K4996" s="57"/>
    </row>
    <row r="4997" spans="1:11" ht="12.75" x14ac:dyDescent="0.2">
      <c r="K4997" s="58"/>
    </row>
    <row r="4998" spans="1:11" ht="12.75" x14ac:dyDescent="0.2">
      <c r="K4998" s="58"/>
    </row>
    <row r="4999" spans="1:11" ht="12.75" x14ac:dyDescent="0.2"/>
    <row r="5000" spans="1:11" ht="12.75" x14ac:dyDescent="0.2">
      <c r="K5000" s="61"/>
    </row>
    <row r="5001" spans="1:11" ht="12.75" x14ac:dyDescent="0.2">
      <c r="K5001" s="61"/>
    </row>
    <row r="5002" spans="1:11" s="59" customFormat="1" ht="15" x14ac:dyDescent="0.25">
      <c r="A5002"/>
      <c r="B5002"/>
      <c r="C5002"/>
      <c r="D5002"/>
      <c r="E5002"/>
      <c r="F5002"/>
      <c r="G5002"/>
      <c r="H5002"/>
      <c r="I5002"/>
      <c r="J5002"/>
    </row>
    <row r="5003" spans="1:11" s="59" customFormat="1" ht="15" x14ac:dyDescent="0.25">
      <c r="A5003"/>
      <c r="B5003"/>
      <c r="C5003"/>
      <c r="D5003"/>
      <c r="E5003"/>
      <c r="F5003"/>
      <c r="G5003"/>
      <c r="H5003"/>
      <c r="I5003"/>
      <c r="J5003"/>
    </row>
    <row r="5004" spans="1:11" ht="12.75" x14ac:dyDescent="0.2"/>
    <row r="5005" spans="1:11" ht="14.25" customHeight="1" x14ac:dyDescent="0.2">
      <c r="K5005" s="68"/>
    </row>
    <row r="5006" spans="1:11" ht="14.25" customHeight="1" x14ac:dyDescent="0.2">
      <c r="K5006" s="68"/>
    </row>
    <row r="5007" spans="1:11" ht="12.75" x14ac:dyDescent="0.2">
      <c r="K5007" s="68"/>
    </row>
    <row r="5008" spans="1:11" ht="14.25" customHeight="1" x14ac:dyDescent="0.2">
      <c r="K5008" s="17"/>
    </row>
    <row r="5009" spans="1:18" ht="12.75" x14ac:dyDescent="0.2">
      <c r="K5009" s="17"/>
    </row>
    <row r="5010" spans="1:18" ht="12.75" x14ac:dyDescent="0.2">
      <c r="K5010" s="17"/>
    </row>
    <row r="5011" spans="1:18" ht="12.75" x14ac:dyDescent="0.2">
      <c r="K5011" s="17"/>
    </row>
    <row r="5012" spans="1:18" ht="12.75" x14ac:dyDescent="0.2">
      <c r="K5012" s="17"/>
    </row>
    <row r="5013" spans="1:18" ht="12.75" x14ac:dyDescent="0.2">
      <c r="K5013" s="17"/>
      <c r="R5013" s="17"/>
    </row>
    <row r="5014" spans="1:18" ht="12.75" x14ac:dyDescent="0.2">
      <c r="K5014" s="17"/>
    </row>
    <row r="5015" spans="1:18" ht="12.75" x14ac:dyDescent="0.2">
      <c r="K5015" s="17"/>
    </row>
    <row r="5016" spans="1:18" ht="12.75" x14ac:dyDescent="0.2"/>
    <row r="5017" spans="1:18" s="17" customFormat="1" ht="12.75" x14ac:dyDescent="0.2">
      <c r="A5017"/>
      <c r="B5017"/>
      <c r="C5017"/>
      <c r="D5017"/>
      <c r="E5017"/>
      <c r="F5017"/>
      <c r="G5017"/>
      <c r="H5017"/>
      <c r="I5017"/>
      <c r="J5017"/>
    </row>
    <row r="5018" spans="1:18" s="92" customFormat="1" ht="15" x14ac:dyDescent="0.2">
      <c r="A5018"/>
      <c r="B5018"/>
      <c r="C5018"/>
      <c r="D5018"/>
      <c r="E5018"/>
      <c r="F5018"/>
      <c r="G5018"/>
      <c r="H5018"/>
      <c r="I5018"/>
      <c r="J5018"/>
      <c r="K5018" s="19"/>
    </row>
    <row r="5019" spans="1:18" ht="12.75" x14ac:dyDescent="0.2"/>
    <row r="5020" spans="1:18" ht="12" customHeight="1" x14ac:dyDescent="0.2"/>
    <row r="5021" spans="1:18" ht="12.75" x14ac:dyDescent="0.2"/>
    <row r="5022" spans="1:18" ht="12.75" x14ac:dyDescent="0.2"/>
    <row r="5023" spans="1:18" ht="12.75" x14ac:dyDescent="0.2">
      <c r="K5023" s="57"/>
    </row>
    <row r="5024" spans="1:18" ht="12.75" x14ac:dyDescent="0.2">
      <c r="K5024" s="58"/>
    </row>
    <row r="5025" spans="1:18" ht="12.75" x14ac:dyDescent="0.2">
      <c r="K5025" s="58"/>
    </row>
    <row r="5026" spans="1:18" ht="12.75" x14ac:dyDescent="0.2"/>
    <row r="5027" spans="1:18" ht="12.75" x14ac:dyDescent="0.2">
      <c r="K5027" s="61"/>
    </row>
    <row r="5028" spans="1:18" ht="12.75" x14ac:dyDescent="0.2">
      <c r="K5028" s="61"/>
    </row>
    <row r="5029" spans="1:18" s="59" customFormat="1" ht="15" x14ac:dyDescent="0.25">
      <c r="A5029"/>
      <c r="B5029"/>
      <c r="C5029"/>
      <c r="D5029"/>
      <c r="E5029"/>
      <c r="F5029"/>
      <c r="G5029"/>
      <c r="H5029"/>
      <c r="I5029"/>
      <c r="J5029"/>
    </row>
    <row r="5030" spans="1:18" s="59" customFormat="1" ht="15" x14ac:dyDescent="0.25">
      <c r="A5030"/>
      <c r="B5030"/>
      <c r="C5030"/>
      <c r="D5030"/>
      <c r="E5030"/>
      <c r="F5030"/>
      <c r="G5030"/>
      <c r="H5030"/>
      <c r="I5030"/>
      <c r="J5030"/>
    </row>
    <row r="5031" spans="1:18" ht="12.75" x14ac:dyDescent="0.2"/>
    <row r="5032" spans="1:18" ht="14.25" customHeight="1" x14ac:dyDescent="0.2">
      <c r="K5032" s="68"/>
    </row>
    <row r="5033" spans="1:18" ht="14.25" customHeight="1" x14ac:dyDescent="0.2">
      <c r="K5033" s="68"/>
    </row>
    <row r="5034" spans="1:18" ht="12.75" x14ac:dyDescent="0.2">
      <c r="K5034" s="68"/>
    </row>
    <row r="5035" spans="1:18" ht="14.25" customHeight="1" x14ac:dyDescent="0.2">
      <c r="K5035" s="17"/>
    </row>
    <row r="5036" spans="1:18" ht="12.75" x14ac:dyDescent="0.2">
      <c r="K5036" s="17"/>
    </row>
    <row r="5037" spans="1:18" ht="12.75" x14ac:dyDescent="0.2">
      <c r="K5037" s="17"/>
    </row>
    <row r="5038" spans="1:18" ht="12.75" x14ac:dyDescent="0.2">
      <c r="K5038" s="17"/>
    </row>
    <row r="5039" spans="1:18" ht="12.75" x14ac:dyDescent="0.2">
      <c r="K5039" s="17"/>
    </row>
    <row r="5040" spans="1:18" ht="12.75" x14ac:dyDescent="0.2">
      <c r="K5040" s="17"/>
      <c r="R5040" s="17"/>
    </row>
    <row r="5041" spans="1:11" ht="12.75" x14ac:dyDescent="0.2">
      <c r="K5041" s="17"/>
    </row>
    <row r="5042" spans="1:11" ht="12.75" x14ac:dyDescent="0.2">
      <c r="K5042" s="17"/>
    </row>
    <row r="5043" spans="1:11" ht="12.75" x14ac:dyDescent="0.2"/>
    <row r="5044" spans="1:11" s="17" customFormat="1" ht="12.75" x14ac:dyDescent="0.2">
      <c r="A5044"/>
      <c r="B5044"/>
      <c r="C5044"/>
      <c r="D5044"/>
      <c r="E5044"/>
      <c r="F5044"/>
      <c r="G5044"/>
      <c r="H5044"/>
      <c r="I5044"/>
      <c r="J5044"/>
    </row>
    <row r="5045" spans="1:11" s="92" customFormat="1" ht="15" x14ac:dyDescent="0.2">
      <c r="A5045"/>
      <c r="B5045"/>
      <c r="C5045"/>
      <c r="D5045"/>
      <c r="E5045"/>
      <c r="F5045"/>
      <c r="G5045"/>
      <c r="H5045"/>
      <c r="I5045"/>
      <c r="J5045"/>
      <c r="K5045" s="19"/>
    </row>
    <row r="5046" spans="1:11" ht="12.75" x14ac:dyDescent="0.2"/>
    <row r="5047" spans="1:11" ht="12" customHeight="1" x14ac:dyDescent="0.2"/>
    <row r="5048" spans="1:11" ht="12.75" x14ac:dyDescent="0.2"/>
    <row r="5049" spans="1:11" ht="12.75" x14ac:dyDescent="0.2"/>
    <row r="5050" spans="1:11" ht="12.75" x14ac:dyDescent="0.2">
      <c r="K5050" s="57"/>
    </row>
    <row r="5051" spans="1:11" ht="12.75" x14ac:dyDescent="0.2">
      <c r="K5051" s="58"/>
    </row>
    <row r="5052" spans="1:11" ht="12.75" x14ac:dyDescent="0.2">
      <c r="K5052" s="58"/>
    </row>
    <row r="5053" spans="1:11" ht="12.75" x14ac:dyDescent="0.2"/>
    <row r="5054" spans="1:11" ht="12.75" x14ac:dyDescent="0.2">
      <c r="K5054" s="61"/>
    </row>
    <row r="5055" spans="1:11" ht="12.75" x14ac:dyDescent="0.2">
      <c r="K5055" s="61"/>
    </row>
    <row r="5056" spans="1:11" s="59" customFormat="1" ht="15" x14ac:dyDescent="0.25">
      <c r="A5056"/>
      <c r="B5056"/>
      <c r="C5056"/>
      <c r="D5056"/>
      <c r="E5056"/>
      <c r="F5056"/>
      <c r="G5056"/>
      <c r="H5056"/>
      <c r="I5056"/>
      <c r="J5056"/>
    </row>
    <row r="5057" spans="1:18" s="59" customFormat="1" ht="15" x14ac:dyDescent="0.25">
      <c r="A5057"/>
      <c r="B5057"/>
      <c r="C5057"/>
      <c r="D5057"/>
      <c r="E5057"/>
      <c r="F5057"/>
      <c r="G5057"/>
      <c r="H5057"/>
      <c r="I5057"/>
      <c r="J5057"/>
    </row>
    <row r="5058" spans="1:18" ht="12.75" x14ac:dyDescent="0.2"/>
    <row r="5059" spans="1:18" ht="14.25" customHeight="1" x14ac:dyDescent="0.2">
      <c r="K5059" s="68"/>
    </row>
    <row r="5060" spans="1:18" ht="14.25" customHeight="1" x14ac:dyDescent="0.2">
      <c r="K5060" s="68"/>
    </row>
    <row r="5061" spans="1:18" ht="12.75" x14ac:dyDescent="0.2">
      <c r="K5061" s="68"/>
    </row>
    <row r="5062" spans="1:18" ht="14.25" customHeight="1" x14ac:dyDescent="0.2">
      <c r="K5062" s="17"/>
    </row>
    <row r="5063" spans="1:18" ht="12.75" x14ac:dyDescent="0.2">
      <c r="K5063" s="17"/>
    </row>
    <row r="5064" spans="1:18" ht="12.75" x14ac:dyDescent="0.2">
      <c r="K5064" s="17"/>
    </row>
    <row r="5065" spans="1:18" ht="12.75" x14ac:dyDescent="0.2">
      <c r="K5065" s="17"/>
    </row>
    <row r="5066" spans="1:18" ht="12.75" x14ac:dyDescent="0.2">
      <c r="K5066" s="17"/>
    </row>
    <row r="5067" spans="1:18" ht="12.75" x14ac:dyDescent="0.2">
      <c r="K5067" s="17"/>
      <c r="R5067" s="17"/>
    </row>
    <row r="5068" spans="1:18" ht="12.75" x14ac:dyDescent="0.2">
      <c r="K5068" s="17"/>
    </row>
    <row r="5069" spans="1:18" ht="12.75" x14ac:dyDescent="0.2">
      <c r="K5069" s="17"/>
    </row>
    <row r="5070" spans="1:18" ht="12.75" x14ac:dyDescent="0.2"/>
    <row r="5071" spans="1:18" s="17" customFormat="1" ht="12.75" x14ac:dyDescent="0.2">
      <c r="A5071"/>
      <c r="B5071"/>
      <c r="C5071"/>
      <c r="D5071"/>
      <c r="E5071"/>
      <c r="F5071"/>
      <c r="G5071"/>
      <c r="H5071"/>
      <c r="I5071"/>
      <c r="J5071"/>
    </row>
    <row r="5072" spans="1:18" s="92" customFormat="1" ht="15" x14ac:dyDescent="0.2">
      <c r="A5072"/>
      <c r="B5072"/>
      <c r="C5072"/>
      <c r="D5072"/>
      <c r="E5072"/>
      <c r="F5072"/>
      <c r="G5072"/>
      <c r="H5072"/>
      <c r="I5072"/>
      <c r="J5072"/>
      <c r="K5072" s="19"/>
    </row>
    <row r="5073" spans="1:11" ht="12.75" x14ac:dyDescent="0.2"/>
    <row r="5074" spans="1:11" ht="12" customHeight="1" x14ac:dyDescent="0.2"/>
    <row r="5075" spans="1:11" ht="12.75" x14ac:dyDescent="0.2"/>
    <row r="5076" spans="1:11" ht="12.75" x14ac:dyDescent="0.2"/>
    <row r="5077" spans="1:11" ht="12.75" x14ac:dyDescent="0.2">
      <c r="K5077" s="57"/>
    </row>
    <row r="5078" spans="1:11" ht="12.75" x14ac:dyDescent="0.2">
      <c r="K5078" s="58"/>
    </row>
    <row r="5079" spans="1:11" ht="12.75" x14ac:dyDescent="0.2">
      <c r="K5079" s="58"/>
    </row>
    <row r="5080" spans="1:11" ht="12.75" x14ac:dyDescent="0.2"/>
    <row r="5081" spans="1:11" ht="12.75" x14ac:dyDescent="0.2">
      <c r="K5081" s="61"/>
    </row>
    <row r="5082" spans="1:11" ht="12.75" x14ac:dyDescent="0.2">
      <c r="K5082" s="61"/>
    </row>
    <row r="5083" spans="1:11" s="59" customFormat="1" ht="15" x14ac:dyDescent="0.25">
      <c r="A5083"/>
      <c r="B5083"/>
      <c r="C5083"/>
      <c r="D5083"/>
      <c r="E5083"/>
      <c r="F5083"/>
      <c r="G5083"/>
      <c r="H5083"/>
      <c r="I5083"/>
      <c r="J5083"/>
    </row>
    <row r="5084" spans="1:11" s="59" customFormat="1" ht="15" x14ac:dyDescent="0.25">
      <c r="A5084"/>
      <c r="B5084"/>
      <c r="C5084"/>
      <c r="D5084"/>
      <c r="E5084"/>
      <c r="F5084"/>
      <c r="G5084"/>
      <c r="H5084"/>
      <c r="I5084"/>
      <c r="J5084"/>
    </row>
    <row r="5085" spans="1:11" ht="12.75" x14ac:dyDescent="0.2"/>
    <row r="5086" spans="1:11" ht="14.25" customHeight="1" x14ac:dyDescent="0.2">
      <c r="K5086" s="68"/>
    </row>
    <row r="5087" spans="1:11" ht="14.25" customHeight="1" x14ac:dyDescent="0.2">
      <c r="K5087" s="68"/>
    </row>
    <row r="5088" spans="1:11" ht="12.75" x14ac:dyDescent="0.2">
      <c r="K5088" s="68"/>
    </row>
    <row r="5089" spans="1:18" ht="14.25" customHeight="1" x14ac:dyDescent="0.2">
      <c r="K5089" s="17"/>
    </row>
    <row r="5090" spans="1:18" ht="12.75" x14ac:dyDescent="0.2">
      <c r="K5090" s="17"/>
    </row>
    <row r="5091" spans="1:18" ht="12.75" x14ac:dyDescent="0.2">
      <c r="K5091" s="17"/>
    </row>
    <row r="5092" spans="1:18" ht="12.75" x14ac:dyDescent="0.2">
      <c r="K5092" s="17"/>
    </row>
    <row r="5093" spans="1:18" ht="12.75" x14ac:dyDescent="0.2">
      <c r="K5093" s="17"/>
    </row>
    <row r="5094" spans="1:18" ht="12.75" x14ac:dyDescent="0.2">
      <c r="K5094" s="17"/>
      <c r="R5094" s="17"/>
    </row>
    <row r="5095" spans="1:18" ht="12.75" x14ac:dyDescent="0.2">
      <c r="K5095" s="17"/>
    </row>
    <row r="5096" spans="1:18" ht="12.75" x14ac:dyDescent="0.2">
      <c r="K5096" s="17"/>
    </row>
    <row r="5097" spans="1:18" ht="12.75" x14ac:dyDescent="0.2"/>
    <row r="5098" spans="1:18" s="17" customFormat="1" ht="12.75" x14ac:dyDescent="0.2">
      <c r="A5098"/>
      <c r="B5098"/>
      <c r="C5098"/>
      <c r="D5098"/>
      <c r="E5098"/>
      <c r="F5098"/>
      <c r="G5098"/>
      <c r="H5098"/>
      <c r="I5098"/>
      <c r="J5098"/>
    </row>
    <row r="5099" spans="1:18" s="92" customFormat="1" ht="15" x14ac:dyDescent="0.2">
      <c r="A5099"/>
      <c r="B5099"/>
      <c r="C5099"/>
      <c r="D5099"/>
      <c r="E5099"/>
      <c r="F5099"/>
      <c r="G5099"/>
      <c r="H5099"/>
      <c r="I5099"/>
      <c r="J5099"/>
      <c r="K5099" s="19"/>
    </row>
    <row r="5100" spans="1:18" ht="12.75" x14ac:dyDescent="0.2"/>
    <row r="5101" spans="1:18" ht="12" customHeight="1" x14ac:dyDescent="0.2"/>
    <row r="5102" spans="1:18" ht="12.75" x14ac:dyDescent="0.2"/>
    <row r="5103" spans="1:18" ht="12.75" x14ac:dyDescent="0.2"/>
    <row r="5104" spans="1:18" ht="12.75" x14ac:dyDescent="0.2">
      <c r="K5104" s="57"/>
    </row>
    <row r="5105" spans="1:11" ht="12.75" x14ac:dyDescent="0.2">
      <c r="K5105" s="58"/>
    </row>
    <row r="5106" spans="1:11" ht="12.75" x14ac:dyDescent="0.2">
      <c r="K5106" s="58"/>
    </row>
    <row r="5107" spans="1:11" ht="12.75" x14ac:dyDescent="0.2"/>
    <row r="5108" spans="1:11" ht="12.75" x14ac:dyDescent="0.2">
      <c r="K5108" s="61"/>
    </row>
    <row r="5109" spans="1:11" ht="12.75" x14ac:dyDescent="0.2">
      <c r="K5109" s="61"/>
    </row>
    <row r="5110" spans="1:11" s="59" customFormat="1" ht="15" x14ac:dyDescent="0.25">
      <c r="A5110"/>
      <c r="B5110"/>
      <c r="C5110"/>
      <c r="D5110"/>
      <c r="E5110"/>
      <c r="F5110"/>
      <c r="G5110"/>
      <c r="H5110"/>
      <c r="I5110"/>
      <c r="J5110"/>
    </row>
    <row r="5111" spans="1:11" s="59" customFormat="1" ht="15" x14ac:dyDescent="0.25">
      <c r="A5111"/>
      <c r="B5111"/>
      <c r="C5111"/>
      <c r="D5111"/>
      <c r="E5111"/>
      <c r="F5111"/>
      <c r="G5111"/>
      <c r="H5111"/>
      <c r="I5111"/>
      <c r="J5111"/>
    </row>
    <row r="5112" spans="1:11" ht="12.75" x14ac:dyDescent="0.2"/>
    <row r="5113" spans="1:11" ht="14.25" customHeight="1" x14ac:dyDescent="0.2">
      <c r="K5113" s="68"/>
    </row>
    <row r="5114" spans="1:11" ht="14.25" customHeight="1" x14ac:dyDescent="0.2">
      <c r="K5114" s="68"/>
    </row>
    <row r="5115" spans="1:11" ht="12.75" x14ac:dyDescent="0.2">
      <c r="K5115" s="68"/>
    </row>
    <row r="5116" spans="1:11" ht="14.25" customHeight="1" x14ac:dyDescent="0.2">
      <c r="K5116" s="17"/>
    </row>
    <row r="5117" spans="1:11" ht="12.75" x14ac:dyDescent="0.2">
      <c r="K5117" s="17"/>
    </row>
    <row r="5118" spans="1:11" ht="12.75" x14ac:dyDescent="0.2">
      <c r="K5118" s="17"/>
    </row>
    <row r="5119" spans="1:11" ht="12.75" x14ac:dyDescent="0.2">
      <c r="K5119" s="17"/>
    </row>
    <row r="5120" spans="1:11" ht="12.75" x14ac:dyDescent="0.2">
      <c r="K5120" s="17"/>
    </row>
    <row r="5121" spans="1:18" ht="12.75" x14ac:dyDescent="0.2">
      <c r="K5121" s="17"/>
      <c r="R5121" s="17"/>
    </row>
    <row r="5122" spans="1:18" ht="12.75" x14ac:dyDescent="0.2">
      <c r="K5122" s="17"/>
    </row>
    <row r="5123" spans="1:18" ht="12.75" x14ac:dyDescent="0.2">
      <c r="K5123" s="17"/>
    </row>
    <row r="5124" spans="1:18" ht="12.75" x14ac:dyDescent="0.2"/>
    <row r="5125" spans="1:18" s="17" customFormat="1" ht="12.75" x14ac:dyDescent="0.2">
      <c r="A5125"/>
      <c r="B5125"/>
      <c r="C5125"/>
      <c r="D5125"/>
      <c r="E5125"/>
      <c r="F5125"/>
      <c r="G5125"/>
      <c r="H5125"/>
      <c r="I5125"/>
      <c r="J5125"/>
    </row>
    <row r="5126" spans="1:18" s="92" customFormat="1" ht="15" x14ac:dyDescent="0.2">
      <c r="A5126"/>
      <c r="B5126"/>
      <c r="C5126"/>
      <c r="D5126"/>
      <c r="E5126"/>
      <c r="F5126"/>
      <c r="G5126"/>
      <c r="H5126"/>
      <c r="I5126"/>
      <c r="J5126"/>
      <c r="K5126" s="19"/>
    </row>
    <row r="5127" spans="1:18" ht="12.75" x14ac:dyDescent="0.2"/>
    <row r="5128" spans="1:18" ht="12" customHeight="1" x14ac:dyDescent="0.2"/>
    <row r="5129" spans="1:18" ht="12.75" x14ac:dyDescent="0.2"/>
    <row r="5130" spans="1:18" ht="12.75" x14ac:dyDescent="0.2"/>
    <row r="5131" spans="1:18" ht="12.75" x14ac:dyDescent="0.2">
      <c r="K5131" s="57"/>
    </row>
    <row r="5132" spans="1:18" ht="12.75" x14ac:dyDescent="0.2">
      <c r="K5132" s="58"/>
    </row>
    <row r="5133" spans="1:18" ht="12.75" x14ac:dyDescent="0.2">
      <c r="K5133" s="58"/>
    </row>
    <row r="5134" spans="1:18" ht="12.75" x14ac:dyDescent="0.2"/>
    <row r="5135" spans="1:18" ht="12.75" x14ac:dyDescent="0.2">
      <c r="K5135" s="61"/>
    </row>
    <row r="5136" spans="1:18" ht="12.75" x14ac:dyDescent="0.2">
      <c r="K5136" s="61"/>
    </row>
    <row r="5137" spans="1:18" s="59" customFormat="1" ht="15" x14ac:dyDescent="0.25">
      <c r="A5137"/>
      <c r="B5137"/>
      <c r="C5137"/>
      <c r="D5137"/>
      <c r="E5137"/>
      <c r="F5137"/>
      <c r="G5137"/>
      <c r="H5137"/>
      <c r="I5137"/>
      <c r="J5137"/>
    </row>
    <row r="5138" spans="1:18" s="59" customFormat="1" ht="15" x14ac:dyDescent="0.25">
      <c r="A5138"/>
      <c r="B5138"/>
      <c r="C5138"/>
      <c r="D5138"/>
      <c r="E5138"/>
      <c r="F5138"/>
      <c r="G5138"/>
      <c r="H5138"/>
      <c r="I5138"/>
      <c r="J5138"/>
    </row>
    <row r="5139" spans="1:18" ht="12.75" x14ac:dyDescent="0.2"/>
    <row r="5140" spans="1:18" ht="14.25" customHeight="1" x14ac:dyDescent="0.2">
      <c r="K5140" s="68"/>
    </row>
    <row r="5141" spans="1:18" ht="14.25" customHeight="1" x14ac:dyDescent="0.2">
      <c r="K5141" s="68"/>
    </row>
    <row r="5142" spans="1:18" ht="12.75" x14ac:dyDescent="0.2">
      <c r="K5142" s="68"/>
    </row>
    <row r="5143" spans="1:18" ht="14.25" customHeight="1" x14ac:dyDescent="0.2">
      <c r="K5143" s="17"/>
    </row>
    <row r="5144" spans="1:18" ht="12.75" x14ac:dyDescent="0.2">
      <c r="K5144" s="17"/>
    </row>
    <row r="5145" spans="1:18" ht="12.75" x14ac:dyDescent="0.2">
      <c r="K5145" s="17"/>
    </row>
    <row r="5146" spans="1:18" ht="12.75" x14ac:dyDescent="0.2">
      <c r="K5146" s="17"/>
    </row>
    <row r="5147" spans="1:18" ht="12.75" x14ac:dyDescent="0.2">
      <c r="K5147" s="17"/>
    </row>
    <row r="5148" spans="1:18" ht="12.75" x14ac:dyDescent="0.2">
      <c r="K5148" s="17"/>
      <c r="R5148" s="17"/>
    </row>
    <row r="5149" spans="1:18" ht="12.75" x14ac:dyDescent="0.2">
      <c r="K5149" s="17"/>
    </row>
    <row r="5150" spans="1:18" ht="12.75" x14ac:dyDescent="0.2">
      <c r="K5150" s="17"/>
    </row>
    <row r="5151" spans="1:18" ht="12.75" x14ac:dyDescent="0.2"/>
    <row r="5152" spans="1:18" s="17" customFormat="1" ht="12.75" x14ac:dyDescent="0.2">
      <c r="A5152"/>
      <c r="B5152"/>
      <c r="C5152"/>
      <c r="D5152"/>
      <c r="E5152"/>
      <c r="F5152"/>
      <c r="G5152"/>
      <c r="H5152"/>
      <c r="I5152"/>
      <c r="J5152"/>
    </row>
    <row r="5153" spans="1:11" s="92" customFormat="1" ht="15" x14ac:dyDescent="0.2">
      <c r="A5153"/>
      <c r="B5153"/>
      <c r="C5153"/>
      <c r="D5153"/>
      <c r="E5153"/>
      <c r="F5153"/>
      <c r="G5153"/>
      <c r="H5153"/>
      <c r="I5153"/>
      <c r="J5153"/>
      <c r="K5153" s="19"/>
    </row>
    <row r="5154" spans="1:11" ht="12.75" x14ac:dyDescent="0.2"/>
    <row r="5155" spans="1:11" ht="12" customHeight="1" x14ac:dyDescent="0.2"/>
    <row r="5156" spans="1:11" ht="12.75" x14ac:dyDescent="0.2"/>
    <row r="5157" spans="1:11" ht="12.75" x14ac:dyDescent="0.2"/>
    <row r="5158" spans="1:11" ht="12.75" x14ac:dyDescent="0.2">
      <c r="K5158" s="57"/>
    </row>
    <row r="5159" spans="1:11" ht="12.75" x14ac:dyDescent="0.2">
      <c r="K5159" s="58"/>
    </row>
    <row r="5160" spans="1:11" ht="12.75" x14ac:dyDescent="0.2">
      <c r="K5160" s="58"/>
    </row>
    <row r="5161" spans="1:11" ht="12.75" x14ac:dyDescent="0.2"/>
    <row r="5162" spans="1:11" ht="12.75" x14ac:dyDescent="0.2">
      <c r="K5162" s="61"/>
    </row>
    <row r="5163" spans="1:11" ht="12.75" x14ac:dyDescent="0.2">
      <c r="K5163" s="61"/>
    </row>
    <row r="5164" spans="1:11" s="59" customFormat="1" ht="15" x14ac:dyDescent="0.25">
      <c r="A5164"/>
      <c r="B5164"/>
      <c r="C5164"/>
      <c r="D5164"/>
      <c r="E5164"/>
      <c r="F5164"/>
      <c r="G5164"/>
      <c r="H5164"/>
      <c r="I5164"/>
      <c r="J5164"/>
    </row>
    <row r="5165" spans="1:11" s="59" customFormat="1" ht="15" x14ac:dyDescent="0.25">
      <c r="A5165"/>
      <c r="B5165"/>
      <c r="C5165"/>
      <c r="D5165"/>
      <c r="E5165"/>
      <c r="F5165"/>
      <c r="G5165"/>
      <c r="H5165"/>
      <c r="I5165"/>
      <c r="J5165"/>
    </row>
    <row r="5166" spans="1:11" ht="12.75" x14ac:dyDescent="0.2"/>
    <row r="5167" spans="1:11" ht="14.25" customHeight="1" x14ac:dyDescent="0.2">
      <c r="K5167" s="68"/>
    </row>
    <row r="5168" spans="1:11" ht="14.25" customHeight="1" x14ac:dyDescent="0.2">
      <c r="K5168" s="68"/>
    </row>
    <row r="5169" spans="1:18" ht="12.75" x14ac:dyDescent="0.2">
      <c r="K5169" s="68"/>
    </row>
    <row r="5170" spans="1:18" ht="14.25" customHeight="1" x14ac:dyDescent="0.2">
      <c r="K5170" s="17"/>
    </row>
    <row r="5171" spans="1:18" ht="12.75" x14ac:dyDescent="0.2">
      <c r="K5171" s="17"/>
    </row>
    <row r="5172" spans="1:18" ht="12.75" x14ac:dyDescent="0.2">
      <c r="K5172" s="17"/>
    </row>
    <row r="5173" spans="1:18" ht="12.75" x14ac:dyDescent="0.2">
      <c r="K5173" s="17"/>
    </row>
    <row r="5174" spans="1:18" ht="12.75" x14ac:dyDescent="0.2">
      <c r="K5174" s="17"/>
    </row>
    <row r="5175" spans="1:18" ht="12.75" x14ac:dyDescent="0.2">
      <c r="K5175" s="17"/>
      <c r="R5175" s="17"/>
    </row>
    <row r="5176" spans="1:18" ht="12.75" x14ac:dyDescent="0.2">
      <c r="K5176" s="17"/>
    </row>
    <row r="5177" spans="1:18" ht="12.75" x14ac:dyDescent="0.2">
      <c r="K5177" s="17"/>
    </row>
    <row r="5178" spans="1:18" ht="12.75" x14ac:dyDescent="0.2"/>
    <row r="5179" spans="1:18" s="17" customFormat="1" ht="12.75" x14ac:dyDescent="0.2">
      <c r="A5179"/>
      <c r="B5179"/>
      <c r="C5179"/>
      <c r="D5179"/>
      <c r="E5179"/>
      <c r="F5179"/>
      <c r="G5179"/>
      <c r="H5179"/>
      <c r="I5179"/>
      <c r="J5179"/>
    </row>
    <row r="5180" spans="1:18" s="92" customFormat="1" ht="15" x14ac:dyDescent="0.2">
      <c r="A5180"/>
      <c r="B5180"/>
      <c r="C5180"/>
      <c r="D5180"/>
      <c r="E5180"/>
      <c r="F5180"/>
      <c r="G5180"/>
      <c r="H5180"/>
      <c r="I5180"/>
      <c r="J5180"/>
      <c r="K5180" s="19"/>
    </row>
    <row r="5181" spans="1:18" ht="12.75" x14ac:dyDescent="0.2"/>
    <row r="5182" spans="1:18" ht="12" customHeight="1" x14ac:dyDescent="0.2"/>
    <row r="5183" spans="1:18" ht="12.75" x14ac:dyDescent="0.2"/>
    <row r="5184" spans="1:18" ht="12.75" x14ac:dyDescent="0.2"/>
    <row r="5185" spans="1:11" ht="12.75" x14ac:dyDescent="0.2">
      <c r="K5185" s="57"/>
    </row>
    <row r="5186" spans="1:11" ht="12.75" x14ac:dyDescent="0.2">
      <c r="K5186" s="58"/>
    </row>
    <row r="5187" spans="1:11" ht="12.75" x14ac:dyDescent="0.2">
      <c r="K5187" s="58"/>
    </row>
    <row r="5188" spans="1:11" ht="12.75" x14ac:dyDescent="0.2"/>
    <row r="5189" spans="1:11" ht="12.75" x14ac:dyDescent="0.2">
      <c r="K5189" s="61"/>
    </row>
    <row r="5190" spans="1:11" ht="12.75" x14ac:dyDescent="0.2">
      <c r="K5190" s="61"/>
    </row>
    <row r="5191" spans="1:11" s="59" customFormat="1" ht="15" x14ac:dyDescent="0.25">
      <c r="A5191"/>
      <c r="B5191"/>
      <c r="C5191"/>
      <c r="D5191"/>
      <c r="E5191"/>
      <c r="F5191"/>
      <c r="G5191"/>
      <c r="H5191"/>
      <c r="I5191"/>
      <c r="J5191"/>
    </row>
    <row r="5192" spans="1:11" s="59" customFormat="1" ht="15" x14ac:dyDescent="0.25">
      <c r="A5192"/>
      <c r="B5192"/>
      <c r="C5192"/>
      <c r="D5192"/>
      <c r="E5192"/>
      <c r="F5192"/>
      <c r="G5192"/>
      <c r="H5192"/>
      <c r="I5192"/>
      <c r="J5192"/>
    </row>
    <row r="5193" spans="1:11" ht="12.75" x14ac:dyDescent="0.2"/>
    <row r="5194" spans="1:11" ht="14.25" customHeight="1" x14ac:dyDescent="0.2">
      <c r="K5194" s="68"/>
    </row>
    <row r="5195" spans="1:11" ht="14.25" customHeight="1" x14ac:dyDescent="0.2">
      <c r="K5195" s="68"/>
    </row>
    <row r="5196" spans="1:11" ht="12.75" x14ac:dyDescent="0.2">
      <c r="K5196" s="68"/>
    </row>
    <row r="5197" spans="1:11" ht="14.25" customHeight="1" x14ac:dyDescent="0.2">
      <c r="K5197" s="17"/>
    </row>
    <row r="5198" spans="1:11" ht="12.75" x14ac:dyDescent="0.2">
      <c r="K5198" s="17"/>
    </row>
    <row r="5199" spans="1:11" ht="12.75" x14ac:dyDescent="0.2">
      <c r="K5199" s="17"/>
    </row>
    <row r="5200" spans="1:11" ht="12.75" x14ac:dyDescent="0.2">
      <c r="K5200" s="17"/>
    </row>
    <row r="5201" spans="1:18" ht="12.75" x14ac:dyDescent="0.2">
      <c r="K5201" s="17"/>
    </row>
    <row r="5202" spans="1:18" ht="12.75" x14ac:dyDescent="0.2">
      <c r="K5202" s="17"/>
      <c r="R5202" s="17"/>
    </row>
    <row r="5203" spans="1:18" ht="12.75" x14ac:dyDescent="0.2">
      <c r="K5203" s="17"/>
    </row>
    <row r="5204" spans="1:18" ht="12.75" x14ac:dyDescent="0.2">
      <c r="K5204" s="17"/>
    </row>
    <row r="5205" spans="1:18" ht="12.75" x14ac:dyDescent="0.2"/>
    <row r="5206" spans="1:18" s="17" customFormat="1" ht="12.75" x14ac:dyDescent="0.2">
      <c r="A5206"/>
      <c r="B5206"/>
      <c r="C5206"/>
      <c r="D5206"/>
      <c r="E5206"/>
      <c r="F5206"/>
      <c r="G5206"/>
      <c r="H5206"/>
      <c r="I5206"/>
      <c r="J5206"/>
    </row>
    <row r="5207" spans="1:18" s="92" customFormat="1" ht="15" x14ac:dyDescent="0.2">
      <c r="A5207"/>
      <c r="B5207"/>
      <c r="C5207"/>
      <c r="D5207"/>
      <c r="E5207"/>
      <c r="F5207"/>
      <c r="G5207"/>
      <c r="H5207"/>
      <c r="I5207"/>
      <c r="J5207"/>
      <c r="K5207" s="19"/>
    </row>
    <row r="5208" spans="1:18" ht="12.75" x14ac:dyDescent="0.2"/>
    <row r="5209" spans="1:18" ht="12" customHeight="1" x14ac:dyDescent="0.2"/>
    <row r="5210" spans="1:18" ht="12.75" x14ac:dyDescent="0.2"/>
    <row r="5211" spans="1:18" ht="12.75" x14ac:dyDescent="0.2"/>
    <row r="5212" spans="1:18" ht="12.75" x14ac:dyDescent="0.2">
      <c r="K5212" s="57"/>
    </row>
    <row r="5213" spans="1:18" ht="12.75" x14ac:dyDescent="0.2">
      <c r="K5213" s="58"/>
    </row>
    <row r="5214" spans="1:18" ht="12.75" x14ac:dyDescent="0.2">
      <c r="K5214" s="58"/>
    </row>
    <row r="5215" spans="1:18" ht="12.75" x14ac:dyDescent="0.2"/>
    <row r="5216" spans="1:18" ht="12.75" x14ac:dyDescent="0.2">
      <c r="K5216" s="61"/>
    </row>
    <row r="5217" spans="1:18" ht="12.75" x14ac:dyDescent="0.2">
      <c r="K5217" s="61"/>
    </row>
    <row r="5218" spans="1:18" s="59" customFormat="1" ht="15" x14ac:dyDescent="0.25">
      <c r="A5218"/>
      <c r="B5218"/>
      <c r="C5218"/>
      <c r="D5218"/>
      <c r="E5218"/>
      <c r="F5218"/>
      <c r="G5218"/>
      <c r="H5218"/>
      <c r="I5218"/>
      <c r="J5218"/>
    </row>
    <row r="5219" spans="1:18" s="59" customFormat="1" ht="15" x14ac:dyDescent="0.25">
      <c r="A5219"/>
      <c r="B5219"/>
      <c r="C5219"/>
      <c r="D5219"/>
      <c r="E5219"/>
      <c r="F5219"/>
      <c r="G5219"/>
      <c r="H5219"/>
      <c r="I5219"/>
      <c r="J5219"/>
    </row>
    <row r="5220" spans="1:18" ht="12.75" x14ac:dyDescent="0.2"/>
    <row r="5221" spans="1:18" ht="14.25" customHeight="1" x14ac:dyDescent="0.2">
      <c r="K5221" s="68"/>
    </row>
    <row r="5222" spans="1:18" ht="14.25" customHeight="1" x14ac:dyDescent="0.2">
      <c r="K5222" s="68"/>
    </row>
    <row r="5223" spans="1:18" ht="12.75" x14ac:dyDescent="0.2">
      <c r="K5223" s="68"/>
    </row>
    <row r="5224" spans="1:18" ht="14.25" customHeight="1" x14ac:dyDescent="0.2">
      <c r="K5224" s="17"/>
    </row>
    <row r="5225" spans="1:18" ht="12.75" x14ac:dyDescent="0.2">
      <c r="K5225" s="17"/>
    </row>
    <row r="5226" spans="1:18" ht="12.75" x14ac:dyDescent="0.2">
      <c r="K5226" s="17"/>
    </row>
    <row r="5227" spans="1:18" ht="12.75" x14ac:dyDescent="0.2">
      <c r="K5227" s="17"/>
    </row>
    <row r="5228" spans="1:18" ht="12.75" x14ac:dyDescent="0.2">
      <c r="K5228" s="17"/>
    </row>
    <row r="5229" spans="1:18" ht="12.75" x14ac:dyDescent="0.2">
      <c r="K5229" s="17"/>
      <c r="R5229" s="17"/>
    </row>
    <row r="5230" spans="1:18" ht="12.75" x14ac:dyDescent="0.2">
      <c r="K5230" s="17"/>
    </row>
    <row r="5231" spans="1:18" ht="12.75" x14ac:dyDescent="0.2">
      <c r="K5231" s="17"/>
    </row>
    <row r="5232" spans="1:18" ht="12.75" x14ac:dyDescent="0.2"/>
    <row r="5233" spans="1:11" s="17" customFormat="1" ht="12.75" x14ac:dyDescent="0.2">
      <c r="A5233"/>
      <c r="B5233"/>
      <c r="C5233"/>
      <c r="D5233"/>
      <c r="E5233"/>
      <c r="F5233"/>
      <c r="G5233"/>
      <c r="H5233"/>
      <c r="I5233"/>
      <c r="J5233"/>
    </row>
    <row r="5234" spans="1:11" s="92" customFormat="1" ht="15" x14ac:dyDescent="0.2">
      <c r="A5234"/>
      <c r="B5234"/>
      <c r="C5234"/>
      <c r="D5234"/>
      <c r="E5234"/>
      <c r="F5234"/>
      <c r="G5234"/>
      <c r="H5234"/>
      <c r="I5234"/>
      <c r="J5234"/>
      <c r="K5234" s="19"/>
    </row>
    <row r="5235" spans="1:11" ht="12.75" x14ac:dyDescent="0.2"/>
    <row r="5236" spans="1:11" ht="12" customHeight="1" x14ac:dyDescent="0.2"/>
    <row r="5237" spans="1:11" ht="12.75" x14ac:dyDescent="0.2"/>
    <row r="5238" spans="1:11" ht="12.75" x14ac:dyDescent="0.2"/>
    <row r="5239" spans="1:11" ht="12.75" x14ac:dyDescent="0.2">
      <c r="K5239" s="57"/>
    </row>
    <row r="5240" spans="1:11" ht="12.75" x14ac:dyDescent="0.2">
      <c r="K5240" s="58"/>
    </row>
    <row r="5241" spans="1:11" ht="12.75" x14ac:dyDescent="0.2">
      <c r="K5241" s="58"/>
    </row>
    <row r="5242" spans="1:11" ht="12.75" x14ac:dyDescent="0.2"/>
    <row r="5243" spans="1:11" ht="12.75" x14ac:dyDescent="0.2">
      <c r="K5243" s="61"/>
    </row>
    <row r="5244" spans="1:11" ht="12.75" x14ac:dyDescent="0.2">
      <c r="K5244" s="61"/>
    </row>
    <row r="5245" spans="1:11" s="59" customFormat="1" ht="15" x14ac:dyDescent="0.25">
      <c r="A5245"/>
      <c r="B5245"/>
      <c r="C5245"/>
      <c r="D5245"/>
      <c r="E5245"/>
      <c r="F5245"/>
      <c r="G5245"/>
      <c r="H5245"/>
      <c r="I5245"/>
      <c r="J5245"/>
    </row>
    <row r="5246" spans="1:11" s="59" customFormat="1" ht="15" x14ac:dyDescent="0.25">
      <c r="A5246"/>
      <c r="B5246"/>
      <c r="C5246"/>
      <c r="D5246"/>
      <c r="E5246"/>
      <c r="F5246"/>
      <c r="G5246"/>
      <c r="H5246"/>
      <c r="I5246"/>
      <c r="J5246"/>
    </row>
    <row r="5247" spans="1:11" ht="12.75" x14ac:dyDescent="0.2"/>
    <row r="5248" spans="1:11" ht="14.25" customHeight="1" x14ac:dyDescent="0.2">
      <c r="K5248" s="68"/>
    </row>
    <row r="5249" spans="1:18" ht="14.25" customHeight="1" x14ac:dyDescent="0.2">
      <c r="K5249" s="68"/>
    </row>
    <row r="5250" spans="1:18" ht="12.75" x14ac:dyDescent="0.2">
      <c r="K5250" s="68"/>
    </row>
    <row r="5251" spans="1:18" ht="14.25" customHeight="1" x14ac:dyDescent="0.2">
      <c r="K5251" s="17"/>
    </row>
    <row r="5252" spans="1:18" ht="12.75" x14ac:dyDescent="0.2">
      <c r="K5252" s="17"/>
    </row>
    <row r="5253" spans="1:18" ht="12.75" x14ac:dyDescent="0.2">
      <c r="K5253" s="17"/>
    </row>
    <row r="5254" spans="1:18" ht="12.75" x14ac:dyDescent="0.2">
      <c r="K5254" s="17"/>
    </row>
    <row r="5255" spans="1:18" ht="12.75" x14ac:dyDescent="0.2">
      <c r="K5255" s="17"/>
    </row>
    <row r="5256" spans="1:18" ht="12.75" x14ac:dyDescent="0.2">
      <c r="K5256" s="17"/>
      <c r="R5256" s="17"/>
    </row>
    <row r="5257" spans="1:18" ht="12.75" x14ac:dyDescent="0.2">
      <c r="K5257" s="17"/>
    </row>
    <row r="5258" spans="1:18" ht="12.75" x14ac:dyDescent="0.2">
      <c r="K5258" s="17"/>
    </row>
    <row r="5259" spans="1:18" ht="12.75" x14ac:dyDescent="0.2"/>
    <row r="5260" spans="1:18" s="17" customFormat="1" ht="12.75" x14ac:dyDescent="0.2">
      <c r="A5260"/>
      <c r="B5260"/>
      <c r="C5260"/>
      <c r="D5260"/>
      <c r="E5260"/>
      <c r="F5260"/>
      <c r="G5260"/>
      <c r="H5260"/>
      <c r="I5260"/>
      <c r="J5260"/>
    </row>
    <row r="5261" spans="1:18" s="92" customFormat="1" ht="15" x14ac:dyDescent="0.2">
      <c r="A5261"/>
      <c r="B5261"/>
      <c r="C5261"/>
      <c r="D5261"/>
      <c r="E5261"/>
      <c r="F5261"/>
      <c r="G5261"/>
      <c r="H5261"/>
      <c r="I5261"/>
      <c r="J5261"/>
      <c r="K5261" s="19"/>
    </row>
    <row r="5262" spans="1:18" ht="12.75" x14ac:dyDescent="0.2"/>
    <row r="5263" spans="1:18" ht="12" customHeight="1" x14ac:dyDescent="0.2"/>
    <row r="5264" spans="1:18" ht="12.75" x14ac:dyDescent="0.2"/>
    <row r="5265" spans="1:11" ht="12.75" x14ac:dyDescent="0.2"/>
    <row r="5266" spans="1:11" ht="12.75" x14ac:dyDescent="0.2">
      <c r="K5266" s="57"/>
    </row>
    <row r="5267" spans="1:11" ht="12.75" x14ac:dyDescent="0.2">
      <c r="K5267" s="58"/>
    </row>
    <row r="5268" spans="1:11" ht="12.75" x14ac:dyDescent="0.2">
      <c r="K5268" s="58"/>
    </row>
    <row r="5269" spans="1:11" ht="12.75" x14ac:dyDescent="0.2"/>
    <row r="5270" spans="1:11" ht="12.75" x14ac:dyDescent="0.2">
      <c r="K5270" s="61"/>
    </row>
    <row r="5271" spans="1:11" ht="12.75" x14ac:dyDescent="0.2">
      <c r="K5271" s="61"/>
    </row>
    <row r="5272" spans="1:11" s="59" customFormat="1" ht="15" x14ac:dyDescent="0.25">
      <c r="A5272"/>
      <c r="B5272"/>
      <c r="C5272"/>
      <c r="D5272"/>
      <c r="E5272"/>
      <c r="F5272"/>
      <c r="G5272"/>
      <c r="H5272"/>
      <c r="I5272"/>
      <c r="J5272"/>
    </row>
    <row r="5273" spans="1:11" s="59" customFormat="1" ht="15" x14ac:dyDescent="0.25">
      <c r="A5273"/>
      <c r="B5273"/>
      <c r="C5273"/>
      <c r="D5273"/>
      <c r="E5273"/>
      <c r="F5273"/>
      <c r="G5273"/>
      <c r="H5273"/>
      <c r="I5273"/>
      <c r="J5273"/>
    </row>
    <row r="5274" spans="1:11" ht="12.75" x14ac:dyDescent="0.2"/>
    <row r="5275" spans="1:11" ht="14.25" customHeight="1" x14ac:dyDescent="0.2">
      <c r="K5275" s="68"/>
    </row>
    <row r="5276" spans="1:11" ht="14.25" customHeight="1" x14ac:dyDescent="0.2">
      <c r="K5276" s="68"/>
    </row>
    <row r="5277" spans="1:11" ht="12.75" x14ac:dyDescent="0.2">
      <c r="K5277" s="68"/>
    </row>
    <row r="5278" spans="1:11" ht="14.25" customHeight="1" x14ac:dyDescent="0.2">
      <c r="K5278" s="17"/>
    </row>
    <row r="5279" spans="1:11" ht="12.75" x14ac:dyDescent="0.2">
      <c r="K5279" s="17"/>
    </row>
    <row r="5280" spans="1:11" ht="12.75" x14ac:dyDescent="0.2">
      <c r="K5280" s="17"/>
    </row>
    <row r="5281" spans="1:18" ht="12.75" x14ac:dyDescent="0.2">
      <c r="K5281" s="17"/>
    </row>
    <row r="5282" spans="1:18" ht="12.75" x14ac:dyDescent="0.2">
      <c r="K5282" s="17"/>
    </row>
    <row r="5283" spans="1:18" ht="12.75" x14ac:dyDescent="0.2">
      <c r="K5283" s="17"/>
      <c r="R5283" s="17"/>
    </row>
    <row r="5284" spans="1:18" ht="12.75" x14ac:dyDescent="0.2">
      <c r="K5284" s="17"/>
    </row>
    <row r="5285" spans="1:18" ht="12.75" x14ac:dyDescent="0.2">
      <c r="K5285" s="17"/>
    </row>
    <row r="5286" spans="1:18" ht="12.75" x14ac:dyDescent="0.2"/>
    <row r="5287" spans="1:18" s="17" customFormat="1" ht="12.75" x14ac:dyDescent="0.2">
      <c r="A5287"/>
      <c r="B5287"/>
      <c r="C5287"/>
      <c r="D5287"/>
      <c r="E5287"/>
      <c r="F5287"/>
      <c r="G5287"/>
      <c r="H5287"/>
      <c r="I5287"/>
      <c r="J5287"/>
    </row>
    <row r="5288" spans="1:18" s="92" customFormat="1" ht="15" x14ac:dyDescent="0.2">
      <c r="A5288"/>
      <c r="B5288"/>
      <c r="C5288"/>
      <c r="D5288"/>
      <c r="E5288"/>
      <c r="F5288"/>
      <c r="G5288"/>
      <c r="H5288"/>
      <c r="I5288"/>
      <c r="J5288"/>
      <c r="K5288" s="19"/>
    </row>
    <row r="5289" spans="1:18" ht="12.75" x14ac:dyDescent="0.2"/>
    <row r="5290" spans="1:18" ht="12" customHeight="1" x14ac:dyDescent="0.2"/>
    <row r="5291" spans="1:18" ht="12.75" x14ac:dyDescent="0.2"/>
    <row r="5292" spans="1:18" ht="12.75" x14ac:dyDescent="0.2"/>
    <row r="5293" spans="1:18" ht="12.75" x14ac:dyDescent="0.2">
      <c r="K5293" s="57"/>
    </row>
    <row r="5294" spans="1:18" ht="12.75" x14ac:dyDescent="0.2">
      <c r="K5294" s="58"/>
    </row>
    <row r="5295" spans="1:18" ht="12.75" x14ac:dyDescent="0.2">
      <c r="K5295" s="58"/>
    </row>
    <row r="5296" spans="1:18" ht="12.75" x14ac:dyDescent="0.2"/>
    <row r="5297" spans="1:18" ht="12.75" x14ac:dyDescent="0.2">
      <c r="K5297" s="61"/>
    </row>
    <row r="5298" spans="1:18" ht="12.75" x14ac:dyDescent="0.2">
      <c r="K5298" s="61"/>
    </row>
    <row r="5299" spans="1:18" s="59" customFormat="1" ht="15" x14ac:dyDescent="0.25">
      <c r="A5299"/>
      <c r="B5299"/>
      <c r="C5299"/>
      <c r="D5299"/>
      <c r="E5299"/>
      <c r="F5299"/>
      <c r="G5299"/>
      <c r="H5299"/>
      <c r="I5299"/>
      <c r="J5299"/>
    </row>
    <row r="5300" spans="1:18" s="59" customFormat="1" ht="15" x14ac:dyDescent="0.25">
      <c r="A5300"/>
      <c r="B5300"/>
      <c r="C5300"/>
      <c r="D5300"/>
      <c r="E5300"/>
      <c r="F5300"/>
      <c r="G5300"/>
      <c r="H5300"/>
      <c r="I5300"/>
      <c r="J5300"/>
    </row>
    <row r="5301" spans="1:18" ht="12.75" x14ac:dyDescent="0.2"/>
    <row r="5302" spans="1:18" ht="14.25" customHeight="1" x14ac:dyDescent="0.2">
      <c r="K5302" s="68"/>
    </row>
    <row r="5303" spans="1:18" ht="14.25" customHeight="1" x14ac:dyDescent="0.2">
      <c r="K5303" s="68"/>
    </row>
    <row r="5304" spans="1:18" ht="12.75" x14ac:dyDescent="0.2">
      <c r="K5304" s="68"/>
    </row>
    <row r="5305" spans="1:18" ht="14.25" customHeight="1" x14ac:dyDescent="0.2">
      <c r="K5305" s="17"/>
    </row>
    <row r="5306" spans="1:18" ht="12.75" x14ac:dyDescent="0.2">
      <c r="K5306" s="17"/>
    </row>
    <row r="5307" spans="1:18" ht="12.75" x14ac:dyDescent="0.2">
      <c r="K5307" s="17"/>
    </row>
    <row r="5308" spans="1:18" ht="12.75" x14ac:dyDescent="0.2">
      <c r="K5308" s="17"/>
    </row>
    <row r="5309" spans="1:18" ht="12.75" x14ac:dyDescent="0.2">
      <c r="K5309" s="17"/>
    </row>
    <row r="5310" spans="1:18" ht="12.75" x14ac:dyDescent="0.2">
      <c r="K5310" s="17"/>
      <c r="R5310" s="17"/>
    </row>
    <row r="5311" spans="1:18" ht="12.75" x14ac:dyDescent="0.2">
      <c r="K5311" s="17"/>
    </row>
    <row r="5312" spans="1:18" ht="12.75" x14ac:dyDescent="0.2">
      <c r="K5312" s="17"/>
    </row>
    <row r="5313" spans="1:11" ht="12.75" x14ac:dyDescent="0.2"/>
    <row r="5314" spans="1:11" s="17" customFormat="1" ht="12.75" x14ac:dyDescent="0.2">
      <c r="A5314"/>
      <c r="B5314"/>
      <c r="C5314"/>
      <c r="D5314"/>
      <c r="E5314"/>
      <c r="F5314"/>
      <c r="G5314"/>
      <c r="H5314"/>
      <c r="I5314"/>
      <c r="J5314"/>
    </row>
    <row r="5315" spans="1:11" s="92" customFormat="1" ht="15" x14ac:dyDescent="0.2">
      <c r="A5315"/>
      <c r="B5315"/>
      <c r="C5315"/>
      <c r="D5315"/>
      <c r="E5315"/>
      <c r="F5315"/>
      <c r="G5315"/>
      <c r="H5315"/>
      <c r="I5315"/>
      <c r="J5315"/>
      <c r="K5315" s="19"/>
    </row>
    <row r="5316" spans="1:11" ht="12.75" x14ac:dyDescent="0.2"/>
    <row r="5317" spans="1:11" ht="12" customHeight="1" x14ac:dyDescent="0.2"/>
    <row r="5318" spans="1:11" ht="12.75" x14ac:dyDescent="0.2"/>
    <row r="5319" spans="1:11" ht="12.75" x14ac:dyDescent="0.2"/>
    <row r="5320" spans="1:11" ht="12.75" x14ac:dyDescent="0.2">
      <c r="K5320" s="57"/>
    </row>
    <row r="5321" spans="1:11" ht="12.75" x14ac:dyDescent="0.2">
      <c r="K5321" s="58"/>
    </row>
    <row r="5322" spans="1:11" ht="12.75" x14ac:dyDescent="0.2">
      <c r="K5322" s="58"/>
    </row>
    <row r="5323" spans="1:11" ht="12.75" x14ac:dyDescent="0.2"/>
    <row r="5324" spans="1:11" ht="12.75" x14ac:dyDescent="0.2">
      <c r="K5324" s="61"/>
    </row>
    <row r="5325" spans="1:11" ht="12.75" x14ac:dyDescent="0.2">
      <c r="K5325" s="61"/>
    </row>
    <row r="5326" spans="1:11" s="59" customFormat="1" ht="15" x14ac:dyDescent="0.25">
      <c r="A5326"/>
      <c r="B5326"/>
      <c r="C5326"/>
      <c r="D5326"/>
      <c r="E5326"/>
      <c r="F5326"/>
      <c r="G5326"/>
      <c r="H5326"/>
      <c r="I5326"/>
      <c r="J5326"/>
    </row>
    <row r="5327" spans="1:11" s="59" customFormat="1" ht="15" x14ac:dyDescent="0.25">
      <c r="A5327"/>
      <c r="B5327"/>
      <c r="C5327"/>
      <c r="D5327"/>
      <c r="E5327"/>
      <c r="F5327"/>
      <c r="G5327"/>
      <c r="H5327"/>
      <c r="I5327"/>
      <c r="J5327"/>
    </row>
    <row r="5328" spans="1:11" ht="12.75" x14ac:dyDescent="0.2"/>
    <row r="5329" spans="1:18" ht="14.25" customHeight="1" x14ac:dyDescent="0.2">
      <c r="K5329" s="68"/>
    </row>
    <row r="5330" spans="1:18" ht="14.25" customHeight="1" x14ac:dyDescent="0.2">
      <c r="K5330" s="68"/>
    </row>
    <row r="5331" spans="1:18" ht="12.75" x14ac:dyDescent="0.2">
      <c r="K5331" s="68"/>
    </row>
    <row r="5332" spans="1:18" ht="14.25" customHeight="1" x14ac:dyDescent="0.2">
      <c r="K5332" s="17"/>
    </row>
    <row r="5333" spans="1:18" ht="12.75" x14ac:dyDescent="0.2">
      <c r="K5333" s="17"/>
    </row>
    <row r="5334" spans="1:18" ht="12.75" x14ac:dyDescent="0.2">
      <c r="K5334" s="17"/>
    </row>
    <row r="5335" spans="1:18" ht="12.75" x14ac:dyDescent="0.2">
      <c r="K5335" s="17"/>
    </row>
    <row r="5336" spans="1:18" ht="12.75" x14ac:dyDescent="0.2">
      <c r="K5336" s="17"/>
    </row>
    <row r="5337" spans="1:18" ht="12.75" x14ac:dyDescent="0.2">
      <c r="K5337" s="17"/>
      <c r="R5337" s="17"/>
    </row>
    <row r="5338" spans="1:18" ht="12.75" x14ac:dyDescent="0.2">
      <c r="K5338" s="17"/>
    </row>
    <row r="5339" spans="1:18" ht="12.75" x14ac:dyDescent="0.2">
      <c r="K5339" s="17"/>
    </row>
    <row r="5340" spans="1:18" ht="12.75" x14ac:dyDescent="0.2"/>
    <row r="5341" spans="1:18" s="17" customFormat="1" ht="12.75" x14ac:dyDescent="0.2">
      <c r="A5341"/>
      <c r="B5341"/>
      <c r="C5341"/>
      <c r="D5341"/>
      <c r="E5341"/>
      <c r="F5341"/>
      <c r="G5341"/>
      <c r="H5341"/>
      <c r="I5341"/>
      <c r="J5341"/>
    </row>
    <row r="5342" spans="1:18" s="92" customFormat="1" ht="15" x14ac:dyDescent="0.2">
      <c r="A5342"/>
      <c r="B5342"/>
      <c r="C5342"/>
      <c r="D5342"/>
      <c r="E5342"/>
      <c r="F5342"/>
      <c r="G5342"/>
      <c r="H5342"/>
      <c r="I5342"/>
      <c r="J5342"/>
      <c r="K5342" s="19"/>
    </row>
    <row r="5343" spans="1:18" ht="12.75" x14ac:dyDescent="0.2"/>
    <row r="5344" spans="1:18" ht="12" customHeight="1" x14ac:dyDescent="0.2"/>
    <row r="5345" spans="1:11" ht="12.75" x14ac:dyDescent="0.2"/>
    <row r="5346" spans="1:11" ht="12.75" x14ac:dyDescent="0.2"/>
    <row r="5347" spans="1:11" ht="12.75" x14ac:dyDescent="0.2">
      <c r="K5347" s="57"/>
    </row>
    <row r="5348" spans="1:11" ht="12.75" x14ac:dyDescent="0.2">
      <c r="K5348" s="58"/>
    </row>
    <row r="5349" spans="1:11" ht="12.75" x14ac:dyDescent="0.2">
      <c r="K5349" s="58"/>
    </row>
    <row r="5350" spans="1:11" ht="12.75" x14ac:dyDescent="0.2"/>
    <row r="5351" spans="1:11" ht="12.75" x14ac:dyDescent="0.2">
      <c r="K5351" s="61"/>
    </row>
    <row r="5352" spans="1:11" ht="12.75" x14ac:dyDescent="0.2">
      <c r="K5352" s="61"/>
    </row>
    <row r="5353" spans="1:11" s="59" customFormat="1" ht="15" x14ac:dyDescent="0.25">
      <c r="A5353"/>
      <c r="B5353"/>
      <c r="C5353"/>
      <c r="D5353"/>
      <c r="E5353"/>
      <c r="F5353"/>
      <c r="G5353"/>
      <c r="H5353"/>
      <c r="I5353"/>
      <c r="J5353"/>
    </row>
    <row r="5354" spans="1:11" s="59" customFormat="1" ht="15" x14ac:dyDescent="0.25">
      <c r="A5354"/>
      <c r="B5354"/>
      <c r="C5354"/>
      <c r="D5354"/>
      <c r="E5354"/>
      <c r="F5354"/>
      <c r="G5354"/>
      <c r="H5354"/>
      <c r="I5354"/>
      <c r="J5354"/>
    </row>
    <row r="5355" spans="1:11" ht="12.75" x14ac:dyDescent="0.2"/>
    <row r="5356" spans="1:11" ht="14.25" customHeight="1" x14ac:dyDescent="0.2">
      <c r="K5356" s="68"/>
    </row>
    <row r="5357" spans="1:11" ht="14.25" customHeight="1" x14ac:dyDescent="0.2">
      <c r="K5357" s="68"/>
    </row>
    <row r="5358" spans="1:11" ht="12.75" x14ac:dyDescent="0.2">
      <c r="K5358" s="68"/>
    </row>
    <row r="5359" spans="1:11" ht="14.25" customHeight="1" x14ac:dyDescent="0.2">
      <c r="K5359" s="17"/>
    </row>
    <row r="5360" spans="1:11" ht="12.75" x14ac:dyDescent="0.2">
      <c r="K5360" s="17"/>
    </row>
    <row r="5361" spans="1:18" ht="12.75" x14ac:dyDescent="0.2">
      <c r="K5361" s="17"/>
    </row>
    <row r="5362" spans="1:18" ht="12.75" x14ac:dyDescent="0.2">
      <c r="K5362" s="17"/>
    </row>
    <row r="5363" spans="1:18" ht="12.75" x14ac:dyDescent="0.2">
      <c r="K5363" s="17"/>
    </row>
    <row r="5364" spans="1:18" ht="12.75" x14ac:dyDescent="0.2">
      <c r="K5364" s="17"/>
      <c r="R5364" s="17"/>
    </row>
    <row r="5365" spans="1:18" ht="12.75" x14ac:dyDescent="0.2">
      <c r="K5365" s="17"/>
    </row>
    <row r="5366" spans="1:18" ht="12.75" x14ac:dyDescent="0.2">
      <c r="K5366" s="17"/>
    </row>
    <row r="5367" spans="1:18" ht="12.75" x14ac:dyDescent="0.2"/>
    <row r="5368" spans="1:18" s="17" customFormat="1" ht="12.75" x14ac:dyDescent="0.2">
      <c r="A5368"/>
      <c r="B5368"/>
      <c r="C5368"/>
      <c r="D5368"/>
      <c r="E5368"/>
      <c r="F5368"/>
      <c r="G5368"/>
      <c r="H5368"/>
      <c r="I5368"/>
      <c r="J5368"/>
    </row>
    <row r="5369" spans="1:18" s="92" customFormat="1" ht="15" x14ac:dyDescent="0.2">
      <c r="A5369"/>
      <c r="B5369"/>
      <c r="C5369"/>
      <c r="D5369"/>
      <c r="E5369"/>
      <c r="F5369"/>
      <c r="G5369"/>
      <c r="H5369"/>
      <c r="I5369"/>
      <c r="J5369"/>
      <c r="K5369" s="19"/>
    </row>
    <row r="5370" spans="1:18" ht="12.75" x14ac:dyDescent="0.2"/>
    <row r="5371" spans="1:18" ht="12" customHeight="1" x14ac:dyDescent="0.2"/>
    <row r="5372" spans="1:18" ht="12.75" x14ac:dyDescent="0.2"/>
    <row r="5373" spans="1:18" ht="12.75" x14ac:dyDescent="0.2"/>
    <row r="5374" spans="1:18" ht="12.75" x14ac:dyDescent="0.2">
      <c r="K5374" s="57"/>
    </row>
    <row r="5375" spans="1:18" ht="12.75" x14ac:dyDescent="0.2">
      <c r="K5375" s="58"/>
    </row>
    <row r="5376" spans="1:18" ht="12.75" x14ac:dyDescent="0.2">
      <c r="K5376" s="58"/>
    </row>
    <row r="5377" spans="1:18" ht="12.75" x14ac:dyDescent="0.2"/>
    <row r="5378" spans="1:18" ht="12.75" x14ac:dyDescent="0.2">
      <c r="K5378" s="61"/>
    </row>
    <row r="5379" spans="1:18" ht="12.75" x14ac:dyDescent="0.2">
      <c r="K5379" s="61"/>
    </row>
    <row r="5380" spans="1:18" s="59" customFormat="1" ht="15" x14ac:dyDescent="0.25">
      <c r="A5380"/>
      <c r="B5380"/>
      <c r="C5380"/>
      <c r="D5380"/>
      <c r="E5380"/>
      <c r="F5380"/>
      <c r="G5380"/>
      <c r="H5380"/>
      <c r="I5380"/>
      <c r="J5380"/>
    </row>
    <row r="5381" spans="1:18" s="59" customFormat="1" ht="15" x14ac:dyDescent="0.25">
      <c r="A5381"/>
      <c r="B5381"/>
      <c r="C5381"/>
      <c r="D5381"/>
      <c r="E5381"/>
      <c r="F5381"/>
      <c r="G5381"/>
      <c r="H5381"/>
      <c r="I5381"/>
      <c r="J5381"/>
    </row>
    <row r="5382" spans="1:18" ht="12.75" x14ac:dyDescent="0.2"/>
    <row r="5383" spans="1:18" ht="14.25" customHeight="1" x14ac:dyDescent="0.2">
      <c r="K5383" s="68"/>
    </row>
    <row r="5384" spans="1:18" ht="14.25" customHeight="1" x14ac:dyDescent="0.2">
      <c r="K5384" s="68"/>
    </row>
    <row r="5385" spans="1:18" ht="12.75" x14ac:dyDescent="0.2">
      <c r="K5385" s="68"/>
    </row>
    <row r="5386" spans="1:18" ht="14.25" customHeight="1" x14ac:dyDescent="0.2">
      <c r="K5386" s="17"/>
    </row>
    <row r="5387" spans="1:18" ht="12.75" x14ac:dyDescent="0.2">
      <c r="K5387" s="17"/>
    </row>
    <row r="5388" spans="1:18" ht="12.75" x14ac:dyDescent="0.2">
      <c r="K5388" s="17"/>
    </row>
    <row r="5389" spans="1:18" ht="12.75" x14ac:dyDescent="0.2">
      <c r="K5389" s="17"/>
    </row>
    <row r="5390" spans="1:18" ht="12.75" x14ac:dyDescent="0.2">
      <c r="K5390" s="17"/>
    </row>
    <row r="5391" spans="1:18" ht="12.75" x14ac:dyDescent="0.2">
      <c r="K5391" s="17"/>
      <c r="R5391" s="17"/>
    </row>
    <row r="5392" spans="1:18" ht="12.75" x14ac:dyDescent="0.2">
      <c r="K5392" s="17"/>
    </row>
    <row r="5393" spans="1:11" ht="12.75" x14ac:dyDescent="0.2">
      <c r="K5393" s="17"/>
    </row>
    <row r="5394" spans="1:11" ht="12.75" x14ac:dyDescent="0.2"/>
    <row r="5395" spans="1:11" s="17" customFormat="1" ht="12.75" x14ac:dyDescent="0.2">
      <c r="A5395"/>
      <c r="B5395"/>
      <c r="C5395"/>
      <c r="D5395"/>
      <c r="E5395"/>
      <c r="F5395"/>
      <c r="G5395"/>
      <c r="H5395"/>
      <c r="I5395"/>
      <c r="J5395"/>
    </row>
    <row r="5396" spans="1:11" s="92" customFormat="1" ht="15" x14ac:dyDescent="0.2">
      <c r="A5396"/>
      <c r="B5396"/>
      <c r="C5396"/>
      <c r="D5396"/>
      <c r="E5396"/>
      <c r="F5396"/>
      <c r="G5396"/>
      <c r="H5396"/>
      <c r="I5396"/>
      <c r="J5396"/>
      <c r="K5396" s="19"/>
    </row>
    <row r="5397" spans="1:11" ht="12.75" x14ac:dyDescent="0.2"/>
    <row r="5398" spans="1:11" ht="12" customHeight="1" x14ac:dyDescent="0.2"/>
    <row r="5399" spans="1:11" ht="12.75" x14ac:dyDescent="0.2"/>
    <row r="5400" spans="1:11" ht="12.75" x14ac:dyDescent="0.2"/>
    <row r="5401" spans="1:11" ht="12.75" x14ac:dyDescent="0.2">
      <c r="K5401" s="57"/>
    </row>
    <row r="5402" spans="1:11" ht="12.75" x14ac:dyDescent="0.2">
      <c r="K5402" s="58"/>
    </row>
    <row r="5403" spans="1:11" ht="12.75" x14ac:dyDescent="0.2">
      <c r="K5403" s="58"/>
    </row>
    <row r="5404" spans="1:11" ht="12.75" x14ac:dyDescent="0.2"/>
    <row r="5405" spans="1:11" ht="12.75" x14ac:dyDescent="0.2">
      <c r="K5405" s="61"/>
    </row>
    <row r="5406" spans="1:11" ht="12.75" x14ac:dyDescent="0.2">
      <c r="K5406" s="61"/>
    </row>
    <row r="5407" spans="1:11" s="59" customFormat="1" ht="15" x14ac:dyDescent="0.25">
      <c r="A5407"/>
      <c r="B5407"/>
      <c r="C5407"/>
      <c r="D5407"/>
      <c r="E5407"/>
      <c r="F5407"/>
      <c r="G5407"/>
      <c r="H5407"/>
      <c r="I5407"/>
      <c r="J5407"/>
    </row>
    <row r="5408" spans="1:11" s="59" customFormat="1" ht="15" x14ac:dyDescent="0.25">
      <c r="A5408"/>
      <c r="B5408"/>
      <c r="C5408"/>
      <c r="D5408"/>
      <c r="E5408"/>
      <c r="F5408"/>
      <c r="G5408"/>
      <c r="H5408"/>
      <c r="I5408"/>
      <c r="J5408"/>
    </row>
    <row r="5409" spans="1:18" ht="12.75" x14ac:dyDescent="0.2"/>
    <row r="5410" spans="1:18" ht="14.25" customHeight="1" x14ac:dyDescent="0.2">
      <c r="K5410" s="68"/>
    </row>
    <row r="5411" spans="1:18" ht="14.25" customHeight="1" x14ac:dyDescent="0.2">
      <c r="K5411" s="68"/>
    </row>
    <row r="5412" spans="1:18" ht="12.75" x14ac:dyDescent="0.2">
      <c r="K5412" s="68"/>
    </row>
    <row r="5413" spans="1:18" ht="14.25" customHeight="1" x14ac:dyDescent="0.2">
      <c r="K5413" s="17"/>
    </row>
    <row r="5414" spans="1:18" ht="12.75" x14ac:dyDescent="0.2">
      <c r="K5414" s="17"/>
    </row>
    <row r="5415" spans="1:18" ht="12.75" x14ac:dyDescent="0.2">
      <c r="K5415" s="17"/>
    </row>
    <row r="5416" spans="1:18" ht="12.75" x14ac:dyDescent="0.2">
      <c r="K5416" s="17"/>
    </row>
    <row r="5417" spans="1:18" ht="12.75" x14ac:dyDescent="0.2">
      <c r="K5417" s="17"/>
    </row>
    <row r="5418" spans="1:18" ht="12.75" x14ac:dyDescent="0.2">
      <c r="K5418" s="17"/>
      <c r="R5418" s="17"/>
    </row>
    <row r="5419" spans="1:18" ht="12.75" x14ac:dyDescent="0.2">
      <c r="K5419" s="17"/>
    </row>
    <row r="5420" spans="1:18" ht="12.75" x14ac:dyDescent="0.2">
      <c r="K5420" s="17"/>
    </row>
    <row r="5421" spans="1:18" ht="12.75" x14ac:dyDescent="0.2"/>
    <row r="5422" spans="1:18" s="17" customFormat="1" ht="12.75" x14ac:dyDescent="0.2">
      <c r="A5422"/>
      <c r="B5422"/>
      <c r="C5422"/>
      <c r="D5422"/>
      <c r="E5422"/>
      <c r="F5422"/>
      <c r="G5422"/>
      <c r="H5422"/>
      <c r="I5422"/>
      <c r="J5422"/>
    </row>
    <row r="5423" spans="1:18" s="92" customFormat="1" ht="15" x14ac:dyDescent="0.2">
      <c r="A5423"/>
      <c r="B5423"/>
      <c r="C5423"/>
      <c r="D5423"/>
      <c r="E5423"/>
      <c r="F5423"/>
      <c r="G5423"/>
      <c r="H5423"/>
      <c r="I5423"/>
      <c r="J5423"/>
      <c r="K5423" s="19"/>
    </row>
    <row r="5424" spans="1:18" ht="12.75" x14ac:dyDescent="0.2"/>
    <row r="5425" spans="1:11" ht="12" customHeight="1" x14ac:dyDescent="0.2"/>
    <row r="5426" spans="1:11" ht="12.75" x14ac:dyDescent="0.2"/>
    <row r="5427" spans="1:11" ht="12.75" x14ac:dyDescent="0.2"/>
    <row r="5428" spans="1:11" ht="12.75" x14ac:dyDescent="0.2">
      <c r="K5428" s="57"/>
    </row>
    <row r="5429" spans="1:11" ht="12.75" x14ac:dyDescent="0.2">
      <c r="K5429" s="58"/>
    </row>
    <row r="5430" spans="1:11" ht="12.75" x14ac:dyDescent="0.2">
      <c r="K5430" s="58"/>
    </row>
    <row r="5431" spans="1:11" ht="12.75" x14ac:dyDescent="0.2"/>
    <row r="5432" spans="1:11" ht="12.75" x14ac:dyDescent="0.2">
      <c r="K5432" s="61"/>
    </row>
    <row r="5433" spans="1:11" ht="12.75" x14ac:dyDescent="0.2">
      <c r="K5433" s="61"/>
    </row>
    <row r="5434" spans="1:11" s="59" customFormat="1" ht="15" x14ac:dyDescent="0.25">
      <c r="A5434"/>
      <c r="B5434"/>
      <c r="C5434"/>
      <c r="D5434"/>
      <c r="E5434"/>
      <c r="F5434"/>
      <c r="G5434"/>
      <c r="H5434"/>
      <c r="I5434"/>
      <c r="J5434"/>
    </row>
    <row r="5435" spans="1:11" s="59" customFormat="1" ht="15" x14ac:dyDescent="0.25">
      <c r="A5435"/>
      <c r="B5435"/>
      <c r="C5435"/>
      <c r="D5435"/>
      <c r="E5435"/>
      <c r="F5435"/>
      <c r="G5435"/>
      <c r="H5435"/>
      <c r="I5435"/>
      <c r="J5435"/>
    </row>
    <row r="5436" spans="1:11" ht="12.75" x14ac:dyDescent="0.2"/>
    <row r="5437" spans="1:11" ht="14.25" customHeight="1" x14ac:dyDescent="0.2">
      <c r="K5437" s="68"/>
    </row>
    <row r="5438" spans="1:11" ht="14.25" customHeight="1" x14ac:dyDescent="0.2">
      <c r="K5438" s="68"/>
    </row>
    <row r="5439" spans="1:11" ht="12.75" x14ac:dyDescent="0.2">
      <c r="K5439" s="68"/>
    </row>
    <row r="5440" spans="1:11" ht="14.25" customHeight="1" x14ac:dyDescent="0.2">
      <c r="K5440" s="17"/>
    </row>
    <row r="5441" spans="1:18" ht="12.75" x14ac:dyDescent="0.2">
      <c r="K5441" s="17"/>
    </row>
    <row r="5442" spans="1:18" ht="12.75" x14ac:dyDescent="0.2">
      <c r="K5442" s="17"/>
    </row>
    <row r="5443" spans="1:18" ht="12.75" x14ac:dyDescent="0.2">
      <c r="K5443" s="17"/>
    </row>
    <row r="5444" spans="1:18" ht="12.75" x14ac:dyDescent="0.2">
      <c r="K5444" s="17"/>
    </row>
    <row r="5445" spans="1:18" ht="12.75" x14ac:dyDescent="0.2">
      <c r="K5445" s="17"/>
      <c r="R5445" s="17"/>
    </row>
    <row r="5446" spans="1:18" ht="12.75" x14ac:dyDescent="0.2">
      <c r="K5446" s="17"/>
    </row>
    <row r="5447" spans="1:18" ht="12.75" x14ac:dyDescent="0.2">
      <c r="K5447" s="17"/>
    </row>
    <row r="5448" spans="1:18" ht="12.75" x14ac:dyDescent="0.2"/>
    <row r="5449" spans="1:18" s="17" customFormat="1" ht="12.75" x14ac:dyDescent="0.2">
      <c r="A5449"/>
      <c r="B5449"/>
      <c r="C5449"/>
      <c r="D5449"/>
      <c r="E5449"/>
      <c r="F5449"/>
      <c r="G5449"/>
      <c r="H5449"/>
      <c r="I5449"/>
      <c r="J5449"/>
    </row>
    <row r="5450" spans="1:18" s="92" customFormat="1" ht="15" x14ac:dyDescent="0.2">
      <c r="A5450"/>
      <c r="B5450"/>
      <c r="C5450"/>
      <c r="D5450"/>
      <c r="E5450"/>
      <c r="F5450"/>
      <c r="G5450"/>
      <c r="H5450"/>
      <c r="I5450"/>
      <c r="J5450"/>
      <c r="K5450" s="19"/>
    </row>
    <row r="5451" spans="1:18" ht="12.75" x14ac:dyDescent="0.2"/>
    <row r="5452" spans="1:18" ht="12" customHeight="1" x14ac:dyDescent="0.2"/>
    <row r="5453" spans="1:18" ht="12.75" x14ac:dyDescent="0.2"/>
    <row r="5454" spans="1:18" ht="12.75" x14ac:dyDescent="0.2"/>
    <row r="5455" spans="1:18" ht="12.75" x14ac:dyDescent="0.2">
      <c r="K5455" s="57"/>
    </row>
    <row r="5456" spans="1:18" ht="12.75" x14ac:dyDescent="0.2">
      <c r="K5456" s="58"/>
    </row>
    <row r="5457" spans="1:18" ht="12.75" x14ac:dyDescent="0.2">
      <c r="K5457" s="58"/>
    </row>
    <row r="5458" spans="1:18" ht="12.75" x14ac:dyDescent="0.2"/>
    <row r="5459" spans="1:18" ht="12.75" x14ac:dyDescent="0.2">
      <c r="K5459" s="61"/>
    </row>
    <row r="5460" spans="1:18" ht="12.75" x14ac:dyDescent="0.2">
      <c r="K5460" s="61"/>
    </row>
    <row r="5461" spans="1:18" s="59" customFormat="1" ht="15" x14ac:dyDescent="0.25">
      <c r="A5461"/>
      <c r="B5461"/>
      <c r="C5461"/>
      <c r="D5461"/>
      <c r="E5461"/>
      <c r="F5461"/>
      <c r="G5461"/>
      <c r="H5461"/>
      <c r="I5461"/>
      <c r="J5461"/>
    </row>
    <row r="5462" spans="1:18" s="59" customFormat="1" ht="15" x14ac:dyDescent="0.25">
      <c r="A5462"/>
      <c r="B5462"/>
      <c r="C5462"/>
      <c r="D5462"/>
      <c r="E5462"/>
      <c r="F5462"/>
      <c r="G5462"/>
      <c r="H5462"/>
      <c r="I5462"/>
      <c r="J5462"/>
    </row>
    <row r="5463" spans="1:18" ht="12.75" x14ac:dyDescent="0.2"/>
    <row r="5464" spans="1:18" ht="14.25" customHeight="1" x14ac:dyDescent="0.2">
      <c r="K5464" s="68"/>
    </row>
    <row r="5465" spans="1:18" ht="14.25" customHeight="1" x14ac:dyDescent="0.2">
      <c r="K5465" s="68"/>
    </row>
    <row r="5466" spans="1:18" ht="12.75" x14ac:dyDescent="0.2">
      <c r="K5466" s="68"/>
    </row>
    <row r="5467" spans="1:18" ht="14.25" customHeight="1" x14ac:dyDescent="0.2">
      <c r="K5467" s="17"/>
    </row>
    <row r="5468" spans="1:18" ht="12.75" x14ac:dyDescent="0.2">
      <c r="K5468" s="17"/>
    </row>
    <row r="5469" spans="1:18" ht="12.75" x14ac:dyDescent="0.2">
      <c r="K5469" s="17"/>
    </row>
    <row r="5470" spans="1:18" ht="12.75" x14ac:dyDescent="0.2">
      <c r="K5470" s="17"/>
    </row>
    <row r="5471" spans="1:18" ht="12.75" x14ac:dyDescent="0.2">
      <c r="K5471" s="17"/>
    </row>
    <row r="5472" spans="1:18" ht="12.75" x14ac:dyDescent="0.2">
      <c r="K5472" s="17"/>
      <c r="R5472" s="17"/>
    </row>
    <row r="5473" spans="1:11" ht="12.75" x14ac:dyDescent="0.2">
      <c r="K5473" s="17"/>
    </row>
    <row r="5474" spans="1:11" ht="12.75" x14ac:dyDescent="0.2">
      <c r="K5474" s="17"/>
    </row>
    <row r="5475" spans="1:11" ht="12.75" x14ac:dyDescent="0.2"/>
    <row r="5476" spans="1:11" s="17" customFormat="1" ht="12.75" x14ac:dyDescent="0.2">
      <c r="A5476"/>
      <c r="B5476"/>
      <c r="C5476"/>
      <c r="D5476"/>
      <c r="E5476"/>
      <c r="F5476"/>
      <c r="G5476"/>
      <c r="H5476"/>
      <c r="I5476"/>
      <c r="J5476"/>
    </row>
    <row r="5477" spans="1:11" s="92" customFormat="1" ht="15" x14ac:dyDescent="0.2">
      <c r="A5477"/>
      <c r="B5477"/>
      <c r="C5477"/>
      <c r="D5477"/>
      <c r="E5477"/>
      <c r="F5477"/>
      <c r="G5477"/>
      <c r="H5477"/>
      <c r="I5477"/>
      <c r="J5477"/>
      <c r="K5477" s="19"/>
    </row>
    <row r="5478" spans="1:11" ht="12.75" x14ac:dyDescent="0.2"/>
    <row r="5479" spans="1:11" ht="12" customHeight="1" x14ac:dyDescent="0.2"/>
    <row r="5480" spans="1:11" ht="12.75" x14ac:dyDescent="0.2"/>
    <row r="5481" spans="1:11" ht="12.75" x14ac:dyDescent="0.2"/>
    <row r="5482" spans="1:11" ht="12.75" x14ac:dyDescent="0.2">
      <c r="K5482" s="57"/>
    </row>
    <row r="5483" spans="1:11" ht="12.75" x14ac:dyDescent="0.2">
      <c r="K5483" s="58"/>
    </row>
    <row r="5484" spans="1:11" ht="12.75" x14ac:dyDescent="0.2">
      <c r="K5484" s="58"/>
    </row>
    <row r="5485" spans="1:11" ht="12.75" x14ac:dyDescent="0.2"/>
    <row r="5486" spans="1:11" ht="12.75" x14ac:dyDescent="0.2">
      <c r="K5486" s="61"/>
    </row>
    <row r="5487" spans="1:11" ht="12.75" x14ac:dyDescent="0.2">
      <c r="K5487" s="61"/>
    </row>
    <row r="5488" spans="1:11" s="59" customFormat="1" ht="15" x14ac:dyDescent="0.25">
      <c r="A5488"/>
      <c r="B5488"/>
      <c r="C5488"/>
      <c r="D5488"/>
      <c r="E5488"/>
      <c r="F5488"/>
      <c r="G5488"/>
      <c r="H5488"/>
      <c r="I5488"/>
      <c r="J5488"/>
    </row>
    <row r="5489" spans="1:18" s="59" customFormat="1" ht="15" x14ac:dyDescent="0.25">
      <c r="A5489"/>
      <c r="B5489"/>
      <c r="C5489"/>
      <c r="D5489"/>
      <c r="E5489"/>
      <c r="F5489"/>
      <c r="G5489"/>
      <c r="H5489"/>
      <c r="I5489"/>
      <c r="J5489"/>
    </row>
    <row r="5490" spans="1:18" ht="12.75" x14ac:dyDescent="0.2"/>
    <row r="5491" spans="1:18" ht="14.25" customHeight="1" x14ac:dyDescent="0.2">
      <c r="K5491" s="68"/>
    </row>
    <row r="5492" spans="1:18" ht="14.25" customHeight="1" x14ac:dyDescent="0.2">
      <c r="K5492" s="68"/>
    </row>
    <row r="5493" spans="1:18" ht="12.75" x14ac:dyDescent="0.2">
      <c r="K5493" s="68"/>
    </row>
    <row r="5494" spans="1:18" ht="14.25" customHeight="1" x14ac:dyDescent="0.2">
      <c r="K5494" s="17"/>
    </row>
    <row r="5495" spans="1:18" ht="12.75" x14ac:dyDescent="0.2">
      <c r="K5495" s="17"/>
    </row>
    <row r="5496" spans="1:18" ht="12.75" x14ac:dyDescent="0.2">
      <c r="K5496" s="17"/>
    </row>
    <row r="5497" spans="1:18" ht="12.75" x14ac:dyDescent="0.2">
      <c r="K5497" s="17"/>
    </row>
    <row r="5498" spans="1:18" ht="12.75" x14ac:dyDescent="0.2">
      <c r="K5498" s="17"/>
    </row>
    <row r="5499" spans="1:18" ht="12.75" x14ac:dyDescent="0.2">
      <c r="K5499" s="17"/>
      <c r="R5499" s="17"/>
    </row>
    <row r="5500" spans="1:18" ht="12.75" x14ac:dyDescent="0.2">
      <c r="K5500" s="17"/>
    </row>
    <row r="5501" spans="1:18" ht="12.75" x14ac:dyDescent="0.2">
      <c r="K5501" s="17"/>
    </row>
    <row r="5502" spans="1:18" ht="12.75" x14ac:dyDescent="0.2"/>
    <row r="5503" spans="1:18" s="17" customFormat="1" ht="12.75" x14ac:dyDescent="0.2">
      <c r="A5503"/>
      <c r="B5503"/>
      <c r="C5503"/>
      <c r="D5503"/>
      <c r="E5503"/>
      <c r="F5503"/>
      <c r="G5503"/>
      <c r="H5503"/>
      <c r="I5503"/>
      <c r="J5503"/>
    </row>
    <row r="5504" spans="1:18" s="92" customFormat="1" ht="15" x14ac:dyDescent="0.2">
      <c r="A5504"/>
      <c r="B5504"/>
      <c r="C5504"/>
      <c r="D5504"/>
      <c r="E5504"/>
      <c r="F5504"/>
      <c r="G5504"/>
      <c r="H5504"/>
      <c r="I5504"/>
      <c r="J5504"/>
      <c r="K5504" s="19"/>
    </row>
    <row r="5505" spans="1:11" ht="12.75" x14ac:dyDescent="0.2"/>
    <row r="5506" spans="1:11" ht="12" customHeight="1" x14ac:dyDescent="0.2"/>
    <row r="5507" spans="1:11" ht="12.75" x14ac:dyDescent="0.2"/>
    <row r="5508" spans="1:11" ht="12.75" x14ac:dyDescent="0.2"/>
    <row r="5509" spans="1:11" ht="12.75" x14ac:dyDescent="0.2">
      <c r="K5509" s="57"/>
    </row>
    <row r="5510" spans="1:11" ht="12.75" x14ac:dyDescent="0.2">
      <c r="K5510" s="58"/>
    </row>
    <row r="5511" spans="1:11" ht="12.75" x14ac:dyDescent="0.2">
      <c r="K5511" s="58"/>
    </row>
    <row r="5512" spans="1:11" ht="12.75" x14ac:dyDescent="0.2"/>
    <row r="5513" spans="1:11" ht="12.75" x14ac:dyDescent="0.2">
      <c r="K5513" s="61"/>
    </row>
    <row r="5514" spans="1:11" ht="12.75" x14ac:dyDescent="0.2">
      <c r="K5514" s="61"/>
    </row>
    <row r="5515" spans="1:11" s="59" customFormat="1" ht="15" x14ac:dyDescent="0.25">
      <c r="A5515"/>
      <c r="B5515"/>
      <c r="C5515"/>
      <c r="D5515"/>
      <c r="E5515"/>
      <c r="F5515"/>
      <c r="G5515"/>
      <c r="H5515"/>
      <c r="I5515"/>
      <c r="J5515"/>
    </row>
    <row r="5516" spans="1:11" s="59" customFormat="1" ht="15" x14ac:dyDescent="0.25">
      <c r="A5516"/>
      <c r="B5516"/>
      <c r="C5516"/>
      <c r="D5516"/>
      <c r="E5516"/>
      <c r="F5516"/>
      <c r="G5516"/>
      <c r="H5516"/>
      <c r="I5516"/>
      <c r="J5516"/>
    </row>
    <row r="5517" spans="1:11" ht="12.75" x14ac:dyDescent="0.2"/>
    <row r="5518" spans="1:11" ht="14.25" customHeight="1" x14ac:dyDescent="0.2">
      <c r="K5518" s="68"/>
    </row>
    <row r="5519" spans="1:11" ht="14.25" customHeight="1" x14ac:dyDescent="0.2">
      <c r="K5519" s="68"/>
    </row>
    <row r="5520" spans="1:11" ht="12.75" x14ac:dyDescent="0.2">
      <c r="K5520" s="68"/>
    </row>
    <row r="5521" spans="1:18" ht="14.25" customHeight="1" x14ac:dyDescent="0.2">
      <c r="K5521" s="17"/>
    </row>
    <row r="5522" spans="1:18" ht="12.75" x14ac:dyDescent="0.2">
      <c r="K5522" s="17"/>
    </row>
    <row r="5523" spans="1:18" ht="12.75" x14ac:dyDescent="0.2">
      <c r="K5523" s="17"/>
    </row>
    <row r="5524" spans="1:18" ht="12.75" x14ac:dyDescent="0.2">
      <c r="K5524" s="17"/>
    </row>
    <row r="5525" spans="1:18" ht="12.75" x14ac:dyDescent="0.2">
      <c r="K5525" s="17"/>
    </row>
    <row r="5526" spans="1:18" ht="12.75" x14ac:dyDescent="0.2">
      <c r="K5526" s="17"/>
      <c r="R5526" s="17"/>
    </row>
    <row r="5527" spans="1:18" ht="12.75" x14ac:dyDescent="0.2">
      <c r="K5527" s="17"/>
    </row>
    <row r="5528" spans="1:18" ht="12.75" x14ac:dyDescent="0.2">
      <c r="K5528" s="17"/>
    </row>
    <row r="5529" spans="1:18" ht="12.75" x14ac:dyDescent="0.2"/>
    <row r="5530" spans="1:18" s="17" customFormat="1" ht="12.75" x14ac:dyDescent="0.2">
      <c r="A5530"/>
      <c r="B5530"/>
      <c r="C5530"/>
      <c r="D5530"/>
      <c r="E5530"/>
      <c r="F5530"/>
      <c r="G5530"/>
      <c r="H5530"/>
      <c r="I5530"/>
      <c r="J5530"/>
    </row>
    <row r="5531" spans="1:18" s="92" customFormat="1" ht="15" x14ac:dyDescent="0.2">
      <c r="A5531"/>
      <c r="B5531"/>
      <c r="C5531"/>
      <c r="D5531"/>
      <c r="E5531"/>
      <c r="F5531"/>
      <c r="G5531"/>
      <c r="H5531"/>
      <c r="I5531"/>
      <c r="J5531"/>
      <c r="K5531" s="19"/>
    </row>
    <row r="5532" spans="1:18" ht="12.75" x14ac:dyDescent="0.2"/>
    <row r="5533" spans="1:18" ht="12" customHeight="1" x14ac:dyDescent="0.2"/>
    <row r="5534" spans="1:18" ht="12.75" x14ac:dyDescent="0.2"/>
    <row r="5535" spans="1:18" ht="12.75" x14ac:dyDescent="0.2"/>
    <row r="5536" spans="1:18" ht="12.75" x14ac:dyDescent="0.2">
      <c r="K5536" s="57"/>
    </row>
    <row r="5537" spans="1:11" ht="12.75" x14ac:dyDescent="0.2">
      <c r="K5537" s="58"/>
    </row>
    <row r="5538" spans="1:11" ht="12.75" x14ac:dyDescent="0.2">
      <c r="K5538" s="58"/>
    </row>
    <row r="5539" spans="1:11" ht="12.75" x14ac:dyDescent="0.2"/>
    <row r="5540" spans="1:11" ht="12.75" x14ac:dyDescent="0.2">
      <c r="K5540" s="61"/>
    </row>
    <row r="5541" spans="1:11" ht="12.75" x14ac:dyDescent="0.2">
      <c r="K5541" s="61"/>
    </row>
    <row r="5542" spans="1:11" s="59" customFormat="1" ht="15" x14ac:dyDescent="0.25">
      <c r="A5542"/>
      <c r="B5542"/>
      <c r="C5542"/>
      <c r="D5542"/>
      <c r="E5542"/>
      <c r="F5542"/>
      <c r="G5542"/>
      <c r="H5542"/>
      <c r="I5542"/>
      <c r="J5542"/>
    </row>
    <row r="5543" spans="1:11" s="59" customFormat="1" ht="15" x14ac:dyDescent="0.25">
      <c r="A5543"/>
      <c r="B5543"/>
      <c r="C5543"/>
      <c r="D5543"/>
      <c r="E5543"/>
      <c r="F5543"/>
      <c r="G5543"/>
      <c r="H5543"/>
      <c r="I5543"/>
      <c r="J5543"/>
    </row>
    <row r="5544" spans="1:11" ht="12.75" x14ac:dyDescent="0.2"/>
    <row r="5545" spans="1:11" ht="14.25" customHeight="1" x14ac:dyDescent="0.2">
      <c r="K5545" s="68"/>
    </row>
    <row r="5546" spans="1:11" ht="14.25" customHeight="1" x14ac:dyDescent="0.2">
      <c r="K5546" s="68"/>
    </row>
    <row r="5547" spans="1:11" ht="12.75" x14ac:dyDescent="0.2">
      <c r="K5547" s="68"/>
    </row>
    <row r="5548" spans="1:11" ht="14.25" customHeight="1" x14ac:dyDescent="0.2">
      <c r="K5548" s="17"/>
    </row>
    <row r="5549" spans="1:11" ht="12.75" x14ac:dyDescent="0.2">
      <c r="K5549" s="17"/>
    </row>
    <row r="5550" spans="1:11" ht="12.75" x14ac:dyDescent="0.2">
      <c r="K5550" s="17"/>
    </row>
    <row r="5551" spans="1:11" ht="12.75" x14ac:dyDescent="0.2">
      <c r="K5551" s="17"/>
    </row>
    <row r="5552" spans="1:11" ht="12.75" x14ac:dyDescent="0.2">
      <c r="K5552" s="17"/>
    </row>
    <row r="5553" spans="1:18" ht="12.75" x14ac:dyDescent="0.2">
      <c r="K5553" s="17"/>
      <c r="R5553" s="17"/>
    </row>
    <row r="5554" spans="1:18" ht="12.75" x14ac:dyDescent="0.2">
      <c r="K5554" s="17"/>
    </row>
    <row r="5555" spans="1:18" ht="12.75" x14ac:dyDescent="0.2">
      <c r="K5555" s="17"/>
    </row>
    <row r="5556" spans="1:18" ht="12.75" x14ac:dyDescent="0.2"/>
    <row r="5557" spans="1:18" s="17" customFormat="1" ht="12.75" x14ac:dyDescent="0.2">
      <c r="A5557"/>
      <c r="B5557"/>
      <c r="C5557"/>
      <c r="D5557"/>
      <c r="E5557"/>
      <c r="F5557"/>
      <c r="G5557"/>
      <c r="H5557"/>
      <c r="I5557"/>
      <c r="J5557"/>
    </row>
    <row r="5558" spans="1:18" s="92" customFormat="1" ht="15" x14ac:dyDescent="0.2">
      <c r="A5558"/>
      <c r="B5558"/>
      <c r="C5558"/>
      <c r="D5558"/>
      <c r="E5558"/>
      <c r="F5558"/>
      <c r="G5558"/>
      <c r="H5558"/>
      <c r="I5558"/>
      <c r="J5558"/>
      <c r="K5558" s="19"/>
    </row>
    <row r="5559" spans="1:18" ht="12.75" x14ac:dyDescent="0.2"/>
    <row r="5560" spans="1:18" ht="12" customHeight="1" x14ac:dyDescent="0.2"/>
    <row r="5561" spans="1:18" ht="12.75" x14ac:dyDescent="0.2"/>
    <row r="5562" spans="1:18" ht="12.75" x14ac:dyDescent="0.2"/>
    <row r="5563" spans="1:18" ht="12.75" x14ac:dyDescent="0.2">
      <c r="K5563" s="57"/>
    </row>
    <row r="5564" spans="1:18" ht="12.75" x14ac:dyDescent="0.2">
      <c r="K5564" s="58"/>
    </row>
    <row r="5565" spans="1:18" ht="12.75" x14ac:dyDescent="0.2">
      <c r="K5565" s="58"/>
    </row>
    <row r="5566" spans="1:18" ht="12.75" x14ac:dyDescent="0.2"/>
    <row r="5567" spans="1:18" ht="12.75" x14ac:dyDescent="0.2">
      <c r="K5567" s="61"/>
    </row>
    <row r="5568" spans="1:18" ht="12.75" x14ac:dyDescent="0.2">
      <c r="K5568" s="61"/>
    </row>
    <row r="5569" spans="1:18" s="59" customFormat="1" ht="15" x14ac:dyDescent="0.25">
      <c r="A5569"/>
      <c r="B5569"/>
      <c r="C5569"/>
      <c r="D5569"/>
      <c r="E5569"/>
      <c r="F5569"/>
      <c r="G5569"/>
      <c r="H5569"/>
      <c r="I5569"/>
      <c r="J5569"/>
    </row>
    <row r="5570" spans="1:18" s="59" customFormat="1" ht="15" x14ac:dyDescent="0.25">
      <c r="A5570"/>
      <c r="B5570"/>
      <c r="C5570"/>
      <c r="D5570"/>
      <c r="E5570"/>
      <c r="F5570"/>
      <c r="G5570"/>
      <c r="H5570"/>
      <c r="I5570"/>
      <c r="J5570"/>
    </row>
    <row r="5571" spans="1:18" ht="12.75" x14ac:dyDescent="0.2"/>
    <row r="5572" spans="1:18" ht="14.25" customHeight="1" x14ac:dyDescent="0.2">
      <c r="K5572" s="68"/>
    </row>
    <row r="5573" spans="1:18" ht="14.25" customHeight="1" x14ac:dyDescent="0.2">
      <c r="K5573" s="68"/>
    </row>
    <row r="5574" spans="1:18" ht="12.75" x14ac:dyDescent="0.2">
      <c r="K5574" s="68"/>
    </row>
    <row r="5575" spans="1:18" ht="14.25" customHeight="1" x14ac:dyDescent="0.2">
      <c r="K5575" s="17"/>
    </row>
    <row r="5576" spans="1:18" ht="12.75" x14ac:dyDescent="0.2">
      <c r="K5576" s="17"/>
    </row>
    <row r="5577" spans="1:18" ht="12.75" x14ac:dyDescent="0.2">
      <c r="K5577" s="17"/>
    </row>
    <row r="5578" spans="1:18" ht="12.75" x14ac:dyDescent="0.2">
      <c r="K5578" s="17"/>
    </row>
    <row r="5579" spans="1:18" ht="12.75" x14ac:dyDescent="0.2">
      <c r="K5579" s="17"/>
    </row>
    <row r="5580" spans="1:18" ht="12.75" x14ac:dyDescent="0.2">
      <c r="K5580" s="17"/>
      <c r="R5580" s="17"/>
    </row>
    <row r="5581" spans="1:18" ht="12.75" x14ac:dyDescent="0.2">
      <c r="K5581" s="17"/>
    </row>
    <row r="5582" spans="1:18" ht="12.75" x14ac:dyDescent="0.2">
      <c r="K5582" s="17"/>
    </row>
    <row r="5583" spans="1:18" ht="12.75" x14ac:dyDescent="0.2"/>
    <row r="5584" spans="1:18" s="17" customFormat="1" ht="12.75" x14ac:dyDescent="0.2">
      <c r="A5584"/>
      <c r="B5584"/>
      <c r="C5584"/>
      <c r="D5584"/>
      <c r="E5584"/>
      <c r="F5584"/>
      <c r="G5584"/>
      <c r="H5584"/>
      <c r="I5584"/>
      <c r="J5584"/>
    </row>
    <row r="5585" spans="1:11" s="92" customFormat="1" ht="15" x14ac:dyDescent="0.2">
      <c r="A5585"/>
      <c r="B5585"/>
      <c r="C5585"/>
      <c r="D5585"/>
      <c r="E5585"/>
      <c r="F5585"/>
      <c r="G5585"/>
      <c r="H5585"/>
      <c r="I5585"/>
      <c r="J5585"/>
      <c r="K5585" s="19"/>
    </row>
    <row r="5586" spans="1:11" ht="12.75" x14ac:dyDescent="0.2"/>
    <row r="5587" spans="1:11" ht="12" customHeight="1" x14ac:dyDescent="0.2"/>
    <row r="5588" spans="1:11" ht="12.75" x14ac:dyDescent="0.2"/>
    <row r="5589" spans="1:11" ht="12.75" x14ac:dyDescent="0.2"/>
    <row r="5590" spans="1:11" ht="12.75" x14ac:dyDescent="0.2">
      <c r="K5590" s="57"/>
    </row>
    <row r="5591" spans="1:11" ht="12.75" x14ac:dyDescent="0.2">
      <c r="K5591" s="58"/>
    </row>
    <row r="5592" spans="1:11" ht="12.75" x14ac:dyDescent="0.2">
      <c r="K5592" s="58"/>
    </row>
    <row r="5593" spans="1:11" ht="12.75" x14ac:dyDescent="0.2"/>
    <row r="5594" spans="1:11" ht="12.75" x14ac:dyDescent="0.2">
      <c r="K5594" s="61"/>
    </row>
    <row r="5595" spans="1:11" ht="12.75" x14ac:dyDescent="0.2">
      <c r="K5595" s="61"/>
    </row>
    <row r="5596" spans="1:11" s="59" customFormat="1" ht="15" x14ac:dyDescent="0.25">
      <c r="A5596"/>
      <c r="B5596"/>
      <c r="C5596"/>
      <c r="D5596"/>
      <c r="E5596"/>
      <c r="F5596"/>
      <c r="G5596"/>
      <c r="H5596"/>
      <c r="I5596"/>
      <c r="J5596"/>
    </row>
    <row r="5597" spans="1:11" s="59" customFormat="1" ht="15" x14ac:dyDescent="0.25">
      <c r="A5597"/>
      <c r="B5597"/>
      <c r="C5597"/>
      <c r="D5597"/>
      <c r="E5597"/>
      <c r="F5597"/>
      <c r="G5597"/>
      <c r="H5597"/>
      <c r="I5597"/>
      <c r="J5597"/>
    </row>
    <row r="5598" spans="1:11" ht="12.75" x14ac:dyDescent="0.2"/>
    <row r="5599" spans="1:11" ht="14.25" customHeight="1" x14ac:dyDescent="0.2">
      <c r="K5599" s="68"/>
    </row>
    <row r="5600" spans="1:11" ht="14.25" customHeight="1" x14ac:dyDescent="0.2">
      <c r="K5600" s="68"/>
    </row>
    <row r="5601" spans="1:18" ht="12.75" x14ac:dyDescent="0.2">
      <c r="K5601" s="68"/>
    </row>
    <row r="5602" spans="1:18" ht="14.25" customHeight="1" x14ac:dyDescent="0.2">
      <c r="K5602" s="17"/>
    </row>
    <row r="5603" spans="1:18" ht="12.75" x14ac:dyDescent="0.2">
      <c r="K5603" s="17"/>
    </row>
    <row r="5604" spans="1:18" ht="12.75" x14ac:dyDescent="0.2">
      <c r="K5604" s="17"/>
    </row>
    <row r="5605" spans="1:18" ht="12.75" x14ac:dyDescent="0.2">
      <c r="K5605" s="17"/>
    </row>
    <row r="5606" spans="1:18" ht="12.75" x14ac:dyDescent="0.2">
      <c r="K5606" s="17"/>
    </row>
    <row r="5607" spans="1:18" ht="12.75" x14ac:dyDescent="0.2">
      <c r="K5607" s="17"/>
      <c r="R5607" s="17"/>
    </row>
    <row r="5608" spans="1:18" ht="12.75" x14ac:dyDescent="0.2">
      <c r="K5608" s="17"/>
    </row>
    <row r="5609" spans="1:18" ht="12.75" x14ac:dyDescent="0.2">
      <c r="K5609" s="17"/>
    </row>
    <row r="5610" spans="1:18" ht="12.75" x14ac:dyDescent="0.2"/>
    <row r="5611" spans="1:18" s="17" customFormat="1" ht="12.75" x14ac:dyDescent="0.2">
      <c r="A5611"/>
      <c r="B5611"/>
      <c r="C5611"/>
      <c r="D5611"/>
      <c r="E5611"/>
      <c r="F5611"/>
      <c r="G5611"/>
      <c r="H5611"/>
      <c r="I5611"/>
      <c r="J5611"/>
    </row>
    <row r="5612" spans="1:18" s="92" customFormat="1" ht="15" x14ac:dyDescent="0.2">
      <c r="A5612"/>
      <c r="B5612"/>
      <c r="C5612"/>
      <c r="D5612"/>
      <c r="E5612"/>
      <c r="F5612"/>
      <c r="G5612"/>
      <c r="H5612"/>
      <c r="I5612"/>
      <c r="J5612"/>
      <c r="K5612" s="19"/>
    </row>
    <row r="5613" spans="1:18" ht="12.75" x14ac:dyDescent="0.2"/>
    <row r="5614" spans="1:18" ht="12" customHeight="1" x14ac:dyDescent="0.2"/>
    <row r="5615" spans="1:18" ht="12.75" x14ac:dyDescent="0.2"/>
    <row r="5616" spans="1:18" ht="12.75" x14ac:dyDescent="0.2"/>
    <row r="5617" spans="1:11" ht="12.75" x14ac:dyDescent="0.2">
      <c r="K5617" s="57"/>
    </row>
    <row r="5618" spans="1:11" ht="12.75" x14ac:dyDescent="0.2">
      <c r="K5618" s="58"/>
    </row>
    <row r="5619" spans="1:11" ht="12.75" x14ac:dyDescent="0.2">
      <c r="K5619" s="58"/>
    </row>
    <row r="5620" spans="1:11" ht="12.75" x14ac:dyDescent="0.2"/>
    <row r="5621" spans="1:11" ht="12.75" x14ac:dyDescent="0.2">
      <c r="K5621" s="61"/>
    </row>
    <row r="5622" spans="1:11" ht="12.75" x14ac:dyDescent="0.2">
      <c r="K5622" s="61"/>
    </row>
    <row r="5623" spans="1:11" s="59" customFormat="1" ht="15" x14ac:dyDescent="0.25">
      <c r="A5623"/>
      <c r="B5623"/>
      <c r="C5623"/>
      <c r="D5623"/>
      <c r="E5623"/>
      <c r="F5623"/>
      <c r="G5623"/>
      <c r="H5623"/>
      <c r="I5623"/>
      <c r="J5623"/>
    </row>
    <row r="5624" spans="1:11" s="59" customFormat="1" ht="15" x14ac:dyDescent="0.25">
      <c r="A5624"/>
      <c r="B5624"/>
      <c r="C5624"/>
      <c r="D5624"/>
      <c r="E5624"/>
      <c r="F5624"/>
      <c r="G5624"/>
      <c r="H5624"/>
      <c r="I5624"/>
      <c r="J5624"/>
    </row>
    <row r="5625" spans="1:11" ht="12.75" x14ac:dyDescent="0.2"/>
    <row r="5626" spans="1:11" ht="14.25" customHeight="1" x14ac:dyDescent="0.2">
      <c r="K5626" s="68"/>
    </row>
    <row r="5627" spans="1:11" ht="14.25" customHeight="1" x14ac:dyDescent="0.2">
      <c r="K5627" s="68"/>
    </row>
    <row r="5628" spans="1:11" ht="12.75" x14ac:dyDescent="0.2">
      <c r="K5628" s="68"/>
    </row>
    <row r="5629" spans="1:11" ht="14.25" customHeight="1" x14ac:dyDescent="0.2">
      <c r="K5629" s="17"/>
    </row>
    <row r="5630" spans="1:11" ht="12.75" x14ac:dyDescent="0.2">
      <c r="K5630" s="17"/>
    </row>
    <row r="5631" spans="1:11" ht="12.75" x14ac:dyDescent="0.2">
      <c r="K5631" s="17"/>
    </row>
    <row r="5632" spans="1:11" ht="12.75" x14ac:dyDescent="0.2">
      <c r="K5632" s="17"/>
    </row>
    <row r="5633" spans="1:18" ht="12.75" x14ac:dyDescent="0.2">
      <c r="K5633" s="17"/>
    </row>
    <row r="5634" spans="1:18" ht="12.75" x14ac:dyDescent="0.2">
      <c r="K5634" s="17"/>
      <c r="R5634" s="17"/>
    </row>
    <row r="5635" spans="1:18" ht="12.75" x14ac:dyDescent="0.2">
      <c r="K5635" s="17"/>
    </row>
    <row r="5636" spans="1:18" ht="12.75" x14ac:dyDescent="0.2">
      <c r="K5636" s="17"/>
    </row>
    <row r="5637" spans="1:18" ht="12.75" x14ac:dyDescent="0.2"/>
    <row r="5638" spans="1:18" s="17" customFormat="1" ht="12.75" x14ac:dyDescent="0.2">
      <c r="A5638"/>
      <c r="B5638"/>
      <c r="C5638"/>
      <c r="D5638"/>
      <c r="E5638"/>
      <c r="F5638"/>
      <c r="G5638"/>
      <c r="H5638"/>
      <c r="I5638"/>
      <c r="J5638"/>
    </row>
    <row r="5639" spans="1:18" s="92" customFormat="1" ht="15" x14ac:dyDescent="0.2">
      <c r="A5639"/>
      <c r="B5639"/>
      <c r="C5639"/>
      <c r="D5639"/>
      <c r="E5639"/>
      <c r="F5639"/>
      <c r="G5639"/>
      <c r="H5639"/>
      <c r="I5639"/>
      <c r="J5639"/>
      <c r="K5639" s="19"/>
    </row>
    <row r="5640" spans="1:18" ht="12.75" x14ac:dyDescent="0.2"/>
    <row r="5641" spans="1:18" ht="12" customHeight="1" x14ac:dyDescent="0.2"/>
    <row r="5642" spans="1:18" ht="12.75" x14ac:dyDescent="0.2"/>
    <row r="5643" spans="1:18" ht="12.75" x14ac:dyDescent="0.2"/>
    <row r="5644" spans="1:18" ht="12.75" x14ac:dyDescent="0.2">
      <c r="K5644" s="57"/>
    </row>
    <row r="5645" spans="1:18" ht="12.75" x14ac:dyDescent="0.2">
      <c r="K5645" s="58"/>
    </row>
    <row r="5646" spans="1:18" ht="12.75" x14ac:dyDescent="0.2">
      <c r="K5646" s="58"/>
    </row>
    <row r="5647" spans="1:18" ht="12.75" x14ac:dyDescent="0.2"/>
    <row r="5648" spans="1:18" ht="12.75" x14ac:dyDescent="0.2">
      <c r="K5648" s="61"/>
    </row>
    <row r="5649" spans="1:18" ht="12.75" x14ac:dyDescent="0.2">
      <c r="K5649" s="61"/>
    </row>
    <row r="5650" spans="1:18" s="59" customFormat="1" ht="15" x14ac:dyDescent="0.25">
      <c r="A5650"/>
      <c r="B5650"/>
      <c r="C5650"/>
      <c r="D5650"/>
      <c r="E5650"/>
      <c r="F5650"/>
      <c r="G5650"/>
      <c r="H5650"/>
      <c r="I5650"/>
      <c r="J5650"/>
    </row>
    <row r="5651" spans="1:18" s="59" customFormat="1" ht="15" x14ac:dyDescent="0.25">
      <c r="A5651"/>
      <c r="B5651"/>
      <c r="C5651"/>
      <c r="D5651"/>
      <c r="E5651"/>
      <c r="F5651"/>
      <c r="G5651"/>
      <c r="H5651"/>
      <c r="I5651"/>
      <c r="J5651"/>
    </row>
    <row r="5652" spans="1:18" ht="12.75" x14ac:dyDescent="0.2"/>
    <row r="5653" spans="1:18" ht="14.25" customHeight="1" x14ac:dyDescent="0.2">
      <c r="K5653" s="68"/>
    </row>
    <row r="5654" spans="1:18" ht="14.25" customHeight="1" x14ac:dyDescent="0.2">
      <c r="K5654" s="68"/>
    </row>
    <row r="5655" spans="1:18" ht="12.75" x14ac:dyDescent="0.2">
      <c r="K5655" s="68"/>
    </row>
    <row r="5656" spans="1:18" ht="14.25" customHeight="1" x14ac:dyDescent="0.2">
      <c r="K5656" s="17"/>
    </row>
    <row r="5657" spans="1:18" ht="12.75" x14ac:dyDescent="0.2">
      <c r="K5657" s="17"/>
    </row>
    <row r="5658" spans="1:18" ht="12.75" x14ac:dyDescent="0.2">
      <c r="K5658" s="17"/>
    </row>
    <row r="5659" spans="1:18" ht="12.75" x14ac:dyDescent="0.2">
      <c r="K5659" s="17"/>
    </row>
    <row r="5660" spans="1:18" ht="12.75" x14ac:dyDescent="0.2">
      <c r="K5660" s="17"/>
    </row>
    <row r="5661" spans="1:18" ht="12.75" x14ac:dyDescent="0.2">
      <c r="K5661" s="17"/>
      <c r="R5661" s="17"/>
    </row>
    <row r="5662" spans="1:18" ht="12.75" x14ac:dyDescent="0.2">
      <c r="K5662" s="17"/>
    </row>
    <row r="5663" spans="1:18" ht="12.75" x14ac:dyDescent="0.2">
      <c r="K5663" s="17"/>
    </row>
    <row r="5664" spans="1:18" ht="12.75" x14ac:dyDescent="0.2"/>
    <row r="5665" spans="1:11" s="17" customFormat="1" ht="12.75" x14ac:dyDescent="0.2">
      <c r="A5665"/>
      <c r="B5665"/>
      <c r="C5665"/>
      <c r="D5665"/>
      <c r="E5665"/>
      <c r="F5665"/>
      <c r="G5665"/>
      <c r="H5665"/>
      <c r="I5665"/>
      <c r="J5665"/>
    </row>
    <row r="5666" spans="1:11" s="92" customFormat="1" ht="15" x14ac:dyDescent="0.2">
      <c r="A5666"/>
      <c r="B5666"/>
      <c r="C5666"/>
      <c r="D5666"/>
      <c r="E5666"/>
      <c r="F5666"/>
      <c r="G5666"/>
      <c r="H5666"/>
      <c r="I5666"/>
      <c r="J5666"/>
      <c r="K5666" s="19"/>
    </row>
    <row r="5667" spans="1:11" ht="12.75" x14ac:dyDescent="0.2"/>
    <row r="5668" spans="1:11" ht="12" customHeight="1" x14ac:dyDescent="0.2"/>
    <row r="5669" spans="1:11" ht="12.75" x14ac:dyDescent="0.2"/>
    <row r="5670" spans="1:11" ht="12.75" x14ac:dyDescent="0.2"/>
    <row r="5671" spans="1:11" ht="12.75" x14ac:dyDescent="0.2">
      <c r="K5671" s="57"/>
    </row>
    <row r="5672" spans="1:11" ht="12.75" x14ac:dyDescent="0.2">
      <c r="K5672" s="58"/>
    </row>
    <row r="5673" spans="1:11" ht="12.75" x14ac:dyDescent="0.2">
      <c r="K5673" s="58"/>
    </row>
    <row r="5674" spans="1:11" ht="12.75" x14ac:dyDescent="0.2"/>
    <row r="5675" spans="1:11" ht="12.75" x14ac:dyDescent="0.2">
      <c r="K5675" s="61"/>
    </row>
    <row r="5676" spans="1:11" ht="12.75" x14ac:dyDescent="0.2">
      <c r="K5676" s="61"/>
    </row>
    <row r="5677" spans="1:11" s="59" customFormat="1" ht="15" x14ac:dyDescent="0.25">
      <c r="A5677"/>
      <c r="B5677"/>
      <c r="C5677"/>
      <c r="D5677"/>
      <c r="E5677"/>
      <c r="F5677"/>
      <c r="G5677"/>
      <c r="H5677"/>
      <c r="I5677"/>
      <c r="J5677"/>
    </row>
    <row r="5678" spans="1:11" s="59" customFormat="1" ht="15" x14ac:dyDescent="0.25">
      <c r="A5678"/>
      <c r="B5678"/>
      <c r="C5678"/>
      <c r="D5678"/>
      <c r="E5678"/>
      <c r="F5678"/>
      <c r="G5678"/>
      <c r="H5678"/>
      <c r="I5678"/>
      <c r="J5678"/>
    </row>
    <row r="5679" spans="1:11" ht="12.75" x14ac:dyDescent="0.2"/>
    <row r="5680" spans="1:11" ht="14.25" customHeight="1" x14ac:dyDescent="0.2">
      <c r="K5680" s="68"/>
    </row>
    <row r="5681" spans="1:18" ht="14.25" customHeight="1" x14ac:dyDescent="0.2">
      <c r="K5681" s="68"/>
    </row>
    <row r="5682" spans="1:18" ht="12.75" x14ac:dyDescent="0.2">
      <c r="K5682" s="68"/>
    </row>
    <row r="5683" spans="1:18" ht="14.25" customHeight="1" x14ac:dyDescent="0.2">
      <c r="K5683" s="17"/>
    </row>
    <row r="5684" spans="1:18" ht="12.75" x14ac:dyDescent="0.2">
      <c r="K5684" s="17"/>
    </row>
    <row r="5685" spans="1:18" ht="12.75" x14ac:dyDescent="0.2">
      <c r="K5685" s="17"/>
    </row>
    <row r="5686" spans="1:18" ht="12.75" x14ac:dyDescent="0.2">
      <c r="K5686" s="17"/>
    </row>
    <row r="5687" spans="1:18" ht="12.75" x14ac:dyDescent="0.2">
      <c r="K5687" s="17"/>
    </row>
    <row r="5688" spans="1:18" ht="12.75" x14ac:dyDescent="0.2">
      <c r="K5688" s="17"/>
      <c r="R5688" s="17"/>
    </row>
    <row r="5689" spans="1:18" ht="12.75" x14ac:dyDescent="0.2">
      <c r="K5689" s="17"/>
    </row>
    <row r="5690" spans="1:18" ht="12.75" x14ac:dyDescent="0.2">
      <c r="K5690" s="17"/>
    </row>
    <row r="5691" spans="1:18" ht="12.75" x14ac:dyDescent="0.2"/>
    <row r="5692" spans="1:18" s="17" customFormat="1" ht="12.75" x14ac:dyDescent="0.2">
      <c r="A5692"/>
      <c r="B5692"/>
      <c r="C5692"/>
      <c r="D5692"/>
      <c r="E5692"/>
      <c r="F5692"/>
      <c r="G5692"/>
      <c r="H5692"/>
      <c r="I5692"/>
      <c r="J5692"/>
    </row>
    <row r="5693" spans="1:18" s="92" customFormat="1" ht="15" x14ac:dyDescent="0.2">
      <c r="A5693"/>
      <c r="B5693"/>
      <c r="C5693"/>
      <c r="D5693"/>
      <c r="E5693"/>
      <c r="F5693"/>
      <c r="G5693"/>
      <c r="H5693"/>
      <c r="I5693"/>
      <c r="J5693"/>
      <c r="K5693" s="19"/>
    </row>
    <row r="5694" spans="1:18" ht="12.75" x14ac:dyDescent="0.2"/>
    <row r="5695" spans="1:18" ht="12" customHeight="1" x14ac:dyDescent="0.2"/>
    <row r="5696" spans="1:18" ht="12.75" x14ac:dyDescent="0.2"/>
    <row r="5697" spans="1:11" ht="12.75" x14ac:dyDescent="0.2"/>
    <row r="5698" spans="1:11" ht="12.75" x14ac:dyDescent="0.2">
      <c r="K5698" s="57"/>
    </row>
    <row r="5699" spans="1:11" ht="12.75" x14ac:dyDescent="0.2">
      <c r="K5699" s="58"/>
    </row>
    <row r="5700" spans="1:11" ht="12.75" x14ac:dyDescent="0.2">
      <c r="K5700" s="58"/>
    </row>
    <row r="5701" spans="1:11" ht="12.75" x14ac:dyDescent="0.2"/>
    <row r="5702" spans="1:11" ht="12.75" x14ac:dyDescent="0.2">
      <c r="K5702" s="61"/>
    </row>
    <row r="5703" spans="1:11" ht="12.75" x14ac:dyDescent="0.2">
      <c r="K5703" s="61"/>
    </row>
    <row r="5704" spans="1:11" s="59" customFormat="1" ht="15" x14ac:dyDescent="0.25">
      <c r="A5704"/>
      <c r="B5704"/>
      <c r="C5704"/>
      <c r="D5704"/>
      <c r="E5704"/>
      <c r="F5704"/>
      <c r="G5704"/>
      <c r="H5704"/>
      <c r="I5704"/>
      <c r="J5704"/>
    </row>
    <row r="5705" spans="1:11" s="59" customFormat="1" ht="15" x14ac:dyDescent="0.25">
      <c r="A5705"/>
      <c r="B5705"/>
      <c r="C5705"/>
      <c r="D5705"/>
      <c r="E5705"/>
      <c r="F5705"/>
      <c r="G5705"/>
      <c r="H5705"/>
      <c r="I5705"/>
      <c r="J5705"/>
    </row>
    <row r="5706" spans="1:11" ht="12.75" x14ac:dyDescent="0.2"/>
    <row r="5707" spans="1:11" ht="14.25" customHeight="1" x14ac:dyDescent="0.2">
      <c r="K5707" s="68"/>
    </row>
    <row r="5708" spans="1:11" ht="14.25" customHeight="1" x14ac:dyDescent="0.2">
      <c r="K5708" s="68"/>
    </row>
    <row r="5709" spans="1:11" ht="12.75" x14ac:dyDescent="0.2">
      <c r="K5709" s="68"/>
    </row>
    <row r="5710" spans="1:11" ht="14.25" customHeight="1" x14ac:dyDescent="0.2">
      <c r="K5710" s="17"/>
    </row>
    <row r="5711" spans="1:11" ht="12.75" x14ac:dyDescent="0.2">
      <c r="K5711" s="17"/>
    </row>
    <row r="5712" spans="1:11" ht="12.75" x14ac:dyDescent="0.2">
      <c r="K5712" s="17"/>
    </row>
    <row r="5713" spans="1:18" ht="12.75" x14ac:dyDescent="0.2">
      <c r="K5713" s="17"/>
    </row>
    <row r="5714" spans="1:18" ht="12.75" x14ac:dyDescent="0.2">
      <c r="K5714" s="17"/>
    </row>
    <row r="5715" spans="1:18" ht="12.75" x14ac:dyDescent="0.2">
      <c r="K5715" s="17"/>
      <c r="R5715" s="17"/>
    </row>
    <row r="5716" spans="1:18" ht="12.75" x14ac:dyDescent="0.2">
      <c r="K5716" s="17"/>
    </row>
    <row r="5717" spans="1:18" ht="12.75" x14ac:dyDescent="0.2">
      <c r="K5717" s="17"/>
    </row>
    <row r="5718" spans="1:18" ht="12.75" x14ac:dyDescent="0.2"/>
    <row r="5719" spans="1:18" s="17" customFormat="1" ht="12.75" x14ac:dyDescent="0.2">
      <c r="A5719"/>
      <c r="B5719"/>
      <c r="C5719"/>
      <c r="D5719"/>
      <c r="E5719"/>
      <c r="F5719"/>
      <c r="G5719"/>
      <c r="H5719"/>
      <c r="I5719"/>
      <c r="J5719"/>
    </row>
    <row r="5720" spans="1:18" s="92" customFormat="1" ht="15" x14ac:dyDescent="0.2">
      <c r="A5720"/>
      <c r="B5720"/>
      <c r="C5720"/>
      <c r="D5720"/>
      <c r="E5720"/>
      <c r="F5720"/>
      <c r="G5720"/>
      <c r="H5720"/>
      <c r="I5720"/>
      <c r="J5720"/>
      <c r="K5720" s="19"/>
    </row>
    <row r="5721" spans="1:18" ht="12.75" x14ac:dyDescent="0.2"/>
    <row r="5722" spans="1:18" ht="12" customHeight="1" x14ac:dyDescent="0.2"/>
    <row r="5723" spans="1:18" ht="12.75" x14ac:dyDescent="0.2"/>
    <row r="5724" spans="1:18" ht="12.75" x14ac:dyDescent="0.2"/>
    <row r="5725" spans="1:18" ht="12.75" x14ac:dyDescent="0.2">
      <c r="K5725" s="57"/>
    </row>
    <row r="5726" spans="1:18" ht="12.75" x14ac:dyDescent="0.2">
      <c r="K5726" s="58"/>
    </row>
    <row r="5727" spans="1:18" ht="12.75" x14ac:dyDescent="0.2">
      <c r="K5727" s="58"/>
    </row>
    <row r="5728" spans="1:18" ht="12.75" x14ac:dyDescent="0.2"/>
    <row r="5729" spans="1:18" ht="12.75" x14ac:dyDescent="0.2">
      <c r="K5729" s="61"/>
    </row>
    <row r="5730" spans="1:18" ht="12.75" x14ac:dyDescent="0.2">
      <c r="K5730" s="61"/>
    </row>
    <row r="5731" spans="1:18" s="59" customFormat="1" ht="15" x14ac:dyDescent="0.25">
      <c r="A5731"/>
      <c r="B5731"/>
      <c r="C5731"/>
      <c r="D5731"/>
      <c r="E5731"/>
      <c r="F5731"/>
      <c r="G5731"/>
      <c r="H5731"/>
      <c r="I5731"/>
      <c r="J5731"/>
    </row>
    <row r="5732" spans="1:18" s="59" customFormat="1" ht="15" x14ac:dyDescent="0.25">
      <c r="A5732"/>
      <c r="B5732"/>
      <c r="C5732"/>
      <c r="D5732"/>
      <c r="E5732"/>
      <c r="F5732"/>
      <c r="G5732"/>
      <c r="H5732"/>
      <c r="I5732"/>
      <c r="J5732"/>
    </row>
    <row r="5733" spans="1:18" ht="12.75" x14ac:dyDescent="0.2"/>
    <row r="5734" spans="1:18" ht="14.25" customHeight="1" x14ac:dyDescent="0.2">
      <c r="K5734" s="68"/>
    </row>
    <row r="5735" spans="1:18" ht="14.25" customHeight="1" x14ac:dyDescent="0.2">
      <c r="K5735" s="68"/>
    </row>
    <row r="5736" spans="1:18" ht="12.75" x14ac:dyDescent="0.2">
      <c r="K5736" s="68"/>
    </row>
    <row r="5737" spans="1:18" ht="14.25" customHeight="1" x14ac:dyDescent="0.2">
      <c r="K5737" s="17"/>
    </row>
    <row r="5738" spans="1:18" ht="12.75" x14ac:dyDescent="0.2">
      <c r="K5738" s="17"/>
    </row>
    <row r="5739" spans="1:18" ht="12.75" x14ac:dyDescent="0.2">
      <c r="K5739" s="17"/>
    </row>
    <row r="5740" spans="1:18" ht="12.75" x14ac:dyDescent="0.2">
      <c r="K5740" s="17"/>
    </row>
    <row r="5741" spans="1:18" ht="12.75" x14ac:dyDescent="0.2">
      <c r="K5741" s="17"/>
    </row>
    <row r="5742" spans="1:18" ht="12.75" x14ac:dyDescent="0.2">
      <c r="K5742" s="17"/>
      <c r="R5742" s="17"/>
    </row>
    <row r="5743" spans="1:18" ht="12.75" x14ac:dyDescent="0.2">
      <c r="K5743" s="17"/>
    </row>
    <row r="5744" spans="1:18" ht="12.75" x14ac:dyDescent="0.2">
      <c r="K5744" s="17"/>
    </row>
    <row r="5745" spans="1:11" ht="12.75" x14ac:dyDescent="0.2"/>
    <row r="5746" spans="1:11" s="17" customFormat="1" ht="12.75" x14ac:dyDescent="0.2">
      <c r="A5746"/>
      <c r="B5746"/>
      <c r="C5746"/>
      <c r="D5746"/>
      <c r="E5746"/>
      <c r="F5746"/>
      <c r="G5746"/>
      <c r="H5746"/>
      <c r="I5746"/>
      <c r="J5746"/>
    </row>
    <row r="5747" spans="1:11" s="92" customFormat="1" ht="15" x14ac:dyDescent="0.2">
      <c r="A5747"/>
      <c r="B5747"/>
      <c r="C5747"/>
      <c r="D5747"/>
      <c r="E5747"/>
      <c r="F5747"/>
      <c r="G5747"/>
      <c r="H5747"/>
      <c r="I5747"/>
      <c r="J5747"/>
      <c r="K5747" s="19"/>
    </row>
    <row r="5748" spans="1:11" ht="12.75" x14ac:dyDescent="0.2"/>
    <row r="5749" spans="1:11" ht="12" customHeight="1" x14ac:dyDescent="0.2"/>
    <row r="5750" spans="1:11" ht="12.75" x14ac:dyDescent="0.2"/>
    <row r="5751" spans="1:11" ht="12.75" x14ac:dyDescent="0.2"/>
    <row r="5752" spans="1:11" ht="12.75" x14ac:dyDescent="0.2">
      <c r="K5752" s="57"/>
    </row>
    <row r="5753" spans="1:11" ht="12.75" x14ac:dyDescent="0.2">
      <c r="K5753" s="58"/>
    </row>
    <row r="5754" spans="1:11" ht="12.75" x14ac:dyDescent="0.2">
      <c r="K5754" s="58"/>
    </row>
    <row r="5755" spans="1:11" ht="12.75" x14ac:dyDescent="0.2"/>
    <row r="5756" spans="1:11" ht="12.75" x14ac:dyDescent="0.2">
      <c r="K5756" s="61"/>
    </row>
    <row r="5757" spans="1:11" ht="12.75" x14ac:dyDescent="0.2">
      <c r="K5757" s="61"/>
    </row>
    <row r="5758" spans="1:11" s="59" customFormat="1" ht="15" x14ac:dyDescent="0.25">
      <c r="A5758"/>
      <c r="B5758"/>
      <c r="C5758"/>
      <c r="D5758"/>
      <c r="E5758"/>
      <c r="F5758"/>
      <c r="G5758"/>
      <c r="H5758"/>
      <c r="I5758"/>
      <c r="J5758"/>
    </row>
    <row r="5759" spans="1:11" s="59" customFormat="1" ht="15" x14ac:dyDescent="0.25">
      <c r="A5759"/>
      <c r="B5759"/>
      <c r="C5759"/>
      <c r="D5759"/>
      <c r="E5759"/>
      <c r="F5759"/>
      <c r="G5759"/>
      <c r="H5759"/>
      <c r="I5759"/>
      <c r="J5759"/>
    </row>
    <row r="5760" spans="1:11" ht="12.75" x14ac:dyDescent="0.2"/>
    <row r="5761" spans="1:18" ht="14.25" customHeight="1" x14ac:dyDescent="0.2">
      <c r="K5761" s="68"/>
    </row>
    <row r="5762" spans="1:18" ht="14.25" customHeight="1" x14ac:dyDescent="0.2">
      <c r="K5762" s="68"/>
    </row>
    <row r="5763" spans="1:18" ht="12.75" x14ac:dyDescent="0.2">
      <c r="K5763" s="68"/>
    </row>
    <row r="5764" spans="1:18" ht="14.25" customHeight="1" x14ac:dyDescent="0.2">
      <c r="K5764" s="17"/>
    </row>
    <row r="5765" spans="1:18" ht="12.75" x14ac:dyDescent="0.2">
      <c r="K5765" s="17"/>
    </row>
    <row r="5766" spans="1:18" ht="12.75" x14ac:dyDescent="0.2">
      <c r="K5766" s="17"/>
    </row>
    <row r="5767" spans="1:18" ht="12.75" x14ac:dyDescent="0.2">
      <c r="K5767" s="17"/>
    </row>
    <row r="5768" spans="1:18" ht="12.75" x14ac:dyDescent="0.2">
      <c r="K5768" s="17"/>
    </row>
    <row r="5769" spans="1:18" ht="12.75" x14ac:dyDescent="0.2">
      <c r="K5769" s="17"/>
      <c r="R5769" s="17"/>
    </row>
    <row r="5770" spans="1:18" ht="12.75" x14ac:dyDescent="0.2">
      <c r="K5770" s="17"/>
    </row>
    <row r="5771" spans="1:18" ht="12.75" x14ac:dyDescent="0.2">
      <c r="K5771" s="17"/>
    </row>
    <row r="5772" spans="1:18" ht="12.75" x14ac:dyDescent="0.2"/>
    <row r="5773" spans="1:18" s="17" customFormat="1" ht="12.75" x14ac:dyDescent="0.2">
      <c r="A5773"/>
      <c r="B5773"/>
      <c r="C5773"/>
      <c r="D5773"/>
      <c r="E5773"/>
      <c r="F5773"/>
      <c r="G5773"/>
      <c r="H5773"/>
      <c r="I5773"/>
      <c r="J5773"/>
    </row>
    <row r="5774" spans="1:18" s="92" customFormat="1" ht="15" x14ac:dyDescent="0.2">
      <c r="A5774"/>
      <c r="B5774"/>
      <c r="C5774"/>
      <c r="D5774"/>
      <c r="E5774"/>
      <c r="F5774"/>
      <c r="G5774"/>
      <c r="H5774"/>
      <c r="I5774"/>
      <c r="J5774"/>
      <c r="K5774" s="19"/>
    </row>
    <row r="5775" spans="1:18" ht="12.75" x14ac:dyDescent="0.2"/>
    <row r="5776" spans="1:18" ht="12" customHeight="1" x14ac:dyDescent="0.2"/>
    <row r="5777" spans="1:11" ht="12.75" x14ac:dyDescent="0.2"/>
    <row r="5778" spans="1:11" ht="12.75" x14ac:dyDescent="0.2"/>
    <row r="5779" spans="1:11" ht="12.75" x14ac:dyDescent="0.2">
      <c r="K5779" s="57"/>
    </row>
    <row r="5780" spans="1:11" ht="12.75" x14ac:dyDescent="0.2">
      <c r="K5780" s="58"/>
    </row>
    <row r="5781" spans="1:11" ht="12.75" x14ac:dyDescent="0.2">
      <c r="K5781" s="58"/>
    </row>
    <row r="5782" spans="1:11" ht="12.75" x14ac:dyDescent="0.2"/>
    <row r="5783" spans="1:11" ht="12.75" x14ac:dyDescent="0.2">
      <c r="K5783" s="61"/>
    </row>
    <row r="5784" spans="1:11" ht="12.75" x14ac:dyDescent="0.2">
      <c r="K5784" s="61"/>
    </row>
    <row r="5785" spans="1:11" s="59" customFormat="1" ht="15" x14ac:dyDescent="0.25">
      <c r="A5785"/>
      <c r="B5785"/>
      <c r="C5785"/>
      <c r="D5785"/>
      <c r="E5785"/>
      <c r="F5785"/>
      <c r="G5785"/>
      <c r="H5785"/>
      <c r="I5785"/>
      <c r="J5785"/>
    </row>
    <row r="5786" spans="1:11" s="59" customFormat="1" ht="15" x14ac:dyDescent="0.25">
      <c r="A5786"/>
      <c r="B5786"/>
      <c r="C5786"/>
      <c r="D5786"/>
      <c r="E5786"/>
      <c r="F5786"/>
      <c r="G5786"/>
      <c r="H5786"/>
      <c r="I5786"/>
      <c r="J5786"/>
    </row>
    <row r="5787" spans="1:11" ht="12.75" x14ac:dyDescent="0.2"/>
    <row r="5788" spans="1:11" ht="14.25" customHeight="1" x14ac:dyDescent="0.2">
      <c r="K5788" s="68"/>
    </row>
    <row r="5789" spans="1:11" ht="14.25" customHeight="1" x14ac:dyDescent="0.2">
      <c r="K5789" s="68"/>
    </row>
    <row r="5790" spans="1:11" ht="12.75" x14ac:dyDescent="0.2">
      <c r="K5790" s="68"/>
    </row>
    <row r="5791" spans="1:11" ht="14.25" customHeight="1" x14ac:dyDescent="0.2">
      <c r="K5791" s="17"/>
    </row>
    <row r="5792" spans="1:11" ht="12.75" x14ac:dyDescent="0.2">
      <c r="K5792" s="17"/>
    </row>
    <row r="5793" spans="1:18" ht="12.75" x14ac:dyDescent="0.2">
      <c r="K5793" s="17"/>
    </row>
    <row r="5794" spans="1:18" ht="12.75" x14ac:dyDescent="0.2">
      <c r="K5794" s="17"/>
    </row>
    <row r="5795" spans="1:18" ht="12.75" x14ac:dyDescent="0.2">
      <c r="K5795" s="17"/>
    </row>
    <row r="5796" spans="1:18" ht="12.75" x14ac:dyDescent="0.2">
      <c r="K5796" s="17"/>
      <c r="R5796" s="17"/>
    </row>
    <row r="5797" spans="1:18" ht="12.75" x14ac:dyDescent="0.2">
      <c r="K5797" s="17"/>
    </row>
    <row r="5798" spans="1:18" ht="12.75" x14ac:dyDescent="0.2">
      <c r="K5798" s="17"/>
    </row>
    <row r="5799" spans="1:18" ht="12.75" x14ac:dyDescent="0.2"/>
    <row r="5800" spans="1:18" s="17" customFormat="1" ht="12.75" x14ac:dyDescent="0.2">
      <c r="A5800"/>
      <c r="B5800"/>
      <c r="C5800"/>
      <c r="D5800"/>
      <c r="E5800"/>
      <c r="F5800"/>
      <c r="G5800"/>
      <c r="H5800"/>
      <c r="I5800"/>
      <c r="J5800"/>
    </row>
    <row r="5801" spans="1:18" s="92" customFormat="1" ht="15" x14ac:dyDescent="0.2">
      <c r="A5801"/>
      <c r="B5801"/>
      <c r="C5801"/>
      <c r="D5801"/>
      <c r="E5801"/>
      <c r="F5801"/>
      <c r="G5801"/>
      <c r="H5801"/>
      <c r="I5801"/>
      <c r="J5801"/>
      <c r="K5801" s="19"/>
    </row>
    <row r="5802" spans="1:18" ht="12.75" x14ac:dyDescent="0.2"/>
    <row r="5803" spans="1:18" ht="12" customHeight="1" x14ac:dyDescent="0.2"/>
    <row r="5804" spans="1:18" ht="12.75" x14ac:dyDescent="0.2"/>
    <row r="5805" spans="1:18" ht="12.75" x14ac:dyDescent="0.2"/>
    <row r="5806" spans="1:18" ht="12.75" x14ac:dyDescent="0.2">
      <c r="K5806" s="57"/>
    </row>
    <row r="5807" spans="1:18" ht="12.75" x14ac:dyDescent="0.2">
      <c r="K5807" s="58"/>
    </row>
    <row r="5808" spans="1:18" ht="12.75" x14ac:dyDescent="0.2">
      <c r="K5808" s="58"/>
    </row>
    <row r="5809" spans="1:18" ht="12.75" x14ac:dyDescent="0.2"/>
    <row r="5810" spans="1:18" ht="12.75" x14ac:dyDescent="0.2">
      <c r="K5810" s="61"/>
    </row>
    <row r="5811" spans="1:18" ht="12.75" x14ac:dyDescent="0.2">
      <c r="K5811" s="61"/>
    </row>
    <row r="5812" spans="1:18" s="59" customFormat="1" ht="15" x14ac:dyDescent="0.25">
      <c r="A5812"/>
      <c r="B5812"/>
      <c r="C5812"/>
      <c r="D5812"/>
      <c r="E5812"/>
      <c r="F5812"/>
      <c r="G5812"/>
      <c r="H5812"/>
      <c r="I5812"/>
      <c r="J5812"/>
    </row>
    <row r="5813" spans="1:18" s="59" customFormat="1" ht="15" x14ac:dyDescent="0.25">
      <c r="A5813"/>
      <c r="B5813"/>
      <c r="C5813"/>
      <c r="D5813"/>
      <c r="E5813"/>
      <c r="F5813"/>
      <c r="G5813"/>
      <c r="H5813"/>
      <c r="I5813"/>
      <c r="J5813"/>
    </row>
    <row r="5814" spans="1:18" ht="12.75" x14ac:dyDescent="0.2"/>
    <row r="5815" spans="1:18" ht="14.25" customHeight="1" x14ac:dyDescent="0.2">
      <c r="K5815" s="68"/>
    </row>
    <row r="5816" spans="1:18" ht="14.25" customHeight="1" x14ac:dyDescent="0.2">
      <c r="K5816" s="68"/>
    </row>
    <row r="5817" spans="1:18" ht="12.75" x14ac:dyDescent="0.2">
      <c r="K5817" s="68"/>
    </row>
    <row r="5818" spans="1:18" ht="14.25" customHeight="1" x14ac:dyDescent="0.2">
      <c r="K5818" s="17"/>
    </row>
    <row r="5819" spans="1:18" ht="12.75" x14ac:dyDescent="0.2">
      <c r="K5819" s="17"/>
    </row>
    <row r="5820" spans="1:18" ht="12.75" x14ac:dyDescent="0.2">
      <c r="K5820" s="17"/>
    </row>
    <row r="5821" spans="1:18" ht="12.75" x14ac:dyDescent="0.2">
      <c r="K5821" s="17"/>
    </row>
    <row r="5822" spans="1:18" ht="12.75" x14ac:dyDescent="0.2">
      <c r="K5822" s="17"/>
    </row>
    <row r="5823" spans="1:18" ht="12.75" x14ac:dyDescent="0.2">
      <c r="K5823" s="17"/>
      <c r="R5823" s="17"/>
    </row>
    <row r="5824" spans="1:18" ht="12.75" x14ac:dyDescent="0.2">
      <c r="K5824" s="17"/>
    </row>
    <row r="5825" spans="1:11" ht="12.75" x14ac:dyDescent="0.2">
      <c r="K5825" s="17"/>
    </row>
    <row r="5826" spans="1:11" ht="12.75" x14ac:dyDescent="0.2"/>
    <row r="5827" spans="1:11" s="17" customFormat="1" ht="12.75" x14ac:dyDescent="0.2">
      <c r="A5827"/>
      <c r="B5827"/>
      <c r="C5827"/>
      <c r="D5827"/>
      <c r="E5827"/>
      <c r="F5827"/>
      <c r="G5827"/>
      <c r="H5827"/>
      <c r="I5827"/>
      <c r="J5827"/>
    </row>
    <row r="5828" spans="1:11" s="92" customFormat="1" ht="15" x14ac:dyDescent="0.2">
      <c r="A5828"/>
      <c r="B5828"/>
      <c r="C5828"/>
      <c r="D5828"/>
      <c r="E5828"/>
      <c r="F5828"/>
      <c r="G5828"/>
      <c r="H5828"/>
      <c r="I5828"/>
      <c r="J5828"/>
      <c r="K5828" s="19"/>
    </row>
    <row r="5829" spans="1:11" ht="12.75" x14ac:dyDescent="0.2"/>
    <row r="5830" spans="1:11" ht="12" customHeight="1" x14ac:dyDescent="0.2"/>
    <row r="5831" spans="1:11" ht="12.75" x14ac:dyDescent="0.2"/>
    <row r="5832" spans="1:11" ht="12.75" x14ac:dyDescent="0.2"/>
    <row r="5833" spans="1:11" ht="12.75" x14ac:dyDescent="0.2">
      <c r="K5833" s="57"/>
    </row>
    <row r="5834" spans="1:11" ht="12.75" x14ac:dyDescent="0.2">
      <c r="K5834" s="58"/>
    </row>
    <row r="5835" spans="1:11" ht="12.75" x14ac:dyDescent="0.2">
      <c r="K5835" s="58"/>
    </row>
    <row r="5836" spans="1:11" ht="12.75" x14ac:dyDescent="0.2"/>
    <row r="5837" spans="1:11" ht="12.75" x14ac:dyDescent="0.2">
      <c r="K5837" s="61"/>
    </row>
    <row r="5838" spans="1:11" ht="12.75" x14ac:dyDescent="0.2">
      <c r="K5838" s="61"/>
    </row>
    <row r="5839" spans="1:11" s="59" customFormat="1" ht="15" x14ac:dyDescent="0.25">
      <c r="A5839"/>
      <c r="B5839"/>
      <c r="C5839"/>
      <c r="D5839"/>
      <c r="E5839"/>
      <c r="F5839"/>
      <c r="G5839"/>
      <c r="H5839"/>
      <c r="I5839"/>
      <c r="J5839"/>
    </row>
    <row r="5840" spans="1:11" s="59" customFormat="1" ht="15" x14ac:dyDescent="0.25">
      <c r="A5840"/>
      <c r="B5840"/>
      <c r="C5840"/>
      <c r="D5840"/>
      <c r="E5840"/>
      <c r="F5840"/>
      <c r="G5840"/>
      <c r="H5840"/>
      <c r="I5840"/>
      <c r="J5840"/>
    </row>
    <row r="5841" spans="1:18" ht="12.75" x14ac:dyDescent="0.2"/>
    <row r="5842" spans="1:18" ht="14.25" customHeight="1" x14ac:dyDescent="0.2">
      <c r="K5842" s="68"/>
    </row>
    <row r="5843" spans="1:18" ht="14.25" customHeight="1" x14ac:dyDescent="0.2">
      <c r="K5843" s="68"/>
    </row>
    <row r="5844" spans="1:18" ht="12.75" x14ac:dyDescent="0.2">
      <c r="K5844" s="68"/>
    </row>
    <row r="5845" spans="1:18" ht="14.25" customHeight="1" x14ac:dyDescent="0.2">
      <c r="K5845" s="17"/>
    </row>
    <row r="5846" spans="1:18" ht="12.75" x14ac:dyDescent="0.2">
      <c r="K5846" s="17"/>
    </row>
    <row r="5847" spans="1:18" ht="12.75" x14ac:dyDescent="0.2">
      <c r="K5847" s="17"/>
    </row>
    <row r="5848" spans="1:18" ht="12.75" x14ac:dyDescent="0.2">
      <c r="K5848" s="17"/>
    </row>
    <row r="5849" spans="1:18" ht="12.75" x14ac:dyDescent="0.2">
      <c r="K5849" s="17"/>
    </row>
    <row r="5850" spans="1:18" ht="12.75" x14ac:dyDescent="0.2">
      <c r="K5850" s="17"/>
      <c r="R5850" s="17"/>
    </row>
    <row r="5851" spans="1:18" ht="12.75" x14ac:dyDescent="0.2">
      <c r="K5851" s="17"/>
    </row>
    <row r="5852" spans="1:18" ht="12.75" x14ac:dyDescent="0.2">
      <c r="K5852" s="17"/>
    </row>
    <row r="5853" spans="1:18" ht="12.75" x14ac:dyDescent="0.2"/>
    <row r="5854" spans="1:18" s="17" customFormat="1" ht="12.75" x14ac:dyDescent="0.2">
      <c r="A5854"/>
      <c r="B5854"/>
      <c r="C5854"/>
      <c r="D5854"/>
      <c r="E5854"/>
      <c r="F5854"/>
      <c r="G5854"/>
      <c r="H5854"/>
      <c r="I5854"/>
      <c r="J5854"/>
    </row>
    <row r="5855" spans="1:18" s="92" customFormat="1" ht="15" x14ac:dyDescent="0.2">
      <c r="A5855"/>
      <c r="B5855"/>
      <c r="C5855"/>
      <c r="D5855"/>
      <c r="E5855"/>
      <c r="F5855"/>
      <c r="G5855"/>
      <c r="H5855"/>
      <c r="I5855"/>
      <c r="J5855"/>
      <c r="K5855" s="19"/>
    </row>
    <row r="5856" spans="1:18" ht="12.75" x14ac:dyDescent="0.2"/>
    <row r="5857" spans="1:11" ht="12" customHeight="1" x14ac:dyDescent="0.2"/>
    <row r="5858" spans="1:11" ht="12.75" x14ac:dyDescent="0.2"/>
    <row r="5859" spans="1:11" ht="12.75" x14ac:dyDescent="0.2"/>
    <row r="5860" spans="1:11" ht="12.75" x14ac:dyDescent="0.2">
      <c r="K5860" s="57"/>
    </row>
    <row r="5861" spans="1:11" ht="12.75" x14ac:dyDescent="0.2">
      <c r="K5861" s="58"/>
    </row>
    <row r="5862" spans="1:11" ht="12.75" x14ac:dyDescent="0.2">
      <c r="K5862" s="58"/>
    </row>
    <row r="5863" spans="1:11" ht="12.75" x14ac:dyDescent="0.2"/>
    <row r="5864" spans="1:11" ht="12.75" x14ac:dyDescent="0.2">
      <c r="K5864" s="61"/>
    </row>
    <row r="5865" spans="1:11" ht="12.75" x14ac:dyDescent="0.2">
      <c r="K5865" s="61"/>
    </row>
    <row r="5866" spans="1:11" s="59" customFormat="1" ht="15" x14ac:dyDescent="0.25">
      <c r="A5866"/>
      <c r="B5866"/>
      <c r="C5866"/>
      <c r="D5866"/>
      <c r="E5866"/>
      <c r="F5866"/>
      <c r="G5866"/>
      <c r="H5866"/>
      <c r="I5866"/>
      <c r="J5866"/>
    </row>
    <row r="5867" spans="1:11" s="59" customFormat="1" ht="15" x14ac:dyDescent="0.25">
      <c r="A5867"/>
      <c r="B5867"/>
      <c r="C5867"/>
      <c r="D5867"/>
      <c r="E5867"/>
      <c r="F5867"/>
      <c r="G5867"/>
      <c r="H5867"/>
      <c r="I5867"/>
      <c r="J5867"/>
    </row>
    <row r="5868" spans="1:11" ht="12.75" x14ac:dyDescent="0.2"/>
    <row r="5869" spans="1:11" ht="14.25" customHeight="1" x14ac:dyDescent="0.2">
      <c r="K5869" s="68"/>
    </row>
    <row r="5870" spans="1:11" ht="14.25" customHeight="1" x14ac:dyDescent="0.2">
      <c r="K5870" s="68"/>
    </row>
    <row r="5871" spans="1:11" ht="12.75" x14ac:dyDescent="0.2">
      <c r="K5871" s="68"/>
    </row>
    <row r="5872" spans="1:11" ht="14.25" customHeight="1" x14ac:dyDescent="0.2">
      <c r="K5872" s="17"/>
    </row>
    <row r="5873" spans="1:18" ht="12.75" x14ac:dyDescent="0.2">
      <c r="K5873" s="17"/>
    </row>
    <row r="5874" spans="1:18" ht="12.75" x14ac:dyDescent="0.2">
      <c r="K5874" s="17"/>
    </row>
    <row r="5875" spans="1:18" ht="12.75" x14ac:dyDescent="0.2">
      <c r="K5875" s="17"/>
    </row>
    <row r="5876" spans="1:18" ht="12.75" x14ac:dyDescent="0.2">
      <c r="K5876" s="17"/>
    </row>
    <row r="5877" spans="1:18" ht="12.75" x14ac:dyDescent="0.2">
      <c r="K5877" s="17"/>
      <c r="R5877" s="17"/>
    </row>
    <row r="5878" spans="1:18" ht="12.75" x14ac:dyDescent="0.2">
      <c r="K5878" s="17"/>
    </row>
    <row r="5879" spans="1:18" ht="12.75" x14ac:dyDescent="0.2">
      <c r="K5879" s="17"/>
    </row>
    <row r="5880" spans="1:18" ht="12.75" x14ac:dyDescent="0.2"/>
    <row r="5881" spans="1:18" s="17" customFormat="1" ht="12.75" x14ac:dyDescent="0.2">
      <c r="A5881"/>
      <c r="B5881"/>
      <c r="C5881"/>
      <c r="D5881"/>
      <c r="E5881"/>
      <c r="F5881"/>
      <c r="G5881"/>
      <c r="H5881"/>
      <c r="I5881"/>
      <c r="J5881"/>
    </row>
    <row r="5882" spans="1:18" s="92" customFormat="1" ht="15" x14ac:dyDescent="0.2">
      <c r="A5882"/>
      <c r="B5882"/>
      <c r="C5882"/>
      <c r="D5882"/>
      <c r="E5882"/>
      <c r="F5882"/>
      <c r="G5882"/>
      <c r="H5882"/>
      <c r="I5882"/>
      <c r="J5882"/>
      <c r="K5882" s="19"/>
    </row>
    <row r="5883" spans="1:18" ht="12.75" x14ac:dyDescent="0.2"/>
    <row r="5884" spans="1:18" ht="12" customHeight="1" x14ac:dyDescent="0.2"/>
    <row r="5885" spans="1:18" ht="12.75" x14ac:dyDescent="0.2"/>
    <row r="5886" spans="1:18" ht="12.75" x14ac:dyDescent="0.2"/>
    <row r="5887" spans="1:18" ht="12.75" x14ac:dyDescent="0.2">
      <c r="K5887" s="57"/>
    </row>
    <row r="5888" spans="1:18" ht="12.75" x14ac:dyDescent="0.2">
      <c r="K5888" s="58"/>
    </row>
    <row r="5889" spans="1:18" ht="12.75" x14ac:dyDescent="0.2">
      <c r="K5889" s="58"/>
    </row>
    <row r="5890" spans="1:18" ht="12.75" x14ac:dyDescent="0.2"/>
    <row r="5891" spans="1:18" ht="12.75" x14ac:dyDescent="0.2">
      <c r="K5891" s="61"/>
    </row>
    <row r="5892" spans="1:18" ht="12.75" x14ac:dyDescent="0.2">
      <c r="K5892" s="61"/>
    </row>
    <row r="5893" spans="1:18" s="59" customFormat="1" ht="15" x14ac:dyDescent="0.25">
      <c r="A5893"/>
      <c r="B5893"/>
      <c r="C5893"/>
      <c r="D5893"/>
      <c r="E5893"/>
      <c r="F5893"/>
      <c r="G5893"/>
      <c r="H5893"/>
      <c r="I5893"/>
      <c r="J5893"/>
    </row>
    <row r="5894" spans="1:18" s="59" customFormat="1" ht="15" x14ac:dyDescent="0.25">
      <c r="A5894"/>
      <c r="B5894"/>
      <c r="C5894"/>
      <c r="D5894"/>
      <c r="E5894"/>
      <c r="F5894"/>
      <c r="G5894"/>
      <c r="H5894"/>
      <c r="I5894"/>
      <c r="J5894"/>
    </row>
    <row r="5895" spans="1:18" ht="12.75" x14ac:dyDescent="0.2"/>
    <row r="5896" spans="1:18" ht="14.25" customHeight="1" x14ac:dyDescent="0.2">
      <c r="K5896" s="68"/>
    </row>
    <row r="5897" spans="1:18" ht="14.25" customHeight="1" x14ac:dyDescent="0.2">
      <c r="K5897" s="68"/>
    </row>
    <row r="5898" spans="1:18" ht="12.75" x14ac:dyDescent="0.2">
      <c r="K5898" s="68"/>
    </row>
    <row r="5899" spans="1:18" ht="14.25" customHeight="1" x14ac:dyDescent="0.2">
      <c r="K5899" s="17"/>
    </row>
    <row r="5900" spans="1:18" ht="12.75" x14ac:dyDescent="0.2">
      <c r="K5900" s="17"/>
    </row>
    <row r="5901" spans="1:18" ht="12.75" x14ac:dyDescent="0.2">
      <c r="K5901" s="17"/>
    </row>
    <row r="5902" spans="1:18" ht="12.75" x14ac:dyDescent="0.2">
      <c r="K5902" s="17"/>
    </row>
    <row r="5903" spans="1:18" ht="12.75" x14ac:dyDescent="0.2">
      <c r="K5903" s="17"/>
    </row>
    <row r="5904" spans="1:18" ht="12.75" x14ac:dyDescent="0.2">
      <c r="K5904" s="17"/>
      <c r="R5904" s="17"/>
    </row>
    <row r="5905" spans="1:11" ht="12.75" x14ac:dyDescent="0.2">
      <c r="K5905" s="17"/>
    </row>
    <row r="5906" spans="1:11" ht="12.75" x14ac:dyDescent="0.2">
      <c r="K5906" s="17"/>
    </row>
    <row r="5907" spans="1:11" ht="12.75" x14ac:dyDescent="0.2"/>
    <row r="5908" spans="1:11" s="17" customFormat="1" ht="12.75" x14ac:dyDescent="0.2">
      <c r="A5908"/>
      <c r="B5908"/>
      <c r="C5908"/>
      <c r="D5908"/>
      <c r="E5908"/>
      <c r="F5908"/>
      <c r="G5908"/>
      <c r="H5908"/>
      <c r="I5908"/>
      <c r="J5908"/>
    </row>
    <row r="5909" spans="1:11" s="92" customFormat="1" ht="15" x14ac:dyDescent="0.2">
      <c r="A5909"/>
      <c r="B5909"/>
      <c r="C5909"/>
      <c r="D5909"/>
      <c r="E5909"/>
      <c r="F5909"/>
      <c r="G5909"/>
      <c r="H5909"/>
      <c r="I5909"/>
      <c r="J5909"/>
      <c r="K5909" s="19"/>
    </row>
    <row r="5910" spans="1:11" ht="12.75" x14ac:dyDescent="0.2"/>
    <row r="5911" spans="1:11" ht="12" customHeight="1" x14ac:dyDescent="0.2"/>
    <row r="5912" spans="1:11" ht="12.75" x14ac:dyDescent="0.2"/>
    <row r="5913" spans="1:11" ht="12.75" x14ac:dyDescent="0.2"/>
    <row r="5914" spans="1:11" ht="12.75" x14ac:dyDescent="0.2">
      <c r="K5914" s="57"/>
    </row>
    <row r="5915" spans="1:11" ht="12.75" x14ac:dyDescent="0.2">
      <c r="K5915" s="58"/>
    </row>
    <row r="5916" spans="1:11" ht="12.75" x14ac:dyDescent="0.2">
      <c r="K5916" s="58"/>
    </row>
    <row r="5917" spans="1:11" ht="12.75" x14ac:dyDescent="0.2"/>
    <row r="5918" spans="1:11" ht="12.75" x14ac:dyDescent="0.2">
      <c r="K5918" s="61"/>
    </row>
    <row r="5919" spans="1:11" ht="12.75" x14ac:dyDescent="0.2">
      <c r="K5919" s="61"/>
    </row>
    <row r="5920" spans="1:11" s="59" customFormat="1" ht="15" x14ac:dyDescent="0.25">
      <c r="A5920"/>
      <c r="B5920"/>
      <c r="C5920"/>
      <c r="D5920"/>
      <c r="E5920"/>
      <c r="F5920"/>
      <c r="G5920"/>
      <c r="H5920"/>
      <c r="I5920"/>
      <c r="J5920"/>
    </row>
    <row r="5921" spans="1:18" s="59" customFormat="1" ht="15" x14ac:dyDescent="0.25">
      <c r="A5921"/>
      <c r="B5921"/>
      <c r="C5921"/>
      <c r="D5921"/>
      <c r="E5921"/>
      <c r="F5921"/>
      <c r="G5921"/>
      <c r="H5921"/>
      <c r="I5921"/>
      <c r="J5921"/>
    </row>
    <row r="5922" spans="1:18" ht="12.75" x14ac:dyDescent="0.2"/>
    <row r="5923" spans="1:18" ht="14.25" customHeight="1" x14ac:dyDescent="0.2">
      <c r="K5923" s="68"/>
    </row>
    <row r="5924" spans="1:18" ht="14.25" customHeight="1" x14ac:dyDescent="0.2">
      <c r="K5924" s="68"/>
    </row>
    <row r="5925" spans="1:18" ht="12.75" x14ac:dyDescent="0.2">
      <c r="K5925" s="68"/>
    </row>
    <row r="5926" spans="1:18" ht="14.25" customHeight="1" x14ac:dyDescent="0.2">
      <c r="K5926" s="17"/>
    </row>
    <row r="5927" spans="1:18" ht="12.75" x14ac:dyDescent="0.2">
      <c r="K5927" s="17"/>
    </row>
    <row r="5928" spans="1:18" ht="12.75" x14ac:dyDescent="0.2">
      <c r="K5928" s="17"/>
    </row>
    <row r="5929" spans="1:18" ht="12.75" x14ac:dyDescent="0.2">
      <c r="K5929" s="17"/>
    </row>
    <row r="5930" spans="1:18" ht="12.75" x14ac:dyDescent="0.2">
      <c r="K5930" s="17"/>
    </row>
    <row r="5931" spans="1:18" ht="12.75" x14ac:dyDescent="0.2">
      <c r="K5931" s="17"/>
      <c r="R5931" s="17"/>
    </row>
    <row r="5932" spans="1:18" ht="12.75" x14ac:dyDescent="0.2">
      <c r="K5932" s="17"/>
    </row>
    <row r="5933" spans="1:18" ht="12.75" x14ac:dyDescent="0.2">
      <c r="K5933" s="17"/>
    </row>
    <row r="5934" spans="1:18" ht="12.75" x14ac:dyDescent="0.2"/>
    <row r="5935" spans="1:18" s="17" customFormat="1" ht="12.75" x14ac:dyDescent="0.2">
      <c r="A5935"/>
      <c r="B5935"/>
      <c r="C5935"/>
      <c r="D5935"/>
      <c r="E5935"/>
      <c r="F5935"/>
      <c r="G5935"/>
      <c r="H5935"/>
      <c r="I5935"/>
      <c r="J5935"/>
    </row>
    <row r="5936" spans="1:18" s="92" customFormat="1" ht="15" x14ac:dyDescent="0.2">
      <c r="A5936"/>
      <c r="B5936"/>
      <c r="C5936"/>
      <c r="D5936"/>
      <c r="E5936"/>
      <c r="F5936"/>
      <c r="G5936"/>
      <c r="H5936"/>
      <c r="I5936"/>
      <c r="J5936"/>
      <c r="K5936" s="19"/>
    </row>
    <row r="5937" spans="1:11" ht="12.75" x14ac:dyDescent="0.2"/>
    <row r="5938" spans="1:11" ht="12" customHeight="1" x14ac:dyDescent="0.2"/>
    <row r="5939" spans="1:11" ht="12.75" x14ac:dyDescent="0.2"/>
    <row r="5940" spans="1:11" ht="12.75" x14ac:dyDescent="0.2"/>
    <row r="5941" spans="1:11" ht="12.75" x14ac:dyDescent="0.2">
      <c r="K5941" s="57"/>
    </row>
    <row r="5942" spans="1:11" ht="12.75" x14ac:dyDescent="0.2">
      <c r="K5942" s="58"/>
    </row>
    <row r="5943" spans="1:11" ht="12.75" x14ac:dyDescent="0.2">
      <c r="K5943" s="58"/>
    </row>
    <row r="5944" spans="1:11" ht="12.75" x14ac:dyDescent="0.2"/>
    <row r="5945" spans="1:11" ht="12.75" x14ac:dyDescent="0.2">
      <c r="K5945" s="61"/>
    </row>
    <row r="5946" spans="1:11" ht="12.75" x14ac:dyDescent="0.2">
      <c r="K5946" s="61"/>
    </row>
    <row r="5947" spans="1:11" s="59" customFormat="1" ht="15" x14ac:dyDescent="0.25">
      <c r="A5947"/>
      <c r="B5947"/>
      <c r="C5947"/>
      <c r="D5947"/>
      <c r="E5947"/>
      <c r="F5947"/>
      <c r="G5947"/>
      <c r="H5947"/>
      <c r="I5947"/>
      <c r="J5947"/>
    </row>
    <row r="5948" spans="1:11" s="59" customFormat="1" ht="15" x14ac:dyDescent="0.25">
      <c r="A5948"/>
      <c r="B5948"/>
      <c r="C5948"/>
      <c r="D5948"/>
      <c r="E5948"/>
      <c r="F5948"/>
      <c r="G5948"/>
      <c r="H5948"/>
      <c r="I5948"/>
      <c r="J5948"/>
    </row>
    <row r="5949" spans="1:11" ht="12.75" x14ac:dyDescent="0.2"/>
    <row r="5950" spans="1:11" ht="14.25" customHeight="1" x14ac:dyDescent="0.2">
      <c r="K5950" s="68"/>
    </row>
    <row r="5951" spans="1:11" ht="14.25" customHeight="1" x14ac:dyDescent="0.2">
      <c r="K5951" s="68"/>
    </row>
    <row r="5952" spans="1:11" ht="12.75" x14ac:dyDescent="0.2">
      <c r="K5952" s="68"/>
    </row>
    <row r="5953" spans="1:18" ht="14.25" customHeight="1" x14ac:dyDescent="0.2">
      <c r="K5953" s="17"/>
    </row>
    <row r="5954" spans="1:18" ht="12.75" x14ac:dyDescent="0.2">
      <c r="K5954" s="17"/>
    </row>
    <row r="5955" spans="1:18" ht="12.75" x14ac:dyDescent="0.2">
      <c r="K5955" s="17"/>
    </row>
    <row r="5956" spans="1:18" ht="12.75" x14ac:dyDescent="0.2">
      <c r="K5956" s="17"/>
    </row>
    <row r="5957" spans="1:18" ht="12.75" x14ac:dyDescent="0.2">
      <c r="K5957" s="17"/>
    </row>
    <row r="5958" spans="1:18" ht="12.75" x14ac:dyDescent="0.2">
      <c r="K5958" s="17"/>
      <c r="R5958" s="17"/>
    </row>
    <row r="5959" spans="1:18" ht="12.75" x14ac:dyDescent="0.2">
      <c r="K5959" s="17"/>
    </row>
    <row r="5960" spans="1:18" ht="12.75" x14ac:dyDescent="0.2">
      <c r="K5960" s="17"/>
    </row>
    <row r="5961" spans="1:18" ht="12.75" x14ac:dyDescent="0.2"/>
    <row r="5962" spans="1:18" s="17" customFormat="1" ht="12.75" x14ac:dyDescent="0.2">
      <c r="A5962"/>
      <c r="B5962"/>
      <c r="C5962"/>
      <c r="D5962"/>
      <c r="E5962"/>
      <c r="F5962"/>
      <c r="G5962"/>
      <c r="H5962"/>
      <c r="I5962"/>
      <c r="J5962"/>
    </row>
    <row r="5963" spans="1:18" s="92" customFormat="1" ht="15" x14ac:dyDescent="0.2">
      <c r="A5963"/>
      <c r="B5963"/>
      <c r="C5963"/>
      <c r="D5963"/>
      <c r="E5963"/>
      <c r="F5963"/>
      <c r="G5963"/>
      <c r="H5963"/>
      <c r="I5963"/>
      <c r="J5963"/>
      <c r="K5963" s="19"/>
    </row>
    <row r="5964" spans="1:18" ht="12.75" x14ac:dyDescent="0.2"/>
    <row r="5965" spans="1:18" ht="12" customHeight="1" x14ac:dyDescent="0.2"/>
    <row r="5966" spans="1:18" ht="12.75" x14ac:dyDescent="0.2"/>
    <row r="5967" spans="1:18" ht="12.75" x14ac:dyDescent="0.2"/>
    <row r="5968" spans="1:18" ht="12.75" x14ac:dyDescent="0.2">
      <c r="K5968" s="57"/>
    </row>
    <row r="5969" spans="1:11" ht="12.75" x14ac:dyDescent="0.2">
      <c r="K5969" s="58"/>
    </row>
    <row r="5970" spans="1:11" ht="12.75" x14ac:dyDescent="0.2">
      <c r="K5970" s="58"/>
    </row>
    <row r="5971" spans="1:11" ht="12.75" x14ac:dyDescent="0.2"/>
    <row r="5972" spans="1:11" ht="12.75" x14ac:dyDescent="0.2">
      <c r="K5972" s="61"/>
    </row>
    <row r="5973" spans="1:11" ht="12.75" x14ac:dyDescent="0.2">
      <c r="K5973" s="61"/>
    </row>
    <row r="5974" spans="1:11" s="59" customFormat="1" ht="15" x14ac:dyDescent="0.25">
      <c r="A5974"/>
      <c r="B5974"/>
      <c r="C5974"/>
      <c r="D5974"/>
      <c r="E5974"/>
      <c r="F5974"/>
      <c r="G5974"/>
      <c r="H5974"/>
      <c r="I5974"/>
      <c r="J5974"/>
    </row>
    <row r="5975" spans="1:11" s="59" customFormat="1" ht="15" x14ac:dyDescent="0.25">
      <c r="A5975"/>
      <c r="B5975"/>
      <c r="C5975"/>
      <c r="D5975"/>
      <c r="E5975"/>
      <c r="F5975"/>
      <c r="G5975"/>
      <c r="H5975"/>
      <c r="I5975"/>
      <c r="J5975"/>
    </row>
    <row r="5976" spans="1:11" ht="12.75" x14ac:dyDescent="0.2"/>
    <row r="5977" spans="1:11" ht="14.25" customHeight="1" x14ac:dyDescent="0.2">
      <c r="K5977" s="68"/>
    </row>
    <row r="5978" spans="1:11" ht="14.25" customHeight="1" x14ac:dyDescent="0.2">
      <c r="K5978" s="68"/>
    </row>
    <row r="5979" spans="1:11" ht="12.75" x14ac:dyDescent="0.2">
      <c r="K5979" s="68"/>
    </row>
    <row r="5980" spans="1:11" ht="14.25" customHeight="1" x14ac:dyDescent="0.2">
      <c r="K5980" s="17"/>
    </row>
    <row r="5981" spans="1:11" ht="12.75" x14ac:dyDescent="0.2">
      <c r="K5981" s="17"/>
    </row>
    <row r="5982" spans="1:11" ht="12.75" x14ac:dyDescent="0.2">
      <c r="K5982" s="17"/>
    </row>
    <row r="5983" spans="1:11" ht="12.75" x14ac:dyDescent="0.2">
      <c r="K5983" s="17"/>
    </row>
    <row r="5984" spans="1:11" ht="12.75" x14ac:dyDescent="0.2">
      <c r="K5984" s="17"/>
    </row>
    <row r="5985" spans="1:18" ht="12.75" x14ac:dyDescent="0.2">
      <c r="K5985" s="17"/>
      <c r="R5985" s="17"/>
    </row>
    <row r="5986" spans="1:18" ht="12.75" x14ac:dyDescent="0.2">
      <c r="K5986" s="17"/>
    </row>
    <row r="5987" spans="1:18" ht="12.75" x14ac:dyDescent="0.2">
      <c r="K5987" s="17"/>
    </row>
    <row r="5988" spans="1:18" ht="12.75" x14ac:dyDescent="0.2"/>
    <row r="5989" spans="1:18" s="17" customFormat="1" ht="12.75" x14ac:dyDescent="0.2">
      <c r="A5989"/>
      <c r="B5989"/>
      <c r="C5989"/>
      <c r="D5989"/>
      <c r="E5989"/>
      <c r="F5989"/>
      <c r="G5989"/>
      <c r="H5989"/>
      <c r="I5989"/>
      <c r="J5989"/>
    </row>
    <row r="5990" spans="1:18" s="92" customFormat="1" ht="15" x14ac:dyDescent="0.2">
      <c r="A5990"/>
      <c r="B5990"/>
      <c r="C5990"/>
      <c r="D5990"/>
      <c r="E5990"/>
      <c r="F5990"/>
      <c r="G5990"/>
      <c r="H5990"/>
      <c r="I5990"/>
      <c r="J5990"/>
      <c r="K5990" s="19"/>
    </row>
    <row r="5991" spans="1:18" ht="12.75" x14ac:dyDescent="0.2"/>
    <row r="5992" spans="1:18" ht="12" customHeight="1" x14ac:dyDescent="0.2"/>
    <row r="5993" spans="1:18" ht="12.75" x14ac:dyDescent="0.2"/>
    <row r="5994" spans="1:18" ht="12.75" x14ac:dyDescent="0.2"/>
    <row r="5995" spans="1:18" ht="12.75" x14ac:dyDescent="0.2">
      <c r="K5995" s="57"/>
    </row>
    <row r="5996" spans="1:18" ht="12.75" x14ac:dyDescent="0.2">
      <c r="K5996" s="58"/>
    </row>
    <row r="5997" spans="1:18" ht="12.75" x14ac:dyDescent="0.2">
      <c r="K5997" s="58"/>
    </row>
    <row r="5998" spans="1:18" ht="12.75" x14ac:dyDescent="0.2"/>
    <row r="5999" spans="1:18" ht="12.75" x14ac:dyDescent="0.2">
      <c r="K5999" s="61"/>
    </row>
    <row r="6000" spans="1:18" ht="12.75" x14ac:dyDescent="0.2">
      <c r="K6000" s="61"/>
    </row>
    <row r="6001" spans="1:18" s="59" customFormat="1" ht="15" x14ac:dyDescent="0.25">
      <c r="A6001"/>
      <c r="B6001"/>
      <c r="C6001"/>
      <c r="D6001"/>
      <c r="E6001"/>
      <c r="F6001"/>
      <c r="G6001"/>
      <c r="H6001"/>
      <c r="I6001"/>
      <c r="J6001"/>
    </row>
    <row r="6002" spans="1:18" s="59" customFormat="1" ht="15" x14ac:dyDescent="0.25">
      <c r="A6002"/>
      <c r="B6002"/>
      <c r="C6002"/>
      <c r="D6002"/>
      <c r="E6002"/>
      <c r="F6002"/>
      <c r="G6002"/>
      <c r="H6002"/>
      <c r="I6002"/>
      <c r="J6002"/>
    </row>
    <row r="6003" spans="1:18" ht="12.75" x14ac:dyDescent="0.2"/>
    <row r="6004" spans="1:18" ht="14.25" customHeight="1" x14ac:dyDescent="0.2">
      <c r="K6004" s="68"/>
    </row>
    <row r="6005" spans="1:18" ht="14.25" customHeight="1" x14ac:dyDescent="0.2">
      <c r="K6005" s="68"/>
    </row>
    <row r="6006" spans="1:18" ht="12.75" x14ac:dyDescent="0.2">
      <c r="K6006" s="68"/>
    </row>
    <row r="6007" spans="1:18" ht="14.25" customHeight="1" x14ac:dyDescent="0.2">
      <c r="K6007" s="17"/>
    </row>
    <row r="6008" spans="1:18" ht="12.75" x14ac:dyDescent="0.2">
      <c r="K6008" s="17"/>
    </row>
    <row r="6009" spans="1:18" ht="12.75" x14ac:dyDescent="0.2">
      <c r="K6009" s="17"/>
    </row>
    <row r="6010" spans="1:18" ht="12.75" x14ac:dyDescent="0.2">
      <c r="K6010" s="17"/>
    </row>
    <row r="6011" spans="1:18" ht="12.75" x14ac:dyDescent="0.2">
      <c r="K6011" s="17"/>
    </row>
    <row r="6012" spans="1:18" ht="12.75" x14ac:dyDescent="0.2">
      <c r="K6012" s="17"/>
      <c r="R6012" s="17"/>
    </row>
    <row r="6013" spans="1:18" ht="12.75" x14ac:dyDescent="0.2">
      <c r="K6013" s="17"/>
    </row>
    <row r="6014" spans="1:18" ht="12.75" x14ac:dyDescent="0.2">
      <c r="K6014" s="17"/>
    </row>
    <row r="6015" spans="1:18" ht="12.75" x14ac:dyDescent="0.2"/>
    <row r="6016" spans="1:18" s="17" customFormat="1" ht="12.75" x14ac:dyDescent="0.2">
      <c r="A6016"/>
      <c r="B6016"/>
      <c r="C6016"/>
      <c r="D6016"/>
      <c r="E6016"/>
      <c r="F6016"/>
      <c r="G6016"/>
      <c r="H6016"/>
      <c r="I6016"/>
      <c r="J6016"/>
    </row>
    <row r="6017" spans="1:11" s="92" customFormat="1" ht="15" x14ac:dyDescent="0.2">
      <c r="A6017"/>
      <c r="B6017"/>
      <c r="C6017"/>
      <c r="D6017"/>
      <c r="E6017"/>
      <c r="F6017"/>
      <c r="G6017"/>
      <c r="H6017"/>
      <c r="I6017"/>
      <c r="J6017"/>
      <c r="K6017" s="19"/>
    </row>
    <row r="6018" spans="1:11" ht="12.75" x14ac:dyDescent="0.2"/>
    <row r="6019" spans="1:11" ht="12" customHeight="1" x14ac:dyDescent="0.2"/>
    <row r="6020" spans="1:11" ht="12.75" x14ac:dyDescent="0.2"/>
    <row r="6021" spans="1:11" ht="12.75" x14ac:dyDescent="0.2"/>
    <row r="6022" spans="1:11" ht="12.75" x14ac:dyDescent="0.2">
      <c r="K6022" s="57"/>
    </row>
    <row r="6023" spans="1:11" ht="12.75" x14ac:dyDescent="0.2">
      <c r="K6023" s="58"/>
    </row>
    <row r="6024" spans="1:11" ht="12.75" x14ac:dyDescent="0.2">
      <c r="K6024" s="58"/>
    </row>
    <row r="6025" spans="1:11" ht="12.75" x14ac:dyDescent="0.2"/>
    <row r="6026" spans="1:11" ht="12.75" x14ac:dyDescent="0.2">
      <c r="K6026" s="61"/>
    </row>
    <row r="6027" spans="1:11" ht="12.75" x14ac:dyDescent="0.2">
      <c r="K6027" s="61"/>
    </row>
    <row r="6028" spans="1:11" s="59" customFormat="1" ht="15" x14ac:dyDescent="0.25">
      <c r="A6028"/>
      <c r="B6028"/>
      <c r="C6028"/>
      <c r="D6028"/>
      <c r="E6028"/>
      <c r="F6028"/>
      <c r="G6028"/>
      <c r="H6028"/>
      <c r="I6028"/>
      <c r="J6028"/>
    </row>
    <row r="6029" spans="1:11" s="59" customFormat="1" ht="15" x14ac:dyDescent="0.25">
      <c r="A6029"/>
      <c r="B6029"/>
      <c r="C6029"/>
      <c r="D6029"/>
      <c r="E6029"/>
      <c r="F6029"/>
      <c r="G6029"/>
      <c r="H6029"/>
      <c r="I6029"/>
      <c r="J6029"/>
    </row>
    <row r="6030" spans="1:11" ht="12.75" x14ac:dyDescent="0.2"/>
    <row r="6031" spans="1:11" ht="14.25" customHeight="1" x14ac:dyDescent="0.2">
      <c r="K6031" s="68"/>
    </row>
    <row r="6032" spans="1:11" ht="14.25" customHeight="1" x14ac:dyDescent="0.2">
      <c r="K6032" s="68"/>
    </row>
    <row r="6033" spans="1:18" ht="12.75" x14ac:dyDescent="0.2">
      <c r="K6033" s="68"/>
    </row>
    <row r="6034" spans="1:18" ht="14.25" customHeight="1" x14ac:dyDescent="0.2">
      <c r="K6034" s="17"/>
    </row>
    <row r="6035" spans="1:18" ht="12.75" x14ac:dyDescent="0.2">
      <c r="K6035" s="17"/>
    </row>
    <row r="6036" spans="1:18" ht="12.75" x14ac:dyDescent="0.2">
      <c r="K6036" s="17"/>
    </row>
    <row r="6037" spans="1:18" ht="12.75" x14ac:dyDescent="0.2">
      <c r="K6037" s="17"/>
    </row>
    <row r="6038" spans="1:18" ht="12.75" x14ac:dyDescent="0.2">
      <c r="K6038" s="17"/>
    </row>
    <row r="6039" spans="1:18" ht="12.75" x14ac:dyDescent="0.2">
      <c r="K6039" s="17"/>
      <c r="R6039" s="17"/>
    </row>
    <row r="6040" spans="1:18" ht="12.75" x14ac:dyDescent="0.2">
      <c r="K6040" s="17"/>
    </row>
    <row r="6041" spans="1:18" ht="12.75" x14ac:dyDescent="0.2">
      <c r="K6041" s="17"/>
    </row>
    <row r="6042" spans="1:18" ht="12.75" x14ac:dyDescent="0.2"/>
    <row r="6043" spans="1:18" s="17" customFormat="1" ht="12.75" x14ac:dyDescent="0.2">
      <c r="A6043"/>
      <c r="B6043"/>
      <c r="C6043"/>
      <c r="D6043"/>
      <c r="E6043"/>
      <c r="F6043"/>
      <c r="G6043"/>
      <c r="H6043"/>
      <c r="I6043"/>
      <c r="J6043"/>
    </row>
    <row r="6044" spans="1:18" s="92" customFormat="1" ht="15" x14ac:dyDescent="0.2">
      <c r="A6044"/>
      <c r="B6044"/>
      <c r="C6044"/>
      <c r="D6044"/>
      <c r="E6044"/>
      <c r="F6044"/>
      <c r="G6044"/>
      <c r="H6044"/>
      <c r="I6044"/>
      <c r="J6044"/>
      <c r="K6044" s="19"/>
    </row>
    <row r="6045" spans="1:18" ht="12.75" x14ac:dyDescent="0.2"/>
    <row r="6046" spans="1:18" ht="12" customHeight="1" x14ac:dyDescent="0.2"/>
    <row r="6047" spans="1:18" ht="12.75" x14ac:dyDescent="0.2"/>
    <row r="6048" spans="1:18" ht="12.75" x14ac:dyDescent="0.2"/>
    <row r="6049" spans="1:11" ht="12.75" x14ac:dyDescent="0.2">
      <c r="K6049" s="57"/>
    </row>
    <row r="6050" spans="1:11" ht="12.75" x14ac:dyDescent="0.2">
      <c r="K6050" s="58"/>
    </row>
    <row r="6051" spans="1:11" ht="12.75" x14ac:dyDescent="0.2">
      <c r="K6051" s="58"/>
    </row>
    <row r="6052" spans="1:11" ht="12.75" x14ac:dyDescent="0.2"/>
    <row r="6053" spans="1:11" ht="12.75" x14ac:dyDescent="0.2">
      <c r="K6053" s="61"/>
    </row>
    <row r="6054" spans="1:11" ht="12.75" x14ac:dyDescent="0.2">
      <c r="K6054" s="61"/>
    </row>
    <row r="6055" spans="1:11" s="59" customFormat="1" ht="15" x14ac:dyDescent="0.25">
      <c r="A6055"/>
      <c r="B6055"/>
      <c r="C6055"/>
      <c r="D6055"/>
      <c r="E6055"/>
      <c r="F6055"/>
      <c r="G6055"/>
      <c r="H6055"/>
      <c r="I6055"/>
      <c r="J6055"/>
    </row>
    <row r="6056" spans="1:11" s="59" customFormat="1" ht="15" x14ac:dyDescent="0.25">
      <c r="A6056"/>
      <c r="B6056"/>
      <c r="C6056"/>
      <c r="D6056"/>
      <c r="E6056"/>
      <c r="F6056"/>
      <c r="G6056"/>
      <c r="H6056"/>
      <c r="I6056"/>
      <c r="J6056"/>
    </row>
    <row r="6057" spans="1:11" ht="12.75" x14ac:dyDescent="0.2"/>
    <row r="6058" spans="1:11" ht="14.25" customHeight="1" x14ac:dyDescent="0.2">
      <c r="K6058" s="68"/>
    </row>
    <row r="6059" spans="1:11" ht="14.25" customHeight="1" x14ac:dyDescent="0.2">
      <c r="K6059" s="68"/>
    </row>
    <row r="6060" spans="1:11" ht="12.75" x14ac:dyDescent="0.2">
      <c r="K6060" s="68"/>
    </row>
    <row r="6061" spans="1:11" ht="14.25" customHeight="1" x14ac:dyDescent="0.2">
      <c r="K6061" s="17"/>
    </row>
    <row r="6062" spans="1:11" ht="12.75" x14ac:dyDescent="0.2">
      <c r="K6062" s="17"/>
    </row>
    <row r="6063" spans="1:11" ht="12.75" x14ac:dyDescent="0.2">
      <c r="K6063" s="17"/>
    </row>
    <row r="6064" spans="1:11" ht="12.75" x14ac:dyDescent="0.2">
      <c r="K6064" s="17"/>
    </row>
    <row r="6065" spans="1:18" ht="12.75" x14ac:dyDescent="0.2">
      <c r="K6065" s="17"/>
    </row>
    <row r="6066" spans="1:18" ht="12.75" x14ac:dyDescent="0.2">
      <c r="K6066" s="17"/>
      <c r="R6066" s="17"/>
    </row>
    <row r="6067" spans="1:18" ht="12.75" x14ac:dyDescent="0.2">
      <c r="K6067" s="17"/>
    </row>
    <row r="6068" spans="1:18" ht="12.75" x14ac:dyDescent="0.2">
      <c r="K6068" s="17"/>
    </row>
    <row r="6069" spans="1:18" ht="12.75" x14ac:dyDescent="0.2"/>
    <row r="6070" spans="1:18" s="17" customFormat="1" ht="12.75" x14ac:dyDescent="0.2">
      <c r="A6070"/>
      <c r="B6070"/>
      <c r="C6070"/>
      <c r="D6070"/>
      <c r="E6070"/>
      <c r="F6070"/>
      <c r="G6070"/>
      <c r="H6070"/>
      <c r="I6070"/>
      <c r="J6070"/>
    </row>
    <row r="6071" spans="1:18" s="92" customFormat="1" ht="15" x14ac:dyDescent="0.2">
      <c r="A6071"/>
      <c r="B6071"/>
      <c r="C6071"/>
      <c r="D6071"/>
      <c r="E6071"/>
      <c r="F6071"/>
      <c r="G6071"/>
      <c r="H6071"/>
      <c r="I6071"/>
      <c r="J6071"/>
      <c r="K6071" s="19"/>
    </row>
    <row r="6072" spans="1:18" ht="12.75" x14ac:dyDescent="0.2"/>
    <row r="6073" spans="1:18" ht="12" customHeight="1" x14ac:dyDescent="0.2"/>
    <row r="6074" spans="1:18" ht="12.75" x14ac:dyDescent="0.2"/>
    <row r="6075" spans="1:18" ht="12.75" x14ac:dyDescent="0.2"/>
    <row r="6076" spans="1:18" ht="12.75" x14ac:dyDescent="0.2">
      <c r="K6076" s="57"/>
    </row>
    <row r="6077" spans="1:18" ht="12.75" x14ac:dyDescent="0.2">
      <c r="K6077" s="58"/>
    </row>
    <row r="6078" spans="1:18" ht="12.75" x14ac:dyDescent="0.2">
      <c r="K6078" s="58"/>
    </row>
    <row r="6079" spans="1:18" ht="12.75" x14ac:dyDescent="0.2"/>
    <row r="6080" spans="1:18" ht="12.75" x14ac:dyDescent="0.2">
      <c r="K6080" s="61"/>
    </row>
    <row r="6081" spans="1:18" ht="12.75" x14ac:dyDescent="0.2">
      <c r="K6081" s="61"/>
    </row>
    <row r="6082" spans="1:18" s="59" customFormat="1" ht="15" x14ac:dyDescent="0.25">
      <c r="A6082"/>
      <c r="B6082"/>
      <c r="C6082"/>
      <c r="D6082"/>
      <c r="E6082"/>
      <c r="F6082"/>
      <c r="G6082"/>
      <c r="H6082"/>
      <c r="I6082"/>
      <c r="J6082"/>
    </row>
    <row r="6083" spans="1:18" s="59" customFormat="1" ht="15" x14ac:dyDescent="0.25">
      <c r="A6083"/>
      <c r="B6083"/>
      <c r="C6083"/>
      <c r="D6083"/>
      <c r="E6083"/>
      <c r="F6083"/>
      <c r="G6083"/>
      <c r="H6083"/>
      <c r="I6083"/>
      <c r="J6083"/>
    </row>
    <row r="6084" spans="1:18" ht="12.75" x14ac:dyDescent="0.2"/>
    <row r="6085" spans="1:18" ht="14.25" customHeight="1" x14ac:dyDescent="0.2">
      <c r="K6085" s="68"/>
    </row>
    <row r="6086" spans="1:18" ht="14.25" customHeight="1" x14ac:dyDescent="0.2">
      <c r="K6086" s="68"/>
    </row>
    <row r="6087" spans="1:18" ht="12.75" x14ac:dyDescent="0.2">
      <c r="K6087" s="68"/>
    </row>
    <row r="6088" spans="1:18" ht="14.25" customHeight="1" x14ac:dyDescent="0.2">
      <c r="K6088" s="17"/>
    </row>
    <row r="6089" spans="1:18" ht="12.75" x14ac:dyDescent="0.2">
      <c r="K6089" s="17"/>
    </row>
    <row r="6090" spans="1:18" ht="12.75" x14ac:dyDescent="0.2">
      <c r="K6090" s="17"/>
    </row>
    <row r="6091" spans="1:18" ht="12.75" x14ac:dyDescent="0.2">
      <c r="K6091" s="17"/>
    </row>
    <row r="6092" spans="1:18" ht="12.75" x14ac:dyDescent="0.2">
      <c r="K6092" s="17"/>
    </row>
    <row r="6093" spans="1:18" ht="12.75" x14ac:dyDescent="0.2">
      <c r="K6093" s="17"/>
      <c r="R6093" s="17"/>
    </row>
    <row r="6094" spans="1:18" ht="12.75" x14ac:dyDescent="0.2">
      <c r="K6094" s="17"/>
    </row>
    <row r="6095" spans="1:18" ht="12.75" x14ac:dyDescent="0.2">
      <c r="K6095" s="17"/>
    </row>
    <row r="6096" spans="1:18" ht="12.75" x14ac:dyDescent="0.2"/>
    <row r="6097" spans="1:11" s="17" customFormat="1" ht="12.75" x14ac:dyDescent="0.2">
      <c r="A6097"/>
      <c r="B6097"/>
      <c r="C6097"/>
      <c r="D6097"/>
      <c r="E6097"/>
      <c r="F6097"/>
      <c r="G6097"/>
      <c r="H6097"/>
      <c r="I6097"/>
      <c r="J6097"/>
    </row>
    <row r="6098" spans="1:11" s="92" customFormat="1" ht="15" x14ac:dyDescent="0.2">
      <c r="A6098"/>
      <c r="B6098"/>
      <c r="C6098"/>
      <c r="D6098"/>
      <c r="E6098"/>
      <c r="F6098"/>
      <c r="G6098"/>
      <c r="H6098"/>
      <c r="I6098"/>
      <c r="J6098"/>
      <c r="K6098" s="19"/>
    </row>
    <row r="6099" spans="1:11" ht="12.75" x14ac:dyDescent="0.2"/>
    <row r="6100" spans="1:11" ht="12" customHeight="1" x14ac:dyDescent="0.2"/>
    <row r="6101" spans="1:11" ht="12.75" x14ac:dyDescent="0.2"/>
    <row r="6102" spans="1:11" ht="12.75" x14ac:dyDescent="0.2"/>
    <row r="6103" spans="1:11" ht="12.75" x14ac:dyDescent="0.2">
      <c r="K6103" s="57"/>
    </row>
    <row r="6104" spans="1:11" ht="12.75" x14ac:dyDescent="0.2">
      <c r="K6104" s="58"/>
    </row>
    <row r="6105" spans="1:11" ht="12.75" x14ac:dyDescent="0.2">
      <c r="K6105" s="58"/>
    </row>
    <row r="6106" spans="1:11" ht="12.75" x14ac:dyDescent="0.2"/>
    <row r="6107" spans="1:11" ht="12.75" x14ac:dyDescent="0.2">
      <c r="K6107" s="61"/>
    </row>
    <row r="6108" spans="1:11" ht="12.75" x14ac:dyDescent="0.2">
      <c r="K6108" s="61"/>
    </row>
    <row r="6109" spans="1:11" s="59" customFormat="1" ht="15" x14ac:dyDescent="0.25">
      <c r="A6109"/>
      <c r="B6109"/>
      <c r="C6109"/>
      <c r="D6109"/>
      <c r="E6109"/>
      <c r="F6109"/>
      <c r="G6109"/>
      <c r="H6109"/>
      <c r="I6109"/>
      <c r="J6109"/>
    </row>
    <row r="6110" spans="1:11" s="59" customFormat="1" ht="15" x14ac:dyDescent="0.25">
      <c r="A6110"/>
      <c r="B6110"/>
      <c r="C6110"/>
      <c r="D6110"/>
      <c r="E6110"/>
      <c r="F6110"/>
      <c r="G6110"/>
      <c r="H6110"/>
      <c r="I6110"/>
      <c r="J6110"/>
    </row>
    <row r="6111" spans="1:11" ht="12.75" x14ac:dyDescent="0.2"/>
    <row r="6112" spans="1:11" ht="14.25" customHeight="1" x14ac:dyDescent="0.2">
      <c r="K6112" s="68"/>
    </row>
    <row r="6113" spans="1:18" ht="14.25" customHeight="1" x14ac:dyDescent="0.2">
      <c r="K6113" s="68"/>
    </row>
    <row r="6114" spans="1:18" ht="12.75" x14ac:dyDescent="0.2">
      <c r="K6114" s="68"/>
    </row>
    <row r="6115" spans="1:18" ht="14.25" customHeight="1" x14ac:dyDescent="0.2">
      <c r="K6115" s="17"/>
    </row>
    <row r="6116" spans="1:18" ht="12.75" x14ac:dyDescent="0.2">
      <c r="K6116" s="17"/>
    </row>
    <row r="6117" spans="1:18" ht="12.75" x14ac:dyDescent="0.2">
      <c r="K6117" s="17"/>
    </row>
    <row r="6118" spans="1:18" ht="12.75" x14ac:dyDescent="0.2">
      <c r="K6118" s="17"/>
    </row>
    <row r="6119" spans="1:18" ht="12.75" x14ac:dyDescent="0.2">
      <c r="K6119" s="17"/>
    </row>
    <row r="6120" spans="1:18" ht="12.75" x14ac:dyDescent="0.2">
      <c r="K6120" s="17"/>
      <c r="R6120" s="17"/>
    </row>
    <row r="6121" spans="1:18" ht="12.75" x14ac:dyDescent="0.2">
      <c r="K6121" s="17"/>
    </row>
    <row r="6122" spans="1:18" ht="12.75" x14ac:dyDescent="0.2">
      <c r="K6122" s="17"/>
    </row>
    <row r="6123" spans="1:18" ht="12.75" x14ac:dyDescent="0.2"/>
    <row r="6124" spans="1:18" s="17" customFormat="1" ht="12.75" x14ac:dyDescent="0.2">
      <c r="A6124"/>
      <c r="B6124"/>
      <c r="C6124"/>
      <c r="D6124"/>
      <c r="E6124"/>
      <c r="F6124"/>
      <c r="G6124"/>
      <c r="H6124"/>
      <c r="I6124"/>
      <c r="J6124"/>
    </row>
    <row r="6125" spans="1:18" s="92" customFormat="1" ht="15" x14ac:dyDescent="0.2">
      <c r="A6125"/>
      <c r="B6125"/>
      <c r="C6125"/>
      <c r="D6125"/>
      <c r="E6125"/>
      <c r="F6125"/>
      <c r="G6125"/>
      <c r="H6125"/>
      <c r="I6125"/>
      <c r="J6125"/>
      <c r="K6125" s="19"/>
    </row>
    <row r="6126" spans="1:18" ht="12.75" x14ac:dyDescent="0.2"/>
    <row r="6127" spans="1:18" ht="12" customHeight="1" x14ac:dyDescent="0.2"/>
    <row r="6128" spans="1:18" ht="12.75" x14ac:dyDescent="0.2"/>
    <row r="6129" spans="1:11" ht="12.75" x14ac:dyDescent="0.2"/>
    <row r="6130" spans="1:11" ht="12.75" x14ac:dyDescent="0.2">
      <c r="K6130" s="57"/>
    </row>
    <row r="6131" spans="1:11" ht="12.75" x14ac:dyDescent="0.2">
      <c r="K6131" s="58"/>
    </row>
    <row r="6132" spans="1:11" ht="12.75" x14ac:dyDescent="0.2">
      <c r="K6132" s="58"/>
    </row>
    <row r="6133" spans="1:11" ht="12.75" x14ac:dyDescent="0.2"/>
    <row r="6134" spans="1:11" ht="12.75" x14ac:dyDescent="0.2">
      <c r="K6134" s="61"/>
    </row>
    <row r="6135" spans="1:11" ht="12.75" x14ac:dyDescent="0.2">
      <c r="K6135" s="61"/>
    </row>
    <row r="6136" spans="1:11" s="59" customFormat="1" ht="15" x14ac:dyDescent="0.25">
      <c r="A6136"/>
      <c r="B6136"/>
      <c r="C6136"/>
      <c r="D6136"/>
      <c r="E6136"/>
      <c r="F6136"/>
      <c r="G6136"/>
      <c r="H6136"/>
      <c r="I6136"/>
      <c r="J6136"/>
    </row>
    <row r="6137" spans="1:11" s="59" customFormat="1" ht="15" x14ac:dyDescent="0.25">
      <c r="A6137"/>
      <c r="B6137"/>
      <c r="C6137"/>
      <c r="D6137"/>
      <c r="E6137"/>
      <c r="F6137"/>
      <c r="G6137"/>
      <c r="H6137"/>
      <c r="I6137"/>
      <c r="J6137"/>
    </row>
    <row r="6138" spans="1:11" ht="12.75" x14ac:dyDescent="0.2"/>
    <row r="6139" spans="1:11" ht="14.25" customHeight="1" x14ac:dyDescent="0.2">
      <c r="K6139" s="68"/>
    </row>
    <row r="6140" spans="1:11" ht="14.25" customHeight="1" x14ac:dyDescent="0.2">
      <c r="K6140" s="68"/>
    </row>
    <row r="6141" spans="1:11" ht="12.75" x14ac:dyDescent="0.2">
      <c r="K6141" s="68"/>
    </row>
    <row r="6142" spans="1:11" ht="14.25" customHeight="1" x14ac:dyDescent="0.2">
      <c r="K6142" s="17"/>
    </row>
    <row r="6143" spans="1:11" ht="12.75" x14ac:dyDescent="0.2">
      <c r="K6143" s="17"/>
    </row>
    <row r="6144" spans="1:11" ht="12.75" x14ac:dyDescent="0.2">
      <c r="K6144" s="17"/>
    </row>
    <row r="6145" spans="1:18" ht="12.75" x14ac:dyDescent="0.2">
      <c r="K6145" s="17"/>
    </row>
    <row r="6146" spans="1:18" ht="12.75" x14ac:dyDescent="0.2">
      <c r="K6146" s="17"/>
    </row>
    <row r="6147" spans="1:18" ht="12.75" x14ac:dyDescent="0.2">
      <c r="K6147" s="17"/>
      <c r="R6147" s="17"/>
    </row>
    <row r="6148" spans="1:18" ht="12.75" x14ac:dyDescent="0.2">
      <c r="K6148" s="17"/>
    </row>
    <row r="6149" spans="1:18" ht="12.75" x14ac:dyDescent="0.2">
      <c r="K6149" s="17"/>
    </row>
    <row r="6150" spans="1:18" ht="12.75" x14ac:dyDescent="0.2"/>
    <row r="6151" spans="1:18" s="17" customFormat="1" ht="12.75" x14ac:dyDescent="0.2">
      <c r="A6151"/>
      <c r="B6151"/>
      <c r="C6151"/>
      <c r="D6151"/>
      <c r="E6151"/>
      <c r="F6151"/>
      <c r="G6151"/>
      <c r="H6151"/>
      <c r="I6151"/>
      <c r="J6151"/>
    </row>
    <row r="6152" spans="1:18" s="92" customFormat="1" ht="15" x14ac:dyDescent="0.2">
      <c r="A6152"/>
      <c r="B6152"/>
      <c r="C6152"/>
      <c r="D6152"/>
      <c r="E6152"/>
      <c r="F6152"/>
      <c r="G6152"/>
      <c r="H6152"/>
      <c r="I6152"/>
      <c r="J6152"/>
      <c r="K6152" s="19"/>
    </row>
    <row r="6153" spans="1:18" ht="12.75" x14ac:dyDescent="0.2"/>
    <row r="6154" spans="1:18" ht="12" customHeight="1" x14ac:dyDescent="0.2"/>
    <row r="6155" spans="1:18" ht="12.75" x14ac:dyDescent="0.2"/>
    <row r="6156" spans="1:18" ht="12.75" x14ac:dyDescent="0.2"/>
    <row r="6157" spans="1:18" ht="12.75" x14ac:dyDescent="0.2">
      <c r="K6157" s="57"/>
    </row>
    <row r="6158" spans="1:18" ht="12.75" x14ac:dyDescent="0.2">
      <c r="K6158" s="58"/>
    </row>
    <row r="6159" spans="1:18" ht="12.75" x14ac:dyDescent="0.2">
      <c r="K6159" s="58"/>
    </row>
    <row r="6160" spans="1:18" ht="12.75" x14ac:dyDescent="0.2"/>
    <row r="6161" spans="1:18" ht="12.75" x14ac:dyDescent="0.2">
      <c r="K6161" s="61"/>
    </row>
    <row r="6162" spans="1:18" ht="12.75" x14ac:dyDescent="0.2">
      <c r="K6162" s="61"/>
    </row>
    <row r="6163" spans="1:18" s="59" customFormat="1" ht="15" x14ac:dyDescent="0.25">
      <c r="A6163"/>
      <c r="B6163"/>
      <c r="C6163"/>
      <c r="D6163"/>
      <c r="E6163"/>
      <c r="F6163"/>
      <c r="G6163"/>
      <c r="H6163"/>
      <c r="I6163"/>
      <c r="J6163"/>
    </row>
    <row r="6164" spans="1:18" s="59" customFormat="1" ht="15" x14ac:dyDescent="0.25">
      <c r="A6164"/>
      <c r="B6164"/>
      <c r="C6164"/>
      <c r="D6164"/>
      <c r="E6164"/>
      <c r="F6164"/>
      <c r="G6164"/>
      <c r="H6164"/>
      <c r="I6164"/>
      <c r="J6164"/>
    </row>
    <row r="6165" spans="1:18" ht="12.75" x14ac:dyDescent="0.2"/>
    <row r="6166" spans="1:18" ht="14.25" customHeight="1" x14ac:dyDescent="0.2">
      <c r="K6166" s="68"/>
    </row>
    <row r="6167" spans="1:18" ht="14.25" customHeight="1" x14ac:dyDescent="0.2">
      <c r="K6167" s="68"/>
    </row>
    <row r="6168" spans="1:18" ht="12.75" x14ac:dyDescent="0.2">
      <c r="K6168" s="68"/>
    </row>
    <row r="6169" spans="1:18" ht="14.25" customHeight="1" x14ac:dyDescent="0.2">
      <c r="K6169" s="17"/>
    </row>
    <row r="6170" spans="1:18" ht="12.75" x14ac:dyDescent="0.2">
      <c r="K6170" s="17"/>
    </row>
    <row r="6171" spans="1:18" ht="12.75" x14ac:dyDescent="0.2">
      <c r="K6171" s="17"/>
    </row>
    <row r="6172" spans="1:18" ht="12.75" x14ac:dyDescent="0.2">
      <c r="K6172" s="17"/>
    </row>
    <row r="6173" spans="1:18" ht="12.75" x14ac:dyDescent="0.2">
      <c r="K6173" s="17"/>
    </row>
    <row r="6174" spans="1:18" ht="12.75" x14ac:dyDescent="0.2">
      <c r="K6174" s="17"/>
      <c r="R6174" s="17"/>
    </row>
    <row r="6175" spans="1:18" ht="12.75" x14ac:dyDescent="0.2">
      <c r="K6175" s="17"/>
    </row>
    <row r="6176" spans="1:18" ht="12.75" x14ac:dyDescent="0.2">
      <c r="K6176" s="17"/>
    </row>
    <row r="6177" spans="1:11" ht="12.75" x14ac:dyDescent="0.2"/>
    <row r="6178" spans="1:11" s="17" customFormat="1" ht="12.75" x14ac:dyDescent="0.2">
      <c r="A6178"/>
      <c r="B6178"/>
      <c r="C6178"/>
      <c r="D6178"/>
      <c r="E6178"/>
      <c r="F6178"/>
      <c r="G6178"/>
      <c r="H6178"/>
      <c r="I6178"/>
      <c r="J6178"/>
    </row>
    <row r="6179" spans="1:11" s="92" customFormat="1" ht="15" x14ac:dyDescent="0.2">
      <c r="A6179"/>
      <c r="B6179"/>
      <c r="C6179"/>
      <c r="D6179"/>
      <c r="E6179"/>
      <c r="F6179"/>
      <c r="G6179"/>
      <c r="H6179"/>
      <c r="I6179"/>
      <c r="J6179"/>
      <c r="K6179" s="19"/>
    </row>
    <row r="6180" spans="1:11" ht="12.75" x14ac:dyDescent="0.2"/>
    <row r="6181" spans="1:11" ht="12" customHeight="1" x14ac:dyDescent="0.2"/>
    <row r="6182" spans="1:11" ht="12.75" x14ac:dyDescent="0.2"/>
    <row r="6183" spans="1:11" ht="12.75" x14ac:dyDescent="0.2"/>
    <row r="6184" spans="1:11" ht="12.75" x14ac:dyDescent="0.2">
      <c r="K6184" s="57"/>
    </row>
    <row r="6185" spans="1:11" ht="12.75" x14ac:dyDescent="0.2">
      <c r="K6185" s="58"/>
    </row>
    <row r="6186" spans="1:11" ht="12.75" x14ac:dyDescent="0.2">
      <c r="K6186" s="58"/>
    </row>
    <row r="6187" spans="1:11" ht="12.75" x14ac:dyDescent="0.2"/>
    <row r="6188" spans="1:11" ht="12.75" x14ac:dyDescent="0.2">
      <c r="K6188" s="61"/>
    </row>
    <row r="6189" spans="1:11" ht="12.75" x14ac:dyDescent="0.2">
      <c r="K6189" s="61"/>
    </row>
    <row r="6190" spans="1:11" s="59" customFormat="1" ht="15" x14ac:dyDescent="0.25">
      <c r="A6190"/>
      <c r="B6190"/>
      <c r="C6190"/>
      <c r="D6190"/>
      <c r="E6190"/>
      <c r="F6190"/>
      <c r="G6190"/>
      <c r="H6190"/>
      <c r="I6190"/>
      <c r="J6190"/>
    </row>
    <row r="6191" spans="1:11" s="59" customFormat="1" ht="15" x14ac:dyDescent="0.25">
      <c r="A6191"/>
      <c r="B6191"/>
      <c r="C6191"/>
      <c r="D6191"/>
      <c r="E6191"/>
      <c r="F6191"/>
      <c r="G6191"/>
      <c r="H6191"/>
      <c r="I6191"/>
      <c r="J6191"/>
    </row>
    <row r="6192" spans="1:11" ht="12.75" x14ac:dyDescent="0.2"/>
    <row r="6193" spans="1:18" ht="14.25" customHeight="1" x14ac:dyDescent="0.2">
      <c r="K6193" s="68"/>
    </row>
    <row r="6194" spans="1:18" ht="14.25" customHeight="1" x14ac:dyDescent="0.2">
      <c r="K6194" s="68"/>
    </row>
    <row r="6195" spans="1:18" ht="12.75" x14ac:dyDescent="0.2">
      <c r="K6195" s="68"/>
    </row>
    <row r="6196" spans="1:18" ht="14.25" customHeight="1" x14ac:dyDescent="0.2">
      <c r="K6196" s="17"/>
    </row>
    <row r="6197" spans="1:18" ht="12.75" x14ac:dyDescent="0.2">
      <c r="K6197" s="17"/>
    </row>
    <row r="6198" spans="1:18" ht="12.75" x14ac:dyDescent="0.2">
      <c r="K6198" s="17"/>
    </row>
    <row r="6199" spans="1:18" ht="12.75" x14ac:dyDescent="0.2">
      <c r="K6199" s="17"/>
    </row>
    <row r="6200" spans="1:18" ht="12.75" x14ac:dyDescent="0.2">
      <c r="K6200" s="17"/>
    </row>
    <row r="6201" spans="1:18" ht="12.75" x14ac:dyDescent="0.2">
      <c r="K6201" s="17"/>
      <c r="R6201" s="17"/>
    </row>
    <row r="6202" spans="1:18" ht="12.75" x14ac:dyDescent="0.2">
      <c r="K6202" s="17"/>
    </row>
    <row r="6203" spans="1:18" ht="12.75" x14ac:dyDescent="0.2">
      <c r="K6203" s="17"/>
    </row>
    <row r="6204" spans="1:18" ht="12.75" x14ac:dyDescent="0.2"/>
    <row r="6205" spans="1:18" s="17" customFormat="1" ht="12.75" x14ac:dyDescent="0.2">
      <c r="A6205"/>
      <c r="B6205"/>
      <c r="C6205"/>
      <c r="D6205"/>
      <c r="E6205"/>
      <c r="F6205"/>
      <c r="G6205"/>
      <c r="H6205"/>
      <c r="I6205"/>
      <c r="J6205"/>
    </row>
    <row r="6206" spans="1:18" s="92" customFormat="1" ht="15" x14ac:dyDescent="0.2">
      <c r="A6206"/>
      <c r="B6206"/>
      <c r="C6206"/>
      <c r="D6206"/>
      <c r="E6206"/>
      <c r="F6206"/>
      <c r="G6206"/>
      <c r="H6206"/>
      <c r="I6206"/>
      <c r="J6206"/>
      <c r="K6206" s="19"/>
    </row>
    <row r="6207" spans="1:18" ht="12.75" x14ac:dyDescent="0.2"/>
    <row r="6208" spans="1:18" ht="12" customHeight="1" x14ac:dyDescent="0.2"/>
    <row r="6209" spans="1:11" ht="12.75" x14ac:dyDescent="0.2"/>
    <row r="6210" spans="1:11" ht="12.75" x14ac:dyDescent="0.2"/>
    <row r="6211" spans="1:11" ht="12.75" x14ac:dyDescent="0.2">
      <c r="K6211" s="57"/>
    </row>
    <row r="6212" spans="1:11" ht="12.75" x14ac:dyDescent="0.2">
      <c r="K6212" s="58"/>
    </row>
    <row r="6213" spans="1:11" ht="12.75" x14ac:dyDescent="0.2">
      <c r="K6213" s="58"/>
    </row>
    <row r="6214" spans="1:11" ht="12.75" x14ac:dyDescent="0.2"/>
    <row r="6215" spans="1:11" ht="12.75" x14ac:dyDescent="0.2">
      <c r="K6215" s="61"/>
    </row>
    <row r="6216" spans="1:11" ht="12.75" x14ac:dyDescent="0.2">
      <c r="K6216" s="61"/>
    </row>
    <row r="6217" spans="1:11" s="59" customFormat="1" ht="15" x14ac:dyDescent="0.25">
      <c r="A6217"/>
      <c r="B6217"/>
      <c r="C6217"/>
      <c r="D6217"/>
      <c r="E6217"/>
      <c r="F6217"/>
      <c r="G6217"/>
      <c r="H6217"/>
      <c r="I6217"/>
      <c r="J6217"/>
    </row>
    <row r="6218" spans="1:11" s="59" customFormat="1" ht="15" x14ac:dyDescent="0.25">
      <c r="A6218"/>
      <c r="B6218"/>
      <c r="C6218"/>
      <c r="D6218"/>
      <c r="E6218"/>
      <c r="F6218"/>
      <c r="G6218"/>
      <c r="H6218"/>
      <c r="I6218"/>
      <c r="J6218"/>
    </row>
    <row r="6219" spans="1:11" ht="12.75" x14ac:dyDescent="0.2"/>
    <row r="6220" spans="1:11" ht="14.25" customHeight="1" x14ac:dyDescent="0.2">
      <c r="K6220" s="68"/>
    </row>
    <row r="6221" spans="1:11" ht="14.25" customHeight="1" x14ac:dyDescent="0.2">
      <c r="K6221" s="68"/>
    </row>
    <row r="6222" spans="1:11" ht="12.75" x14ac:dyDescent="0.2">
      <c r="K6222" s="68"/>
    </row>
    <row r="6223" spans="1:11" ht="14.25" customHeight="1" x14ac:dyDescent="0.2">
      <c r="K6223" s="17"/>
    </row>
    <row r="6224" spans="1:11" ht="12.75" x14ac:dyDescent="0.2">
      <c r="K6224" s="17"/>
    </row>
    <row r="6225" spans="1:18" ht="12.75" x14ac:dyDescent="0.2">
      <c r="K6225" s="17"/>
    </row>
    <row r="6226" spans="1:18" ht="12.75" x14ac:dyDescent="0.2">
      <c r="K6226" s="17"/>
    </row>
    <row r="6227" spans="1:18" ht="12.75" x14ac:dyDescent="0.2">
      <c r="K6227" s="17"/>
    </row>
    <row r="6228" spans="1:18" ht="12.75" x14ac:dyDescent="0.2">
      <c r="K6228" s="17"/>
      <c r="R6228" s="17"/>
    </row>
    <row r="6229" spans="1:18" ht="12.75" x14ac:dyDescent="0.2">
      <c r="K6229" s="17"/>
    </row>
    <row r="6230" spans="1:18" ht="12.75" x14ac:dyDescent="0.2">
      <c r="K6230" s="17"/>
    </row>
    <row r="6231" spans="1:18" ht="12.75" x14ac:dyDescent="0.2"/>
    <row r="6232" spans="1:18" s="17" customFormat="1" ht="12.75" x14ac:dyDescent="0.2">
      <c r="A6232"/>
      <c r="B6232"/>
      <c r="C6232"/>
      <c r="D6232"/>
      <c r="E6232"/>
      <c r="F6232"/>
      <c r="G6232"/>
      <c r="H6232"/>
      <c r="I6232"/>
      <c r="J6232"/>
    </row>
    <row r="6233" spans="1:18" s="92" customFormat="1" ht="15" x14ac:dyDescent="0.2">
      <c r="A6233"/>
      <c r="B6233"/>
      <c r="C6233"/>
      <c r="D6233"/>
      <c r="E6233"/>
      <c r="F6233"/>
      <c r="G6233"/>
      <c r="H6233"/>
      <c r="I6233"/>
      <c r="J6233"/>
      <c r="K6233" s="19"/>
    </row>
    <row r="6234" spans="1:18" ht="12.75" x14ac:dyDescent="0.2"/>
    <row r="6235" spans="1:18" ht="12" customHeight="1" x14ac:dyDescent="0.2"/>
    <row r="6236" spans="1:18" ht="12.75" x14ac:dyDescent="0.2"/>
    <row r="6237" spans="1:18" ht="12.75" x14ac:dyDescent="0.2"/>
    <row r="6238" spans="1:18" ht="12.75" x14ac:dyDescent="0.2">
      <c r="K6238" s="57"/>
    </row>
    <row r="6239" spans="1:18" ht="12.75" x14ac:dyDescent="0.2">
      <c r="K6239" s="58"/>
    </row>
    <row r="6240" spans="1:18" ht="12.75" x14ac:dyDescent="0.2">
      <c r="K6240" s="58"/>
    </row>
    <row r="6241" spans="1:18" ht="12.75" x14ac:dyDescent="0.2"/>
    <row r="6242" spans="1:18" ht="12.75" x14ac:dyDescent="0.2">
      <c r="K6242" s="61"/>
    </row>
    <row r="6243" spans="1:18" ht="12.75" x14ac:dyDescent="0.2">
      <c r="K6243" s="61"/>
    </row>
    <row r="6244" spans="1:18" s="59" customFormat="1" ht="15" x14ac:dyDescent="0.25">
      <c r="A6244"/>
      <c r="B6244"/>
      <c r="C6244"/>
      <c r="D6244"/>
      <c r="E6244"/>
      <c r="F6244"/>
      <c r="G6244"/>
      <c r="H6244"/>
      <c r="I6244"/>
      <c r="J6244"/>
    </row>
    <row r="6245" spans="1:18" s="59" customFormat="1" ht="15" x14ac:dyDescent="0.25">
      <c r="A6245"/>
      <c r="B6245"/>
      <c r="C6245"/>
      <c r="D6245"/>
      <c r="E6245"/>
      <c r="F6245"/>
      <c r="G6245"/>
      <c r="H6245"/>
      <c r="I6245"/>
      <c r="J6245"/>
    </row>
    <row r="6246" spans="1:18" ht="12.75" x14ac:dyDescent="0.2"/>
    <row r="6247" spans="1:18" ht="14.25" customHeight="1" x14ac:dyDescent="0.2">
      <c r="K6247" s="68"/>
    </row>
    <row r="6248" spans="1:18" ht="14.25" customHeight="1" x14ac:dyDescent="0.2">
      <c r="K6248" s="68"/>
    </row>
    <row r="6249" spans="1:18" ht="12.75" x14ac:dyDescent="0.2">
      <c r="K6249" s="68"/>
    </row>
    <row r="6250" spans="1:18" ht="14.25" customHeight="1" x14ac:dyDescent="0.2">
      <c r="K6250" s="17"/>
    </row>
    <row r="6251" spans="1:18" ht="12.75" x14ac:dyDescent="0.2">
      <c r="K6251" s="17"/>
    </row>
    <row r="6252" spans="1:18" ht="12.75" x14ac:dyDescent="0.2">
      <c r="K6252" s="17"/>
    </row>
    <row r="6253" spans="1:18" ht="12.75" x14ac:dyDescent="0.2">
      <c r="K6253" s="17"/>
    </row>
    <row r="6254" spans="1:18" ht="12.75" x14ac:dyDescent="0.2">
      <c r="K6254" s="17"/>
    </row>
    <row r="6255" spans="1:18" ht="12.75" x14ac:dyDescent="0.2">
      <c r="K6255" s="17"/>
      <c r="R6255" s="17"/>
    </row>
    <row r="6256" spans="1:18" ht="12.75" x14ac:dyDescent="0.2">
      <c r="K6256" s="17"/>
    </row>
    <row r="6257" spans="1:11" ht="12.75" x14ac:dyDescent="0.2">
      <c r="K6257" s="17"/>
    </row>
    <row r="6258" spans="1:11" ht="12.75" x14ac:dyDescent="0.2"/>
    <row r="6259" spans="1:11" s="17" customFormat="1" ht="12.75" x14ac:dyDescent="0.2">
      <c r="A6259"/>
      <c r="B6259"/>
      <c r="C6259"/>
      <c r="D6259"/>
      <c r="E6259"/>
      <c r="F6259"/>
      <c r="G6259"/>
      <c r="H6259"/>
      <c r="I6259"/>
      <c r="J6259"/>
    </row>
    <row r="6260" spans="1:11" s="92" customFormat="1" ht="15" x14ac:dyDescent="0.2">
      <c r="A6260"/>
      <c r="B6260"/>
      <c r="C6260"/>
      <c r="D6260"/>
      <c r="E6260"/>
      <c r="F6260"/>
      <c r="G6260"/>
      <c r="H6260"/>
      <c r="I6260"/>
      <c r="J6260"/>
      <c r="K6260" s="19"/>
    </row>
    <row r="6261" spans="1:11" ht="12.75" x14ac:dyDescent="0.2"/>
    <row r="6262" spans="1:11" ht="12" customHeight="1" x14ac:dyDescent="0.2"/>
    <row r="6263" spans="1:11" ht="12.75" x14ac:dyDescent="0.2"/>
    <row r="6264" spans="1:11" ht="12.75" x14ac:dyDescent="0.2"/>
    <row r="6265" spans="1:11" ht="12.75" x14ac:dyDescent="0.2">
      <c r="K6265" s="57"/>
    </row>
    <row r="6266" spans="1:11" ht="12.75" x14ac:dyDescent="0.2">
      <c r="K6266" s="58"/>
    </row>
    <row r="6267" spans="1:11" ht="12.75" x14ac:dyDescent="0.2">
      <c r="K6267" s="58"/>
    </row>
    <row r="6268" spans="1:11" ht="12.75" x14ac:dyDescent="0.2"/>
    <row r="6269" spans="1:11" ht="12.75" x14ac:dyDescent="0.2">
      <c r="K6269" s="61"/>
    </row>
    <row r="6270" spans="1:11" ht="12.75" x14ac:dyDescent="0.2">
      <c r="K6270" s="61"/>
    </row>
    <row r="6271" spans="1:11" s="59" customFormat="1" ht="15" x14ac:dyDescent="0.25">
      <c r="A6271"/>
      <c r="B6271"/>
      <c r="C6271"/>
      <c r="D6271"/>
      <c r="E6271"/>
      <c r="F6271"/>
      <c r="G6271"/>
      <c r="H6271"/>
      <c r="I6271"/>
      <c r="J6271"/>
    </row>
    <row r="6272" spans="1:11" s="59" customFormat="1" ht="15" x14ac:dyDescent="0.25">
      <c r="A6272"/>
      <c r="B6272"/>
      <c r="C6272"/>
      <c r="D6272"/>
      <c r="E6272"/>
      <c r="F6272"/>
      <c r="G6272"/>
      <c r="H6272"/>
      <c r="I6272"/>
      <c r="J6272"/>
    </row>
    <row r="6273" spans="1:18" ht="12.75" x14ac:dyDescent="0.2"/>
    <row r="6274" spans="1:18" ht="14.25" customHeight="1" x14ac:dyDescent="0.2">
      <c r="K6274" s="68"/>
    </row>
    <row r="6275" spans="1:18" ht="14.25" customHeight="1" x14ac:dyDescent="0.2">
      <c r="K6275" s="68"/>
    </row>
    <row r="6276" spans="1:18" ht="12.75" x14ac:dyDescent="0.2">
      <c r="K6276" s="68"/>
    </row>
    <row r="6277" spans="1:18" ht="14.25" customHeight="1" x14ac:dyDescent="0.2">
      <c r="K6277" s="17"/>
    </row>
    <row r="6278" spans="1:18" ht="12.75" x14ac:dyDescent="0.2">
      <c r="K6278" s="17"/>
    </row>
    <row r="6279" spans="1:18" ht="12.75" x14ac:dyDescent="0.2">
      <c r="K6279" s="17"/>
    </row>
    <row r="6280" spans="1:18" ht="12.75" x14ac:dyDescent="0.2">
      <c r="K6280" s="17"/>
    </row>
    <row r="6281" spans="1:18" ht="12.75" x14ac:dyDescent="0.2">
      <c r="K6281" s="17"/>
    </row>
    <row r="6282" spans="1:18" ht="12.75" x14ac:dyDescent="0.2">
      <c r="K6282" s="17"/>
      <c r="R6282" s="17"/>
    </row>
    <row r="6283" spans="1:18" ht="12.75" x14ac:dyDescent="0.2">
      <c r="K6283" s="17"/>
    </row>
    <row r="6284" spans="1:18" ht="12.75" x14ac:dyDescent="0.2">
      <c r="K6284" s="17"/>
    </row>
    <row r="6285" spans="1:18" ht="12.75" x14ac:dyDescent="0.2"/>
    <row r="6286" spans="1:18" s="17" customFormat="1" ht="12.75" x14ac:dyDescent="0.2">
      <c r="A6286"/>
      <c r="B6286"/>
      <c r="C6286"/>
      <c r="D6286"/>
      <c r="E6286"/>
      <c r="F6286"/>
      <c r="G6286"/>
      <c r="H6286"/>
      <c r="I6286"/>
      <c r="J6286"/>
    </row>
    <row r="6287" spans="1:18" s="92" customFormat="1" ht="15" x14ac:dyDescent="0.2">
      <c r="A6287"/>
      <c r="B6287"/>
      <c r="C6287"/>
      <c r="D6287"/>
      <c r="E6287"/>
      <c r="F6287"/>
      <c r="G6287"/>
      <c r="H6287"/>
      <c r="I6287"/>
      <c r="J6287"/>
      <c r="K6287" s="19"/>
    </row>
    <row r="6288" spans="1:18" ht="12.75" x14ac:dyDescent="0.2"/>
    <row r="6289" spans="1:11" ht="12" customHeight="1" x14ac:dyDescent="0.2"/>
    <row r="6290" spans="1:11" ht="12.75" x14ac:dyDescent="0.2"/>
    <row r="6291" spans="1:11" ht="12.75" x14ac:dyDescent="0.2"/>
    <row r="6292" spans="1:11" ht="12.75" x14ac:dyDescent="0.2">
      <c r="K6292" s="57"/>
    </row>
    <row r="6293" spans="1:11" ht="12.75" x14ac:dyDescent="0.2">
      <c r="K6293" s="58"/>
    </row>
    <row r="6294" spans="1:11" ht="12.75" x14ac:dyDescent="0.2">
      <c r="K6294" s="58"/>
    </row>
    <row r="6295" spans="1:11" ht="12.75" x14ac:dyDescent="0.2"/>
    <row r="6296" spans="1:11" ht="12.75" x14ac:dyDescent="0.2">
      <c r="K6296" s="61"/>
    </row>
    <row r="6297" spans="1:11" ht="12.75" x14ac:dyDescent="0.2">
      <c r="K6297" s="61"/>
    </row>
    <row r="6298" spans="1:11" s="59" customFormat="1" ht="15" x14ac:dyDescent="0.25">
      <c r="A6298"/>
      <c r="B6298"/>
      <c r="C6298"/>
      <c r="D6298"/>
      <c r="E6298"/>
      <c r="F6298"/>
      <c r="G6298"/>
      <c r="H6298"/>
      <c r="I6298"/>
      <c r="J6298"/>
    </row>
    <row r="6299" spans="1:11" s="59" customFormat="1" ht="15" x14ac:dyDescent="0.25">
      <c r="A6299"/>
      <c r="B6299"/>
      <c r="C6299"/>
      <c r="D6299"/>
      <c r="E6299"/>
      <c r="F6299"/>
      <c r="G6299"/>
      <c r="H6299"/>
      <c r="I6299"/>
      <c r="J6299"/>
    </row>
    <row r="6300" spans="1:11" ht="12.75" x14ac:dyDescent="0.2"/>
    <row r="6301" spans="1:11" ht="14.25" customHeight="1" x14ac:dyDescent="0.2">
      <c r="K6301" s="68"/>
    </row>
    <row r="6302" spans="1:11" ht="14.25" customHeight="1" x14ac:dyDescent="0.2">
      <c r="K6302" s="68"/>
    </row>
    <row r="6303" spans="1:11" ht="12.75" x14ac:dyDescent="0.2">
      <c r="K6303" s="68"/>
    </row>
    <row r="6304" spans="1:11" ht="14.25" customHeight="1" x14ac:dyDescent="0.2">
      <c r="K6304" s="17"/>
    </row>
    <row r="6305" spans="1:18" ht="12.75" x14ac:dyDescent="0.2">
      <c r="K6305" s="17"/>
    </row>
    <row r="6306" spans="1:18" ht="12.75" x14ac:dyDescent="0.2">
      <c r="K6306" s="17"/>
    </row>
    <row r="6307" spans="1:18" ht="12.75" x14ac:dyDescent="0.2">
      <c r="K6307" s="17"/>
    </row>
    <row r="6308" spans="1:18" ht="12.75" x14ac:dyDescent="0.2">
      <c r="K6308" s="17"/>
    </row>
    <row r="6309" spans="1:18" ht="12.75" x14ac:dyDescent="0.2">
      <c r="K6309" s="17"/>
      <c r="R6309" s="17"/>
    </row>
    <row r="6310" spans="1:18" ht="12.75" x14ac:dyDescent="0.2">
      <c r="K6310" s="17"/>
    </row>
    <row r="6311" spans="1:18" ht="12.75" x14ac:dyDescent="0.2">
      <c r="K6311" s="17"/>
    </row>
    <row r="6312" spans="1:18" ht="12.75" x14ac:dyDescent="0.2"/>
    <row r="6313" spans="1:18" s="17" customFormat="1" ht="12.75" x14ac:dyDescent="0.2">
      <c r="A6313"/>
      <c r="B6313"/>
      <c r="C6313"/>
      <c r="D6313"/>
      <c r="E6313"/>
      <c r="F6313"/>
      <c r="G6313"/>
      <c r="H6313"/>
      <c r="I6313"/>
      <c r="J6313"/>
    </row>
    <row r="6314" spans="1:18" s="92" customFormat="1" ht="15" x14ac:dyDescent="0.2">
      <c r="A6314"/>
      <c r="B6314"/>
      <c r="C6314"/>
      <c r="D6314"/>
      <c r="E6314"/>
      <c r="F6314"/>
      <c r="G6314"/>
      <c r="H6314"/>
      <c r="I6314"/>
      <c r="J6314"/>
      <c r="K6314" s="19"/>
    </row>
    <row r="6315" spans="1:18" ht="12.75" x14ac:dyDescent="0.2"/>
    <row r="6316" spans="1:18" ht="12" customHeight="1" x14ac:dyDescent="0.2"/>
    <row r="6317" spans="1:18" ht="12.75" x14ac:dyDescent="0.2"/>
    <row r="6318" spans="1:18" ht="12.75" x14ac:dyDescent="0.2"/>
    <row r="6319" spans="1:18" ht="12.75" x14ac:dyDescent="0.2">
      <c r="K6319" s="57"/>
    </row>
    <row r="6320" spans="1:18" ht="12.75" x14ac:dyDescent="0.2">
      <c r="K6320" s="58"/>
    </row>
    <row r="6321" spans="1:18" ht="12.75" x14ac:dyDescent="0.2">
      <c r="K6321" s="58"/>
    </row>
    <row r="6322" spans="1:18" ht="12.75" x14ac:dyDescent="0.2"/>
    <row r="6323" spans="1:18" ht="12.75" x14ac:dyDescent="0.2">
      <c r="K6323" s="61"/>
    </row>
    <row r="6324" spans="1:18" ht="12.75" x14ac:dyDescent="0.2">
      <c r="K6324" s="61"/>
    </row>
    <row r="6325" spans="1:18" s="59" customFormat="1" ht="15" x14ac:dyDescent="0.25">
      <c r="A6325"/>
      <c r="B6325"/>
      <c r="C6325"/>
      <c r="D6325"/>
      <c r="E6325"/>
      <c r="F6325"/>
      <c r="G6325"/>
      <c r="H6325"/>
      <c r="I6325"/>
      <c r="J6325"/>
    </row>
    <row r="6326" spans="1:18" s="59" customFormat="1" ht="15" x14ac:dyDescent="0.25">
      <c r="A6326"/>
      <c r="B6326"/>
      <c r="C6326"/>
      <c r="D6326"/>
      <c r="E6326"/>
      <c r="F6326"/>
      <c r="G6326"/>
      <c r="H6326"/>
      <c r="I6326"/>
      <c r="J6326"/>
    </row>
    <row r="6327" spans="1:18" ht="12.75" x14ac:dyDescent="0.2"/>
    <row r="6328" spans="1:18" ht="14.25" customHeight="1" x14ac:dyDescent="0.2">
      <c r="K6328" s="68"/>
    </row>
    <row r="6329" spans="1:18" ht="14.25" customHeight="1" x14ac:dyDescent="0.2">
      <c r="K6329" s="68"/>
    </row>
    <row r="6330" spans="1:18" ht="12.75" x14ac:dyDescent="0.2">
      <c r="K6330" s="68"/>
    </row>
    <row r="6331" spans="1:18" ht="14.25" customHeight="1" x14ac:dyDescent="0.2">
      <c r="K6331" s="17"/>
    </row>
    <row r="6332" spans="1:18" ht="12.75" x14ac:dyDescent="0.2">
      <c r="K6332" s="17"/>
    </row>
    <row r="6333" spans="1:18" ht="12.75" x14ac:dyDescent="0.2">
      <c r="K6333" s="17"/>
    </row>
    <row r="6334" spans="1:18" ht="12.75" x14ac:dyDescent="0.2">
      <c r="K6334" s="17"/>
    </row>
    <row r="6335" spans="1:18" ht="12.75" x14ac:dyDescent="0.2">
      <c r="K6335" s="17"/>
    </row>
    <row r="6336" spans="1:18" ht="12.75" x14ac:dyDescent="0.2">
      <c r="K6336" s="17"/>
      <c r="R6336" s="17"/>
    </row>
    <row r="6337" spans="1:11" ht="12.75" x14ac:dyDescent="0.2">
      <c r="K6337" s="17"/>
    </row>
    <row r="6338" spans="1:11" ht="12.75" x14ac:dyDescent="0.2">
      <c r="K6338" s="17"/>
    </row>
    <row r="6339" spans="1:11" ht="12.75" x14ac:dyDescent="0.2"/>
    <row r="6340" spans="1:11" s="17" customFormat="1" ht="12.75" x14ac:dyDescent="0.2">
      <c r="A6340"/>
      <c r="B6340"/>
      <c r="C6340"/>
      <c r="D6340"/>
      <c r="E6340"/>
      <c r="F6340"/>
      <c r="G6340"/>
      <c r="H6340"/>
      <c r="I6340"/>
      <c r="J6340"/>
    </row>
    <row r="6341" spans="1:11" s="92" customFormat="1" ht="15" x14ac:dyDescent="0.2">
      <c r="A6341"/>
      <c r="B6341"/>
      <c r="C6341"/>
      <c r="D6341"/>
      <c r="E6341"/>
      <c r="F6341"/>
      <c r="G6341"/>
      <c r="H6341"/>
      <c r="I6341"/>
      <c r="J6341"/>
      <c r="K6341" s="19"/>
    </row>
    <row r="6342" spans="1:11" ht="12.75" x14ac:dyDescent="0.2"/>
    <row r="6343" spans="1:11" ht="12" customHeight="1" x14ac:dyDescent="0.2"/>
    <row r="6344" spans="1:11" ht="12.75" x14ac:dyDescent="0.2"/>
    <row r="6345" spans="1:11" ht="12.75" x14ac:dyDescent="0.2"/>
    <row r="6346" spans="1:11" ht="12.75" x14ac:dyDescent="0.2">
      <c r="K6346" s="57"/>
    </row>
    <row r="6347" spans="1:11" ht="12.75" x14ac:dyDescent="0.2">
      <c r="K6347" s="58"/>
    </row>
    <row r="6348" spans="1:11" ht="12.75" x14ac:dyDescent="0.2">
      <c r="K6348" s="58"/>
    </row>
    <row r="6349" spans="1:11" ht="12.75" x14ac:dyDescent="0.2"/>
    <row r="6350" spans="1:11" ht="12.75" x14ac:dyDescent="0.2">
      <c r="K6350" s="61"/>
    </row>
    <row r="6351" spans="1:11" ht="12.75" x14ac:dyDescent="0.2">
      <c r="K6351" s="61"/>
    </row>
    <row r="6352" spans="1:11" s="59" customFormat="1" ht="15" x14ac:dyDescent="0.25">
      <c r="A6352"/>
      <c r="B6352"/>
      <c r="C6352"/>
      <c r="D6352"/>
      <c r="E6352"/>
      <c r="F6352"/>
      <c r="G6352"/>
      <c r="H6352"/>
      <c r="I6352"/>
      <c r="J6352"/>
    </row>
    <row r="6353" spans="1:18" s="59" customFormat="1" ht="15" x14ac:dyDescent="0.25">
      <c r="A6353"/>
      <c r="B6353"/>
      <c r="C6353"/>
      <c r="D6353"/>
      <c r="E6353"/>
      <c r="F6353"/>
      <c r="G6353"/>
      <c r="H6353"/>
      <c r="I6353"/>
      <c r="J6353"/>
    </row>
    <row r="6354" spans="1:18" ht="12.75" x14ac:dyDescent="0.2"/>
    <row r="6355" spans="1:18" ht="14.25" customHeight="1" x14ac:dyDescent="0.2">
      <c r="K6355" s="68"/>
    </row>
    <row r="6356" spans="1:18" ht="14.25" customHeight="1" x14ac:dyDescent="0.2">
      <c r="K6356" s="68"/>
    </row>
    <row r="6357" spans="1:18" ht="12.75" x14ac:dyDescent="0.2">
      <c r="K6357" s="68"/>
    </row>
    <row r="6358" spans="1:18" ht="14.25" customHeight="1" x14ac:dyDescent="0.2">
      <c r="K6358" s="17"/>
    </row>
    <row r="6359" spans="1:18" ht="12.75" x14ac:dyDescent="0.2">
      <c r="K6359" s="17"/>
    </row>
    <row r="6360" spans="1:18" ht="12.75" x14ac:dyDescent="0.2">
      <c r="K6360" s="17"/>
    </row>
    <row r="6361" spans="1:18" ht="12.75" x14ac:dyDescent="0.2">
      <c r="K6361" s="17"/>
    </row>
    <row r="6362" spans="1:18" ht="12.75" x14ac:dyDescent="0.2">
      <c r="K6362" s="17"/>
    </row>
    <row r="6363" spans="1:18" ht="12.75" x14ac:dyDescent="0.2">
      <c r="K6363" s="17"/>
      <c r="R6363" s="17"/>
    </row>
    <row r="6364" spans="1:18" ht="12.75" x14ac:dyDescent="0.2">
      <c r="K6364" s="17"/>
    </row>
    <row r="6365" spans="1:18" ht="12.75" x14ac:dyDescent="0.2">
      <c r="K6365" s="17"/>
    </row>
    <row r="6366" spans="1:18" ht="12.75" x14ac:dyDescent="0.2"/>
    <row r="6367" spans="1:18" s="17" customFormat="1" ht="12.75" x14ac:dyDescent="0.2">
      <c r="A6367"/>
      <c r="B6367"/>
      <c r="C6367"/>
      <c r="D6367"/>
      <c r="E6367"/>
      <c r="F6367"/>
      <c r="G6367"/>
      <c r="H6367"/>
      <c r="I6367"/>
      <c r="J6367"/>
    </row>
    <row r="6368" spans="1:18" s="92" customFormat="1" ht="15" x14ac:dyDescent="0.2">
      <c r="A6368"/>
      <c r="B6368"/>
      <c r="C6368"/>
      <c r="D6368"/>
      <c r="E6368"/>
      <c r="F6368"/>
      <c r="G6368"/>
      <c r="H6368"/>
      <c r="I6368"/>
      <c r="J6368"/>
      <c r="K6368" s="19"/>
    </row>
    <row r="6369" spans="1:11" ht="12.75" x14ac:dyDescent="0.2"/>
    <row r="6370" spans="1:11" ht="12" customHeight="1" x14ac:dyDescent="0.2"/>
    <row r="6371" spans="1:11" ht="12.75" x14ac:dyDescent="0.2"/>
    <row r="6372" spans="1:11" ht="12.75" x14ac:dyDescent="0.2"/>
    <row r="6373" spans="1:11" ht="12.75" x14ac:dyDescent="0.2">
      <c r="K6373" s="57"/>
    </row>
    <row r="6374" spans="1:11" ht="12.75" x14ac:dyDescent="0.2">
      <c r="K6374" s="58"/>
    </row>
    <row r="6375" spans="1:11" ht="12.75" x14ac:dyDescent="0.2">
      <c r="K6375" s="58"/>
    </row>
    <row r="6376" spans="1:11" ht="12.75" x14ac:dyDescent="0.2"/>
    <row r="6377" spans="1:11" ht="12.75" x14ac:dyDescent="0.2">
      <c r="K6377" s="61"/>
    </row>
    <row r="6378" spans="1:11" ht="12.75" x14ac:dyDescent="0.2">
      <c r="K6378" s="61"/>
    </row>
    <row r="6379" spans="1:11" s="59" customFormat="1" ht="15" x14ac:dyDescent="0.25">
      <c r="A6379"/>
      <c r="B6379"/>
      <c r="C6379"/>
      <c r="D6379"/>
      <c r="E6379"/>
      <c r="F6379"/>
      <c r="G6379"/>
      <c r="H6379"/>
      <c r="I6379"/>
      <c r="J6379"/>
    </row>
    <row r="6380" spans="1:11" s="59" customFormat="1" ht="15" x14ac:dyDescent="0.25">
      <c r="A6380"/>
      <c r="B6380"/>
      <c r="C6380"/>
      <c r="D6380"/>
      <c r="E6380"/>
      <c r="F6380"/>
      <c r="G6380"/>
      <c r="H6380"/>
      <c r="I6380"/>
      <c r="J6380"/>
    </row>
    <row r="6381" spans="1:11" ht="12.75" x14ac:dyDescent="0.2"/>
    <row r="6382" spans="1:11" ht="14.25" customHeight="1" x14ac:dyDescent="0.2">
      <c r="K6382" s="68"/>
    </row>
    <row r="6383" spans="1:11" ht="14.25" customHeight="1" x14ac:dyDescent="0.2">
      <c r="K6383" s="68"/>
    </row>
    <row r="6384" spans="1:11" ht="12.75" x14ac:dyDescent="0.2">
      <c r="K6384" s="68"/>
    </row>
    <row r="6385" spans="1:18" ht="14.25" customHeight="1" x14ac:dyDescent="0.2">
      <c r="K6385" s="17"/>
    </row>
    <row r="6386" spans="1:18" ht="12.75" x14ac:dyDescent="0.2">
      <c r="K6386" s="17"/>
    </row>
    <row r="6387" spans="1:18" ht="12.75" x14ac:dyDescent="0.2">
      <c r="K6387" s="17"/>
    </row>
    <row r="6388" spans="1:18" ht="12.75" x14ac:dyDescent="0.2">
      <c r="K6388" s="17"/>
    </row>
    <row r="6389" spans="1:18" ht="12.75" x14ac:dyDescent="0.2">
      <c r="K6389" s="17"/>
    </row>
    <row r="6390" spans="1:18" ht="12.75" x14ac:dyDescent="0.2">
      <c r="K6390" s="17"/>
      <c r="R6390" s="17"/>
    </row>
    <row r="6391" spans="1:18" ht="12.75" x14ac:dyDescent="0.2">
      <c r="K6391" s="17"/>
    </row>
    <row r="6392" spans="1:18" ht="12.75" x14ac:dyDescent="0.2">
      <c r="K6392" s="17"/>
    </row>
    <row r="6393" spans="1:18" ht="12.75" x14ac:dyDescent="0.2"/>
    <row r="6394" spans="1:18" s="17" customFormat="1" ht="12.75" x14ac:dyDescent="0.2">
      <c r="A6394"/>
      <c r="B6394"/>
      <c r="C6394"/>
      <c r="D6394"/>
      <c r="E6394"/>
      <c r="F6394"/>
      <c r="G6394"/>
      <c r="H6394"/>
      <c r="I6394"/>
      <c r="J6394"/>
    </row>
    <row r="6395" spans="1:18" s="92" customFormat="1" ht="15" x14ac:dyDescent="0.2">
      <c r="A6395"/>
      <c r="B6395"/>
      <c r="C6395"/>
      <c r="D6395"/>
      <c r="E6395"/>
      <c r="F6395"/>
      <c r="G6395"/>
      <c r="H6395"/>
      <c r="I6395"/>
      <c r="J6395"/>
      <c r="K6395" s="19"/>
    </row>
    <row r="6396" spans="1:18" ht="12.75" x14ac:dyDescent="0.2"/>
    <row r="6397" spans="1:18" ht="12" customHeight="1" x14ac:dyDescent="0.2"/>
    <row r="6398" spans="1:18" ht="12.75" x14ac:dyDescent="0.2"/>
    <row r="6399" spans="1:18" ht="12.75" x14ac:dyDescent="0.2"/>
    <row r="6400" spans="1:18" ht="12.75" x14ac:dyDescent="0.2">
      <c r="K6400" s="57"/>
    </row>
    <row r="6401" spans="1:11" ht="12.75" x14ac:dyDescent="0.2">
      <c r="K6401" s="58"/>
    </row>
    <row r="6402" spans="1:11" ht="12.75" x14ac:dyDescent="0.2">
      <c r="K6402" s="58"/>
    </row>
    <row r="6403" spans="1:11" ht="12.75" x14ac:dyDescent="0.2"/>
    <row r="6404" spans="1:11" ht="12.75" x14ac:dyDescent="0.2">
      <c r="K6404" s="61"/>
    </row>
    <row r="6405" spans="1:11" ht="12.75" x14ac:dyDescent="0.2">
      <c r="K6405" s="61"/>
    </row>
    <row r="6406" spans="1:11" s="59" customFormat="1" ht="15" x14ac:dyDescent="0.25">
      <c r="A6406"/>
      <c r="B6406"/>
      <c r="C6406"/>
      <c r="D6406"/>
      <c r="E6406"/>
      <c r="F6406"/>
      <c r="G6406"/>
      <c r="H6406"/>
      <c r="I6406"/>
      <c r="J6406"/>
    </row>
    <row r="6407" spans="1:11" s="59" customFormat="1" ht="15" x14ac:dyDescent="0.25">
      <c r="A6407"/>
      <c r="B6407"/>
      <c r="C6407"/>
      <c r="D6407"/>
      <c r="E6407"/>
      <c r="F6407"/>
      <c r="G6407"/>
      <c r="H6407"/>
      <c r="I6407"/>
      <c r="J6407"/>
    </row>
    <row r="6408" spans="1:11" ht="12.75" x14ac:dyDescent="0.2"/>
    <row r="6409" spans="1:11" ht="14.25" customHeight="1" x14ac:dyDescent="0.2">
      <c r="K6409" s="68"/>
    </row>
    <row r="6410" spans="1:11" ht="14.25" customHeight="1" x14ac:dyDescent="0.2">
      <c r="K6410" s="68"/>
    </row>
    <row r="6411" spans="1:11" ht="12.75" x14ac:dyDescent="0.2">
      <c r="K6411" s="68"/>
    </row>
    <row r="6412" spans="1:11" ht="14.25" customHeight="1" x14ac:dyDescent="0.2">
      <c r="K6412" s="17"/>
    </row>
    <row r="6413" spans="1:11" ht="12.75" x14ac:dyDescent="0.2">
      <c r="K6413" s="17"/>
    </row>
    <row r="6414" spans="1:11" ht="12.75" x14ac:dyDescent="0.2">
      <c r="K6414" s="17"/>
    </row>
    <row r="6415" spans="1:11" ht="12.75" x14ac:dyDescent="0.2">
      <c r="K6415" s="17"/>
    </row>
    <row r="6416" spans="1:11" ht="12.75" x14ac:dyDescent="0.2">
      <c r="K6416" s="17"/>
    </row>
    <row r="6417" spans="1:18" ht="12.75" x14ac:dyDescent="0.2">
      <c r="K6417" s="17"/>
      <c r="R6417" s="17"/>
    </row>
    <row r="6418" spans="1:18" ht="12.75" x14ac:dyDescent="0.2">
      <c r="K6418" s="17"/>
    </row>
    <row r="6419" spans="1:18" ht="12.75" x14ac:dyDescent="0.2">
      <c r="K6419" s="17"/>
    </row>
    <row r="6420" spans="1:18" ht="12.75" x14ac:dyDescent="0.2"/>
    <row r="6421" spans="1:18" s="17" customFormat="1" ht="12.75" x14ac:dyDescent="0.2">
      <c r="A6421"/>
      <c r="B6421"/>
      <c r="C6421"/>
      <c r="D6421"/>
      <c r="E6421"/>
      <c r="F6421"/>
      <c r="G6421"/>
      <c r="H6421"/>
      <c r="I6421"/>
      <c r="J6421"/>
    </row>
    <row r="6422" spans="1:18" s="92" customFormat="1" ht="15" x14ac:dyDescent="0.2">
      <c r="A6422"/>
      <c r="B6422"/>
      <c r="C6422"/>
      <c r="D6422"/>
      <c r="E6422"/>
      <c r="F6422"/>
      <c r="G6422"/>
      <c r="H6422"/>
      <c r="I6422"/>
      <c r="J6422"/>
      <c r="K6422" s="19"/>
    </row>
    <row r="6423" spans="1:18" ht="12.75" x14ac:dyDescent="0.2"/>
    <row r="6424" spans="1:18" ht="12" customHeight="1" x14ac:dyDescent="0.2"/>
    <row r="6425" spans="1:18" ht="12.75" x14ac:dyDescent="0.2"/>
    <row r="6426" spans="1:18" ht="12.75" x14ac:dyDescent="0.2"/>
    <row r="6427" spans="1:18" ht="12.75" x14ac:dyDescent="0.2">
      <c r="K6427" s="57"/>
    </row>
    <row r="6428" spans="1:18" ht="12.75" x14ac:dyDescent="0.2">
      <c r="K6428" s="58"/>
    </row>
    <row r="6429" spans="1:18" ht="12.75" x14ac:dyDescent="0.2">
      <c r="K6429" s="58"/>
    </row>
    <row r="6430" spans="1:18" ht="12.75" x14ac:dyDescent="0.2"/>
    <row r="6431" spans="1:18" ht="12.75" x14ac:dyDescent="0.2">
      <c r="K6431" s="61"/>
    </row>
    <row r="6432" spans="1:18" ht="12.75" x14ac:dyDescent="0.2">
      <c r="K6432" s="61"/>
    </row>
    <row r="6433" spans="1:18" s="59" customFormat="1" ht="15" x14ac:dyDescent="0.25">
      <c r="A6433"/>
      <c r="B6433"/>
      <c r="C6433"/>
      <c r="D6433"/>
      <c r="E6433"/>
      <c r="F6433"/>
      <c r="G6433"/>
      <c r="H6433"/>
      <c r="I6433"/>
      <c r="J6433"/>
    </row>
    <row r="6434" spans="1:18" s="59" customFormat="1" ht="15" x14ac:dyDescent="0.25">
      <c r="A6434"/>
      <c r="B6434"/>
      <c r="C6434"/>
      <c r="D6434"/>
      <c r="E6434"/>
      <c r="F6434"/>
      <c r="G6434"/>
      <c r="H6434"/>
      <c r="I6434"/>
      <c r="J6434"/>
    </row>
    <row r="6435" spans="1:18" ht="12.75" x14ac:dyDescent="0.2"/>
    <row r="6436" spans="1:18" ht="14.25" customHeight="1" x14ac:dyDescent="0.2">
      <c r="K6436" s="68"/>
    </row>
    <row r="6437" spans="1:18" ht="14.25" customHeight="1" x14ac:dyDescent="0.2">
      <c r="K6437" s="68"/>
    </row>
    <row r="6438" spans="1:18" ht="12.75" x14ac:dyDescent="0.2">
      <c r="K6438" s="68"/>
    </row>
    <row r="6439" spans="1:18" ht="14.25" customHeight="1" x14ac:dyDescent="0.2">
      <c r="K6439" s="17"/>
    </row>
    <row r="6440" spans="1:18" ht="12.75" x14ac:dyDescent="0.2">
      <c r="K6440" s="17"/>
    </row>
    <row r="6441" spans="1:18" ht="12.75" x14ac:dyDescent="0.2">
      <c r="K6441" s="17"/>
    </row>
    <row r="6442" spans="1:18" ht="12.75" x14ac:dyDescent="0.2">
      <c r="K6442" s="17"/>
    </row>
    <row r="6443" spans="1:18" ht="12.75" x14ac:dyDescent="0.2">
      <c r="K6443" s="17"/>
    </row>
    <row r="6444" spans="1:18" ht="12.75" x14ac:dyDescent="0.2">
      <c r="K6444" s="17"/>
      <c r="R6444" s="17"/>
    </row>
    <row r="6445" spans="1:18" ht="12.75" x14ac:dyDescent="0.2">
      <c r="K6445" s="17"/>
    </row>
    <row r="6446" spans="1:18" ht="12.75" x14ac:dyDescent="0.2">
      <c r="K6446" s="17"/>
    </row>
    <row r="6447" spans="1:18" ht="12.75" x14ac:dyDescent="0.2"/>
    <row r="6448" spans="1:18" s="17" customFormat="1" ht="12.75" x14ac:dyDescent="0.2">
      <c r="A6448"/>
      <c r="B6448"/>
      <c r="C6448"/>
      <c r="D6448"/>
      <c r="E6448"/>
      <c r="F6448"/>
      <c r="G6448"/>
      <c r="H6448"/>
      <c r="I6448"/>
      <c r="J6448"/>
    </row>
    <row r="6449" spans="1:11" s="92" customFormat="1" ht="15" x14ac:dyDescent="0.2">
      <c r="A6449"/>
      <c r="B6449"/>
      <c r="C6449"/>
      <c r="D6449"/>
      <c r="E6449"/>
      <c r="F6449"/>
      <c r="G6449"/>
      <c r="H6449"/>
      <c r="I6449"/>
      <c r="J6449"/>
      <c r="K6449" s="19"/>
    </row>
    <row r="6450" spans="1:11" ht="12.75" x14ac:dyDescent="0.2"/>
    <row r="6451" spans="1:11" ht="12" customHeight="1" x14ac:dyDescent="0.2"/>
    <row r="6452" spans="1:11" ht="12.75" x14ac:dyDescent="0.2"/>
    <row r="6453" spans="1:11" ht="12.75" x14ac:dyDescent="0.2"/>
    <row r="6454" spans="1:11" ht="12.75" x14ac:dyDescent="0.2">
      <c r="K6454" s="57"/>
    </row>
    <row r="6455" spans="1:11" ht="12.75" x14ac:dyDescent="0.2">
      <c r="K6455" s="58"/>
    </row>
    <row r="6456" spans="1:11" ht="12.75" x14ac:dyDescent="0.2">
      <c r="K6456" s="58"/>
    </row>
    <row r="6457" spans="1:11" ht="12.75" x14ac:dyDescent="0.2"/>
    <row r="6458" spans="1:11" ht="12.75" x14ac:dyDescent="0.2">
      <c r="K6458" s="61"/>
    </row>
    <row r="6459" spans="1:11" ht="12.75" x14ac:dyDescent="0.2">
      <c r="K6459" s="61"/>
    </row>
    <row r="6460" spans="1:11" s="59" customFormat="1" ht="15" x14ac:dyDescent="0.25">
      <c r="A6460"/>
      <c r="B6460"/>
      <c r="C6460"/>
      <c r="D6460"/>
      <c r="E6460"/>
      <c r="F6460"/>
      <c r="G6460"/>
      <c r="H6460"/>
      <c r="I6460"/>
      <c r="J6460"/>
    </row>
    <row r="6461" spans="1:11" s="59" customFormat="1" ht="15" x14ac:dyDescent="0.25">
      <c r="A6461"/>
      <c r="B6461"/>
      <c r="C6461"/>
      <c r="D6461"/>
      <c r="E6461"/>
      <c r="F6461"/>
      <c r="G6461"/>
      <c r="H6461"/>
      <c r="I6461"/>
      <c r="J6461"/>
    </row>
    <row r="6462" spans="1:11" ht="12.75" x14ac:dyDescent="0.2"/>
    <row r="6463" spans="1:11" ht="14.25" customHeight="1" x14ac:dyDescent="0.2">
      <c r="K6463" s="68"/>
    </row>
    <row r="6464" spans="1:11" ht="14.25" customHeight="1" x14ac:dyDescent="0.2">
      <c r="K6464" s="68"/>
    </row>
    <row r="6465" spans="1:18" ht="12.75" x14ac:dyDescent="0.2">
      <c r="K6465" s="68"/>
    </row>
    <row r="6466" spans="1:18" ht="14.25" customHeight="1" x14ac:dyDescent="0.2">
      <c r="K6466" s="17"/>
    </row>
    <row r="6467" spans="1:18" ht="12.75" x14ac:dyDescent="0.2">
      <c r="K6467" s="17"/>
    </row>
    <row r="6468" spans="1:18" ht="12.75" x14ac:dyDescent="0.2">
      <c r="K6468" s="17"/>
    </row>
    <row r="6469" spans="1:18" ht="12.75" x14ac:dyDescent="0.2">
      <c r="K6469" s="17"/>
    </row>
    <row r="6470" spans="1:18" ht="12.75" x14ac:dyDescent="0.2">
      <c r="K6470" s="17"/>
    </row>
    <row r="6471" spans="1:18" ht="12.75" x14ac:dyDescent="0.2">
      <c r="K6471" s="17"/>
      <c r="R6471" s="17"/>
    </row>
    <row r="6472" spans="1:18" ht="12.75" x14ac:dyDescent="0.2">
      <c r="K6472" s="17"/>
    </row>
    <row r="6473" spans="1:18" ht="12.75" x14ac:dyDescent="0.2">
      <c r="K6473" s="17"/>
    </row>
    <row r="6474" spans="1:18" ht="12.75" x14ac:dyDescent="0.2"/>
    <row r="6475" spans="1:18" s="17" customFormat="1" ht="12.75" x14ac:dyDescent="0.2">
      <c r="A6475"/>
      <c r="B6475"/>
      <c r="C6475"/>
      <c r="D6475"/>
      <c r="E6475"/>
      <c r="F6475"/>
      <c r="G6475"/>
      <c r="H6475"/>
      <c r="I6475"/>
      <c r="J6475"/>
    </row>
    <row r="6476" spans="1:18" s="92" customFormat="1" ht="15" x14ac:dyDescent="0.2">
      <c r="A6476"/>
      <c r="B6476"/>
      <c r="C6476"/>
      <c r="D6476"/>
      <c r="E6476"/>
      <c r="F6476"/>
      <c r="G6476"/>
      <c r="H6476"/>
      <c r="I6476"/>
      <c r="J6476"/>
      <c r="K6476" s="19"/>
    </row>
    <row r="6477" spans="1:18" ht="12.75" x14ac:dyDescent="0.2"/>
    <row r="6478" spans="1:18" ht="12" customHeight="1" x14ac:dyDescent="0.2"/>
    <row r="6479" spans="1:18" ht="12.75" x14ac:dyDescent="0.2"/>
    <row r="6480" spans="1:18" ht="12.75" x14ac:dyDescent="0.2"/>
    <row r="6481" spans="1:11" ht="12.75" x14ac:dyDescent="0.2">
      <c r="K6481" s="57"/>
    </row>
    <row r="6482" spans="1:11" ht="12.75" x14ac:dyDescent="0.2">
      <c r="K6482" s="58"/>
    </row>
    <row r="6483" spans="1:11" ht="12.75" x14ac:dyDescent="0.2">
      <c r="K6483" s="58"/>
    </row>
    <row r="6484" spans="1:11" ht="12.75" x14ac:dyDescent="0.2"/>
    <row r="6485" spans="1:11" ht="12.75" x14ac:dyDescent="0.2">
      <c r="K6485" s="61"/>
    </row>
    <row r="6486" spans="1:11" ht="12.75" x14ac:dyDescent="0.2">
      <c r="K6486" s="61"/>
    </row>
    <row r="6487" spans="1:11" s="59" customFormat="1" ht="15" x14ac:dyDescent="0.25">
      <c r="A6487"/>
      <c r="B6487"/>
      <c r="C6487"/>
      <c r="D6487"/>
      <c r="E6487"/>
      <c r="F6487"/>
      <c r="G6487"/>
      <c r="H6487"/>
      <c r="I6487"/>
      <c r="J6487"/>
    </row>
    <row r="6488" spans="1:11" s="59" customFormat="1" ht="15" x14ac:dyDescent="0.25">
      <c r="A6488"/>
      <c r="B6488"/>
      <c r="C6488"/>
      <c r="D6488"/>
      <c r="E6488"/>
      <c r="F6488"/>
      <c r="G6488"/>
      <c r="H6488"/>
      <c r="I6488"/>
      <c r="J6488"/>
    </row>
    <row r="6489" spans="1:11" ht="12.75" x14ac:dyDescent="0.2"/>
    <row r="6490" spans="1:11" ht="14.25" customHeight="1" x14ac:dyDescent="0.2">
      <c r="K6490" s="68"/>
    </row>
    <row r="6491" spans="1:11" ht="14.25" customHeight="1" x14ac:dyDescent="0.2">
      <c r="K6491" s="68"/>
    </row>
    <row r="6492" spans="1:11" ht="12.75" x14ac:dyDescent="0.2">
      <c r="K6492" s="68"/>
    </row>
    <row r="6493" spans="1:11" ht="14.25" customHeight="1" x14ac:dyDescent="0.2">
      <c r="K6493" s="17"/>
    </row>
    <row r="6494" spans="1:11" ht="12.75" x14ac:dyDescent="0.2">
      <c r="K6494" s="17"/>
    </row>
    <row r="6495" spans="1:11" ht="12.75" x14ac:dyDescent="0.2">
      <c r="K6495" s="17"/>
    </row>
    <row r="6496" spans="1:11" ht="12.75" x14ac:dyDescent="0.2">
      <c r="K6496" s="17"/>
    </row>
    <row r="6497" spans="1:18" ht="12.75" x14ac:dyDescent="0.2">
      <c r="K6497" s="17"/>
    </row>
    <row r="6498" spans="1:18" ht="12.75" x14ac:dyDescent="0.2">
      <c r="K6498" s="17"/>
      <c r="R6498" s="17"/>
    </row>
    <row r="6499" spans="1:18" ht="12.75" x14ac:dyDescent="0.2">
      <c r="K6499" s="17"/>
    </row>
    <row r="6500" spans="1:18" ht="12.75" x14ac:dyDescent="0.2">
      <c r="K6500" s="17"/>
    </row>
    <row r="6501" spans="1:18" ht="12.75" x14ac:dyDescent="0.2"/>
    <row r="6502" spans="1:18" s="17" customFormat="1" ht="12.75" x14ac:dyDescent="0.2">
      <c r="A6502"/>
      <c r="B6502"/>
      <c r="C6502"/>
      <c r="D6502"/>
      <c r="E6502"/>
      <c r="F6502"/>
      <c r="G6502"/>
      <c r="H6502"/>
      <c r="I6502"/>
      <c r="J6502"/>
    </row>
    <row r="6503" spans="1:18" s="92" customFormat="1" ht="15" x14ac:dyDescent="0.2">
      <c r="A6503"/>
      <c r="B6503"/>
      <c r="C6503"/>
      <c r="D6503"/>
      <c r="E6503"/>
      <c r="F6503"/>
      <c r="G6503"/>
      <c r="H6503"/>
      <c r="I6503"/>
      <c r="J6503"/>
      <c r="K6503" s="19"/>
    </row>
    <row r="6504" spans="1:18" ht="12.75" x14ac:dyDescent="0.2"/>
    <row r="6505" spans="1:18" ht="12" customHeight="1" x14ac:dyDescent="0.2"/>
    <row r="6506" spans="1:18" ht="12.75" x14ac:dyDescent="0.2"/>
    <row r="6507" spans="1:18" ht="12.75" x14ac:dyDescent="0.2"/>
    <row r="6508" spans="1:18" ht="12.75" x14ac:dyDescent="0.2">
      <c r="K6508" s="57"/>
    </row>
    <row r="6509" spans="1:18" ht="12.75" x14ac:dyDescent="0.2">
      <c r="K6509" s="58"/>
    </row>
    <row r="6510" spans="1:18" ht="12.75" x14ac:dyDescent="0.2">
      <c r="K6510" s="58"/>
    </row>
    <row r="6511" spans="1:18" ht="12.75" x14ac:dyDescent="0.2"/>
    <row r="6512" spans="1:18" ht="12.75" x14ac:dyDescent="0.2">
      <c r="K6512" s="61"/>
    </row>
    <row r="6513" spans="1:18" ht="12.75" x14ac:dyDescent="0.2">
      <c r="K6513" s="61"/>
    </row>
    <row r="6514" spans="1:18" s="59" customFormat="1" ht="15" x14ac:dyDescent="0.25">
      <c r="A6514"/>
      <c r="B6514"/>
      <c r="C6514"/>
      <c r="D6514"/>
      <c r="E6514"/>
      <c r="F6514"/>
      <c r="G6514"/>
      <c r="H6514"/>
      <c r="I6514"/>
      <c r="J6514"/>
    </row>
    <row r="6515" spans="1:18" s="59" customFormat="1" ht="15" x14ac:dyDescent="0.25">
      <c r="A6515"/>
      <c r="B6515"/>
      <c r="C6515"/>
      <c r="D6515"/>
      <c r="E6515"/>
      <c r="F6515"/>
      <c r="G6515"/>
      <c r="H6515"/>
      <c r="I6515"/>
      <c r="J6515"/>
    </row>
    <row r="6516" spans="1:18" ht="12.75" x14ac:dyDescent="0.2"/>
    <row r="6517" spans="1:18" ht="14.25" customHeight="1" x14ac:dyDescent="0.2">
      <c r="K6517" s="68"/>
    </row>
    <row r="6518" spans="1:18" ht="14.25" customHeight="1" x14ac:dyDescent="0.2">
      <c r="K6518" s="68"/>
    </row>
    <row r="6519" spans="1:18" ht="12.75" x14ac:dyDescent="0.2">
      <c r="K6519" s="68"/>
    </row>
    <row r="6520" spans="1:18" ht="14.25" customHeight="1" x14ac:dyDescent="0.2">
      <c r="K6520" s="17"/>
    </row>
    <row r="6521" spans="1:18" ht="12.75" x14ac:dyDescent="0.2">
      <c r="K6521" s="17"/>
    </row>
    <row r="6522" spans="1:18" ht="12.75" x14ac:dyDescent="0.2">
      <c r="K6522" s="17"/>
    </row>
    <row r="6523" spans="1:18" ht="12.75" x14ac:dyDescent="0.2">
      <c r="K6523" s="17"/>
    </row>
    <row r="6524" spans="1:18" ht="12.75" x14ac:dyDescent="0.2">
      <c r="K6524" s="17"/>
    </row>
    <row r="6525" spans="1:18" ht="12.75" x14ac:dyDescent="0.2">
      <c r="K6525" s="17"/>
      <c r="R6525" s="17"/>
    </row>
    <row r="6526" spans="1:18" ht="12.75" x14ac:dyDescent="0.2">
      <c r="K6526" s="17"/>
    </row>
    <row r="6527" spans="1:18" ht="12.75" x14ac:dyDescent="0.2">
      <c r="K6527" s="17"/>
    </row>
    <row r="6528" spans="1:18" ht="12.75" x14ac:dyDescent="0.2"/>
    <row r="6529" spans="1:11" s="17" customFormat="1" ht="12.75" x14ac:dyDescent="0.2">
      <c r="A6529"/>
      <c r="B6529"/>
      <c r="C6529"/>
      <c r="D6529"/>
      <c r="E6529"/>
      <c r="F6529"/>
      <c r="G6529"/>
      <c r="H6529"/>
      <c r="I6529"/>
      <c r="J6529"/>
    </row>
    <row r="6530" spans="1:11" s="92" customFormat="1" ht="15" x14ac:dyDescent="0.2">
      <c r="A6530"/>
      <c r="B6530"/>
      <c r="C6530"/>
      <c r="D6530"/>
      <c r="E6530"/>
      <c r="F6530"/>
      <c r="G6530"/>
      <c r="H6530"/>
      <c r="I6530"/>
      <c r="J6530"/>
      <c r="K6530" s="19"/>
    </row>
    <row r="6531" spans="1:11" ht="12.75" x14ac:dyDescent="0.2"/>
    <row r="6532" spans="1:11" ht="12" customHeight="1" x14ac:dyDescent="0.2"/>
    <row r="6533" spans="1:11" ht="12.75" x14ac:dyDescent="0.2"/>
    <row r="6534" spans="1:11" ht="12.75" x14ac:dyDescent="0.2"/>
    <row r="6535" spans="1:11" ht="14.45" customHeight="1" x14ac:dyDescent="0.2">
      <c r="K6535" s="57"/>
    </row>
    <row r="6536" spans="1:11" ht="14.45" customHeight="1" x14ac:dyDescent="0.2">
      <c r="K6536" s="58"/>
    </row>
    <row r="6537" spans="1:11" ht="14.45" customHeight="1" x14ac:dyDescent="0.2">
      <c r="K6537" s="58"/>
    </row>
    <row r="6539" spans="1:11" ht="14.45" customHeight="1" x14ac:dyDescent="0.2">
      <c r="K6539" s="61"/>
    </row>
    <row r="6540" spans="1:11" ht="14.45" customHeight="1" x14ac:dyDescent="0.2">
      <c r="K6540" s="61"/>
    </row>
    <row r="6541" spans="1:11" s="59" customFormat="1" ht="14.45" customHeight="1" x14ac:dyDescent="0.25">
      <c r="A6541"/>
      <c r="B6541"/>
      <c r="C6541"/>
      <c r="D6541"/>
      <c r="E6541"/>
      <c r="F6541"/>
      <c r="G6541"/>
      <c r="H6541"/>
      <c r="I6541"/>
      <c r="J6541"/>
    </row>
    <row r="6542" spans="1:11" s="59" customFormat="1" ht="14.45" customHeight="1" x14ac:dyDescent="0.25">
      <c r="A6542"/>
      <c r="B6542"/>
      <c r="C6542"/>
      <c r="D6542"/>
      <c r="E6542"/>
      <c r="F6542"/>
      <c r="G6542"/>
      <c r="H6542"/>
      <c r="I6542"/>
      <c r="J6542"/>
    </row>
    <row r="6544" spans="1:11" ht="14.45" customHeight="1" x14ac:dyDescent="0.2">
      <c r="K6544" s="68"/>
    </row>
    <row r="6545" spans="1:11" ht="14.45" customHeight="1" x14ac:dyDescent="0.2">
      <c r="K6545" s="68"/>
    </row>
    <row r="6546" spans="1:11" ht="14.45" customHeight="1" x14ac:dyDescent="0.2">
      <c r="K6546" s="68"/>
    </row>
    <row r="6547" spans="1:11" ht="14.45" customHeight="1" x14ac:dyDescent="0.2">
      <c r="K6547" s="17"/>
    </row>
    <row r="6548" spans="1:11" ht="14.45" customHeight="1" x14ac:dyDescent="0.2">
      <c r="K6548" s="17"/>
    </row>
    <row r="6549" spans="1:11" ht="14.45" customHeight="1" x14ac:dyDescent="0.2">
      <c r="K6549" s="17"/>
    </row>
    <row r="6550" spans="1:11" ht="14.45" customHeight="1" x14ac:dyDescent="0.2">
      <c r="K6550" s="17"/>
    </row>
    <row r="6551" spans="1:11" ht="14.45" customHeight="1" x14ac:dyDescent="0.2">
      <c r="K6551" s="17"/>
    </row>
    <row r="6552" spans="1:11" ht="14.45" customHeight="1" x14ac:dyDescent="0.2">
      <c r="K6552" s="17"/>
    </row>
    <row r="6553" spans="1:11" ht="14.45" customHeight="1" x14ac:dyDescent="0.2">
      <c r="K6553" s="17"/>
    </row>
    <row r="6554" spans="1:11" ht="14.45" customHeight="1" x14ac:dyDescent="0.2">
      <c r="K6554" s="17"/>
    </row>
    <row r="6556" spans="1:11" s="17" customFormat="1" ht="14.45" customHeight="1" x14ac:dyDescent="0.2">
      <c r="A6556"/>
      <c r="B6556"/>
      <c r="C6556"/>
      <c r="D6556"/>
      <c r="E6556"/>
      <c r="F6556"/>
      <c r="G6556"/>
      <c r="H6556"/>
      <c r="I6556"/>
      <c r="J6556"/>
    </row>
    <row r="6557" spans="1:11" s="92" customFormat="1" ht="14.45" customHeight="1" x14ac:dyDescent="0.2">
      <c r="A6557"/>
      <c r="B6557"/>
      <c r="C6557"/>
      <c r="D6557"/>
      <c r="E6557"/>
      <c r="F6557"/>
      <c r="G6557"/>
      <c r="H6557"/>
      <c r="I6557"/>
      <c r="J6557"/>
      <c r="K6557" s="19"/>
    </row>
    <row r="6562" spans="1:11" ht="14.45" customHeight="1" x14ac:dyDescent="0.2">
      <c r="K6562" s="57"/>
    </row>
    <row r="6563" spans="1:11" ht="14.45" customHeight="1" x14ac:dyDescent="0.2">
      <c r="K6563" s="58"/>
    </row>
    <row r="6564" spans="1:11" ht="14.45" customHeight="1" x14ac:dyDescent="0.2">
      <c r="K6564" s="58"/>
    </row>
    <row r="6566" spans="1:11" ht="14.45" customHeight="1" x14ac:dyDescent="0.2">
      <c r="K6566" s="61"/>
    </row>
    <row r="6567" spans="1:11" ht="14.45" customHeight="1" x14ac:dyDescent="0.2">
      <c r="K6567" s="61"/>
    </row>
    <row r="6568" spans="1:11" s="59" customFormat="1" ht="14.45" customHeight="1" x14ac:dyDescent="0.25">
      <c r="A6568"/>
      <c r="B6568"/>
      <c r="C6568"/>
      <c r="D6568"/>
      <c r="E6568"/>
      <c r="F6568"/>
      <c r="G6568"/>
      <c r="H6568"/>
      <c r="I6568"/>
      <c r="J6568"/>
    </row>
    <row r="6569" spans="1:11" s="59" customFormat="1" ht="14.45" customHeight="1" x14ac:dyDescent="0.25">
      <c r="A6569"/>
      <c r="B6569"/>
      <c r="C6569"/>
      <c r="D6569"/>
      <c r="E6569"/>
      <c r="F6569"/>
      <c r="G6569"/>
      <c r="H6569"/>
      <c r="I6569"/>
      <c r="J6569"/>
    </row>
    <row r="6571" spans="1:11" ht="14.45" customHeight="1" x14ac:dyDescent="0.2">
      <c r="K6571" s="68"/>
    </row>
    <row r="6572" spans="1:11" ht="14.45" customHeight="1" x14ac:dyDescent="0.2">
      <c r="K6572" s="68"/>
    </row>
    <row r="6573" spans="1:11" ht="14.45" customHeight="1" x14ac:dyDescent="0.2">
      <c r="K6573" s="68"/>
    </row>
    <row r="6574" spans="1:11" ht="14.45" customHeight="1" x14ac:dyDescent="0.2">
      <c r="K6574" s="17"/>
    </row>
    <row r="6575" spans="1:11" ht="14.45" customHeight="1" x14ac:dyDescent="0.2">
      <c r="K6575" s="17"/>
    </row>
    <row r="6576" spans="1:11" ht="14.45" customHeight="1" x14ac:dyDescent="0.2">
      <c r="K6576" s="17"/>
    </row>
    <row r="6577" spans="1:11" ht="14.45" customHeight="1" x14ac:dyDescent="0.2">
      <c r="K6577" s="17"/>
    </row>
    <row r="6578" spans="1:11" ht="14.45" customHeight="1" x14ac:dyDescent="0.2">
      <c r="K6578" s="17"/>
    </row>
    <row r="6579" spans="1:11" ht="14.45" customHeight="1" x14ac:dyDescent="0.2">
      <c r="K6579" s="17"/>
    </row>
    <row r="6580" spans="1:11" ht="14.45" customHeight="1" x14ac:dyDescent="0.2">
      <c r="K6580" s="17"/>
    </row>
    <row r="6581" spans="1:11" ht="14.45" customHeight="1" x14ac:dyDescent="0.2">
      <c r="K6581" s="17"/>
    </row>
    <row r="6583" spans="1:11" s="17" customFormat="1" ht="14.45" customHeight="1" x14ac:dyDescent="0.2">
      <c r="A6583"/>
      <c r="B6583"/>
      <c r="C6583"/>
      <c r="D6583"/>
      <c r="E6583"/>
      <c r="F6583"/>
      <c r="G6583"/>
      <c r="H6583"/>
      <c r="I6583"/>
      <c r="J6583"/>
    </row>
    <row r="6584" spans="1:11" s="92" customFormat="1" ht="14.45" customHeight="1" x14ac:dyDescent="0.2">
      <c r="A6584"/>
      <c r="B6584"/>
      <c r="C6584"/>
      <c r="D6584"/>
      <c r="E6584"/>
      <c r="F6584"/>
      <c r="G6584"/>
      <c r="H6584"/>
      <c r="I6584"/>
      <c r="J6584"/>
      <c r="K6584" s="19"/>
    </row>
    <row r="6589" spans="1:11" ht="14.45" customHeight="1" x14ac:dyDescent="0.2">
      <c r="K6589" s="57"/>
    </row>
    <row r="6590" spans="1:11" ht="14.45" customHeight="1" x14ac:dyDescent="0.2">
      <c r="K6590" s="58"/>
    </row>
    <row r="6591" spans="1:11" ht="14.45" customHeight="1" x14ac:dyDescent="0.2">
      <c r="K6591" s="58"/>
    </row>
    <row r="6593" spans="1:11" ht="14.45" customHeight="1" x14ac:dyDescent="0.2">
      <c r="K6593" s="61"/>
    </row>
    <row r="6594" spans="1:11" ht="14.45" customHeight="1" x14ac:dyDescent="0.2">
      <c r="K6594" s="61"/>
    </row>
    <row r="6595" spans="1:11" s="59" customFormat="1" ht="14.45" customHeight="1" x14ac:dyDescent="0.25">
      <c r="A6595"/>
      <c r="B6595"/>
      <c r="C6595"/>
      <c r="D6595"/>
      <c r="E6595"/>
      <c r="F6595"/>
      <c r="G6595"/>
      <c r="H6595"/>
      <c r="I6595"/>
      <c r="J6595"/>
    </row>
    <row r="6596" spans="1:11" s="59" customFormat="1" ht="14.45" customHeight="1" x14ac:dyDescent="0.25">
      <c r="A6596"/>
      <c r="B6596"/>
      <c r="C6596"/>
      <c r="D6596"/>
      <c r="E6596"/>
      <c r="F6596"/>
      <c r="G6596"/>
      <c r="H6596"/>
      <c r="I6596"/>
      <c r="J6596"/>
    </row>
    <row r="6598" spans="1:11" ht="14.45" customHeight="1" x14ac:dyDescent="0.2">
      <c r="K6598" s="68"/>
    </row>
    <row r="6599" spans="1:11" ht="14.45" customHeight="1" x14ac:dyDescent="0.2">
      <c r="K6599" s="68"/>
    </row>
    <row r="6600" spans="1:11" ht="14.45" customHeight="1" x14ac:dyDescent="0.2">
      <c r="K6600" s="68"/>
    </row>
    <row r="6601" spans="1:11" ht="14.45" customHeight="1" x14ac:dyDescent="0.2">
      <c r="K6601" s="17"/>
    </row>
    <row r="6602" spans="1:11" ht="14.45" customHeight="1" x14ac:dyDescent="0.2">
      <c r="K6602" s="17"/>
    </row>
    <row r="6603" spans="1:11" ht="14.45" customHeight="1" x14ac:dyDescent="0.2">
      <c r="K6603" s="17"/>
    </row>
    <row r="6604" spans="1:11" ht="14.45" customHeight="1" x14ac:dyDescent="0.2">
      <c r="K6604" s="17"/>
    </row>
    <row r="6605" spans="1:11" ht="14.45" customHeight="1" x14ac:dyDescent="0.2">
      <c r="K6605" s="17"/>
    </row>
    <row r="6606" spans="1:11" ht="14.45" customHeight="1" x14ac:dyDescent="0.2">
      <c r="K6606" s="17"/>
    </row>
    <row r="6607" spans="1:11" ht="14.45" customHeight="1" x14ac:dyDescent="0.2">
      <c r="K6607" s="17"/>
    </row>
    <row r="6608" spans="1:11" ht="14.45" customHeight="1" x14ac:dyDescent="0.2">
      <c r="K6608" s="17"/>
    </row>
    <row r="6610" spans="1:11" s="17" customFormat="1" ht="14.45" customHeight="1" x14ac:dyDescent="0.2">
      <c r="A6610"/>
      <c r="B6610"/>
      <c r="C6610"/>
      <c r="D6610"/>
      <c r="E6610"/>
      <c r="F6610"/>
      <c r="G6610"/>
      <c r="H6610"/>
      <c r="I6610"/>
      <c r="J6610"/>
    </row>
    <row r="6611" spans="1:11" s="92" customFormat="1" ht="14.45" customHeight="1" x14ac:dyDescent="0.2">
      <c r="A6611"/>
      <c r="B6611"/>
      <c r="C6611"/>
      <c r="D6611"/>
      <c r="E6611"/>
      <c r="F6611"/>
      <c r="G6611"/>
      <c r="H6611"/>
      <c r="I6611"/>
      <c r="J6611"/>
      <c r="K6611" s="19"/>
    </row>
    <row r="6616" spans="1:11" ht="14.45" customHeight="1" x14ac:dyDescent="0.2">
      <c r="K6616" s="57"/>
    </row>
    <row r="6617" spans="1:11" ht="14.45" customHeight="1" x14ac:dyDescent="0.2">
      <c r="K6617" s="58"/>
    </row>
    <row r="6618" spans="1:11" ht="14.45" customHeight="1" x14ac:dyDescent="0.2">
      <c r="K6618" s="58"/>
    </row>
    <row r="6620" spans="1:11" ht="14.45" customHeight="1" x14ac:dyDescent="0.2">
      <c r="K6620" s="61"/>
    </row>
    <row r="6621" spans="1:11" ht="14.45" customHeight="1" x14ac:dyDescent="0.2">
      <c r="K6621" s="61"/>
    </row>
    <row r="6622" spans="1:11" s="59" customFormat="1" ht="14.45" customHeight="1" x14ac:dyDescent="0.25">
      <c r="A6622"/>
      <c r="B6622"/>
      <c r="C6622"/>
      <c r="D6622"/>
      <c r="E6622"/>
      <c r="F6622"/>
      <c r="G6622"/>
      <c r="H6622"/>
      <c r="I6622"/>
      <c r="J6622"/>
    </row>
    <row r="6623" spans="1:11" s="59" customFormat="1" ht="14.45" customHeight="1" x14ac:dyDescent="0.25">
      <c r="A6623"/>
      <c r="B6623"/>
      <c r="C6623"/>
      <c r="D6623"/>
      <c r="E6623"/>
      <c r="F6623"/>
      <c r="G6623"/>
      <c r="H6623"/>
      <c r="I6623"/>
      <c r="J6623"/>
    </row>
    <row r="6625" spans="1:11" ht="14.45" customHeight="1" x14ac:dyDescent="0.2">
      <c r="K6625" s="68"/>
    </row>
    <row r="6626" spans="1:11" ht="14.45" customHeight="1" x14ac:dyDescent="0.2">
      <c r="K6626" s="68"/>
    </row>
    <row r="6627" spans="1:11" ht="14.45" customHeight="1" x14ac:dyDescent="0.2">
      <c r="K6627" s="68"/>
    </row>
    <row r="6628" spans="1:11" ht="14.45" customHeight="1" x14ac:dyDescent="0.2">
      <c r="K6628" s="17"/>
    </row>
    <row r="6629" spans="1:11" ht="14.45" customHeight="1" x14ac:dyDescent="0.2">
      <c r="K6629" s="17"/>
    </row>
    <row r="6630" spans="1:11" ht="14.45" customHeight="1" x14ac:dyDescent="0.2">
      <c r="K6630" s="17"/>
    </row>
    <row r="6631" spans="1:11" ht="14.45" customHeight="1" x14ac:dyDescent="0.2">
      <c r="K6631" s="17"/>
    </row>
    <row r="6632" spans="1:11" ht="14.45" customHeight="1" x14ac:dyDescent="0.2">
      <c r="K6632" s="17"/>
    </row>
    <row r="6633" spans="1:11" ht="14.45" customHeight="1" x14ac:dyDescent="0.2">
      <c r="K6633" s="17"/>
    </row>
    <row r="6634" spans="1:11" ht="14.45" customHeight="1" x14ac:dyDescent="0.2">
      <c r="K6634" s="17"/>
    </row>
    <row r="6635" spans="1:11" ht="14.45" customHeight="1" x14ac:dyDescent="0.2">
      <c r="K6635" s="17"/>
    </row>
    <row r="6637" spans="1:11" s="17" customFormat="1" ht="14.45" customHeight="1" x14ac:dyDescent="0.2">
      <c r="A6637"/>
      <c r="B6637"/>
      <c r="C6637"/>
      <c r="D6637"/>
      <c r="E6637"/>
      <c r="F6637"/>
      <c r="G6637"/>
      <c r="H6637"/>
      <c r="I6637"/>
      <c r="J6637"/>
    </row>
    <row r="6638" spans="1:11" s="92" customFormat="1" ht="14.45" customHeight="1" x14ac:dyDescent="0.2">
      <c r="A6638"/>
      <c r="B6638"/>
      <c r="C6638"/>
      <c r="D6638"/>
      <c r="E6638"/>
      <c r="F6638"/>
      <c r="G6638"/>
      <c r="H6638"/>
      <c r="I6638"/>
      <c r="J6638"/>
      <c r="K6638" s="19"/>
    </row>
    <row r="6643" spans="1:11" ht="14.45" customHeight="1" x14ac:dyDescent="0.2">
      <c r="K6643" s="57"/>
    </row>
    <row r="6644" spans="1:11" ht="14.45" customHeight="1" x14ac:dyDescent="0.2">
      <c r="K6644" s="58"/>
    </row>
    <row r="6645" spans="1:11" ht="14.45" customHeight="1" x14ac:dyDescent="0.2">
      <c r="K6645" s="58"/>
    </row>
    <row r="6647" spans="1:11" ht="14.45" customHeight="1" x14ac:dyDescent="0.2">
      <c r="K6647" s="61"/>
    </row>
    <row r="6648" spans="1:11" ht="14.45" customHeight="1" x14ac:dyDescent="0.2">
      <c r="K6648" s="61"/>
    </row>
    <row r="6649" spans="1:11" s="59" customFormat="1" ht="14.45" customHeight="1" x14ac:dyDescent="0.25">
      <c r="A6649"/>
      <c r="B6649"/>
      <c r="C6649"/>
      <c r="D6649"/>
      <c r="E6649"/>
      <c r="F6649"/>
      <c r="G6649"/>
      <c r="H6649"/>
      <c r="I6649"/>
      <c r="J6649"/>
    </row>
    <row r="6650" spans="1:11" s="59" customFormat="1" ht="14.45" customHeight="1" x14ac:dyDescent="0.25">
      <c r="A6650"/>
      <c r="B6650"/>
      <c r="C6650"/>
      <c r="D6650"/>
      <c r="E6650"/>
      <c r="F6650"/>
      <c r="G6650"/>
      <c r="H6650"/>
      <c r="I6650"/>
      <c r="J6650"/>
    </row>
    <row r="6652" spans="1:11" ht="14.45" customHeight="1" x14ac:dyDescent="0.2">
      <c r="K6652" s="68"/>
    </row>
    <row r="6653" spans="1:11" ht="14.45" customHeight="1" x14ac:dyDescent="0.2">
      <c r="K6653" s="68"/>
    </row>
    <row r="6654" spans="1:11" ht="14.45" customHeight="1" x14ac:dyDescent="0.2">
      <c r="K6654" s="68"/>
    </row>
    <row r="6655" spans="1:11" ht="14.45" customHeight="1" x14ac:dyDescent="0.2">
      <c r="K6655" s="17"/>
    </row>
    <row r="6656" spans="1:11" ht="14.45" customHeight="1" x14ac:dyDescent="0.2">
      <c r="K6656" s="17"/>
    </row>
    <row r="6657" spans="1:11" ht="14.45" customHeight="1" x14ac:dyDescent="0.2">
      <c r="K6657" s="17"/>
    </row>
    <row r="6658" spans="1:11" ht="14.45" customHeight="1" x14ac:dyDescent="0.2">
      <c r="K6658" s="17"/>
    </row>
    <row r="6659" spans="1:11" ht="14.45" customHeight="1" x14ac:dyDescent="0.2">
      <c r="K6659" s="17"/>
    </row>
    <row r="6660" spans="1:11" ht="14.45" customHeight="1" x14ac:dyDescent="0.2">
      <c r="K6660" s="17"/>
    </row>
    <row r="6661" spans="1:11" ht="14.45" customHeight="1" x14ac:dyDescent="0.2">
      <c r="K6661" s="17"/>
    </row>
    <row r="6662" spans="1:11" ht="14.45" customHeight="1" x14ac:dyDescent="0.2">
      <c r="K6662" s="17"/>
    </row>
    <row r="6664" spans="1:11" s="17" customFormat="1" ht="14.45" customHeight="1" x14ac:dyDescent="0.2">
      <c r="A6664"/>
      <c r="B6664"/>
      <c r="C6664"/>
      <c r="D6664"/>
      <c r="E6664"/>
      <c r="F6664"/>
      <c r="G6664"/>
      <c r="H6664"/>
      <c r="I6664"/>
      <c r="J6664"/>
    </row>
    <row r="6665" spans="1:11" s="92" customFormat="1" ht="14.45" customHeight="1" x14ac:dyDescent="0.2">
      <c r="A6665"/>
      <c r="B6665"/>
      <c r="C6665"/>
      <c r="D6665"/>
      <c r="E6665"/>
      <c r="F6665"/>
      <c r="G6665"/>
      <c r="H6665"/>
      <c r="I6665"/>
      <c r="J6665"/>
      <c r="K6665" s="19"/>
    </row>
    <row r="6670" spans="1:11" ht="14.45" customHeight="1" x14ac:dyDescent="0.2">
      <c r="K6670" s="57"/>
    </row>
    <row r="6671" spans="1:11" ht="14.45" customHeight="1" x14ac:dyDescent="0.2">
      <c r="K6671" s="58"/>
    </row>
    <row r="6672" spans="1:11" ht="14.45" customHeight="1" x14ac:dyDescent="0.2">
      <c r="K6672" s="58"/>
    </row>
    <row r="6674" spans="1:11" ht="14.45" customHeight="1" x14ac:dyDescent="0.2">
      <c r="K6674" s="61"/>
    </row>
    <row r="6675" spans="1:11" ht="14.45" customHeight="1" x14ac:dyDescent="0.2">
      <c r="K6675" s="61"/>
    </row>
    <row r="6676" spans="1:11" s="59" customFormat="1" ht="14.45" customHeight="1" x14ac:dyDescent="0.25">
      <c r="A6676"/>
      <c r="B6676"/>
      <c r="C6676"/>
      <c r="D6676"/>
      <c r="E6676"/>
      <c r="F6676"/>
      <c r="G6676"/>
      <c r="H6676"/>
      <c r="I6676"/>
      <c r="J6676"/>
    </row>
    <row r="6677" spans="1:11" s="59" customFormat="1" ht="14.45" customHeight="1" x14ac:dyDescent="0.25">
      <c r="A6677"/>
      <c r="B6677"/>
      <c r="C6677"/>
      <c r="D6677"/>
      <c r="E6677"/>
      <c r="F6677"/>
      <c r="G6677"/>
      <c r="H6677"/>
      <c r="I6677"/>
      <c r="J6677"/>
    </row>
    <row r="6679" spans="1:11" ht="14.45" customHeight="1" x14ac:dyDescent="0.2">
      <c r="K6679" s="68"/>
    </row>
    <row r="6680" spans="1:11" ht="14.45" customHeight="1" x14ac:dyDescent="0.2">
      <c r="K6680" s="68"/>
    </row>
    <row r="6681" spans="1:11" ht="14.45" customHeight="1" x14ac:dyDescent="0.2">
      <c r="K6681" s="68"/>
    </row>
    <row r="6682" spans="1:11" ht="14.45" customHeight="1" x14ac:dyDescent="0.2">
      <c r="K6682" s="17"/>
    </row>
    <row r="6683" spans="1:11" ht="14.45" customHeight="1" x14ac:dyDescent="0.2">
      <c r="K6683" s="17"/>
    </row>
    <row r="6684" spans="1:11" ht="14.45" customHeight="1" x14ac:dyDescent="0.2">
      <c r="K6684" s="17"/>
    </row>
    <row r="6685" spans="1:11" ht="14.45" customHeight="1" x14ac:dyDescent="0.2">
      <c r="K6685" s="17"/>
    </row>
    <row r="6686" spans="1:11" ht="14.45" customHeight="1" x14ac:dyDescent="0.2">
      <c r="K6686" s="17"/>
    </row>
    <row r="6687" spans="1:11" ht="14.45" customHeight="1" x14ac:dyDescent="0.2">
      <c r="K6687" s="17"/>
    </row>
    <row r="6688" spans="1:11" ht="14.45" customHeight="1" x14ac:dyDescent="0.2">
      <c r="K6688" s="17"/>
    </row>
    <row r="6689" spans="1:11" ht="14.45" customHeight="1" x14ac:dyDescent="0.2">
      <c r="K6689" s="17"/>
    </row>
    <row r="6691" spans="1:11" s="17" customFormat="1" ht="14.45" customHeight="1" x14ac:dyDescent="0.2">
      <c r="A6691"/>
      <c r="B6691"/>
      <c r="C6691"/>
      <c r="D6691"/>
      <c r="E6691"/>
      <c r="F6691"/>
      <c r="G6691"/>
      <c r="H6691"/>
      <c r="I6691"/>
      <c r="J6691"/>
    </row>
    <row r="6692" spans="1:11" s="92" customFormat="1" ht="14.45" customHeight="1" x14ac:dyDescent="0.2">
      <c r="A6692"/>
      <c r="B6692"/>
      <c r="C6692"/>
      <c r="D6692"/>
      <c r="E6692"/>
      <c r="F6692"/>
      <c r="G6692"/>
      <c r="H6692"/>
      <c r="I6692"/>
      <c r="J6692"/>
      <c r="K6692" s="19"/>
    </row>
    <row r="6697" spans="1:11" ht="14.45" customHeight="1" x14ac:dyDescent="0.2">
      <c r="K6697" s="57"/>
    </row>
    <row r="6698" spans="1:11" ht="14.45" customHeight="1" x14ac:dyDescent="0.2">
      <c r="K6698" s="58"/>
    </row>
    <row r="6699" spans="1:11" ht="14.45" customHeight="1" x14ac:dyDescent="0.2">
      <c r="K6699" s="58"/>
    </row>
    <row r="6701" spans="1:11" ht="14.45" customHeight="1" x14ac:dyDescent="0.2">
      <c r="K6701" s="61"/>
    </row>
    <row r="6702" spans="1:11" ht="14.45" customHeight="1" x14ac:dyDescent="0.2">
      <c r="K6702" s="61"/>
    </row>
    <row r="6703" spans="1:11" s="59" customFormat="1" ht="14.45" customHeight="1" x14ac:dyDescent="0.25">
      <c r="A6703"/>
      <c r="B6703"/>
      <c r="C6703"/>
      <c r="D6703"/>
      <c r="E6703"/>
      <c r="F6703"/>
      <c r="G6703"/>
      <c r="H6703"/>
      <c r="I6703"/>
      <c r="J6703"/>
    </row>
    <row r="6704" spans="1:11" s="59" customFormat="1" ht="14.45" customHeight="1" x14ac:dyDescent="0.25">
      <c r="A6704"/>
      <c r="B6704"/>
      <c r="C6704"/>
      <c r="D6704"/>
      <c r="E6704"/>
      <c r="F6704"/>
      <c r="G6704"/>
      <c r="H6704"/>
      <c r="I6704"/>
      <c r="J6704"/>
    </row>
    <row r="6706" spans="1:11" ht="14.45" customHeight="1" x14ac:dyDescent="0.2">
      <c r="K6706" s="68"/>
    </row>
    <row r="6707" spans="1:11" ht="14.45" customHeight="1" x14ac:dyDescent="0.2">
      <c r="K6707" s="68"/>
    </row>
    <row r="6708" spans="1:11" ht="14.45" customHeight="1" x14ac:dyDescent="0.2">
      <c r="K6708" s="68"/>
    </row>
    <row r="6709" spans="1:11" ht="14.45" customHeight="1" x14ac:dyDescent="0.2">
      <c r="K6709" s="17"/>
    </row>
    <row r="6710" spans="1:11" ht="14.45" customHeight="1" x14ac:dyDescent="0.2">
      <c r="K6710" s="17"/>
    </row>
    <row r="6711" spans="1:11" ht="14.45" customHeight="1" x14ac:dyDescent="0.2">
      <c r="K6711" s="17"/>
    </row>
    <row r="6712" spans="1:11" ht="14.45" customHeight="1" x14ac:dyDescent="0.2">
      <c r="K6712" s="17"/>
    </row>
    <row r="6713" spans="1:11" ht="14.45" customHeight="1" x14ac:dyDescent="0.2">
      <c r="K6713" s="17"/>
    </row>
    <row r="6714" spans="1:11" ht="14.45" customHeight="1" x14ac:dyDescent="0.2">
      <c r="K6714" s="17"/>
    </row>
    <row r="6715" spans="1:11" ht="14.45" customHeight="1" x14ac:dyDescent="0.2">
      <c r="K6715" s="17"/>
    </row>
    <row r="6716" spans="1:11" ht="14.45" customHeight="1" x14ac:dyDescent="0.2">
      <c r="K6716" s="17"/>
    </row>
    <row r="6718" spans="1:11" s="17" customFormat="1" ht="14.45" customHeight="1" x14ac:dyDescent="0.2">
      <c r="A6718"/>
      <c r="B6718"/>
      <c r="C6718"/>
      <c r="D6718"/>
      <c r="E6718"/>
      <c r="F6718"/>
      <c r="G6718"/>
      <c r="H6718"/>
      <c r="I6718"/>
      <c r="J6718"/>
    </row>
    <row r="6719" spans="1:11" s="92" customFormat="1" ht="14.45" customHeight="1" x14ac:dyDescent="0.2">
      <c r="A6719"/>
      <c r="B6719"/>
      <c r="C6719"/>
      <c r="D6719"/>
      <c r="E6719"/>
      <c r="F6719"/>
      <c r="G6719"/>
      <c r="H6719"/>
      <c r="I6719"/>
      <c r="J6719"/>
      <c r="K6719" s="19"/>
    </row>
    <row r="6724" spans="1:11" ht="14.45" customHeight="1" x14ac:dyDescent="0.2">
      <c r="K6724" s="57"/>
    </row>
    <row r="6725" spans="1:11" ht="14.45" customHeight="1" x14ac:dyDescent="0.2">
      <c r="K6725" s="58"/>
    </row>
    <row r="6726" spans="1:11" ht="14.45" customHeight="1" x14ac:dyDescent="0.2">
      <c r="K6726" s="58"/>
    </row>
    <row r="6728" spans="1:11" ht="14.45" customHeight="1" x14ac:dyDescent="0.2">
      <c r="K6728" s="61"/>
    </row>
    <row r="6729" spans="1:11" ht="14.45" customHeight="1" x14ac:dyDescent="0.2">
      <c r="K6729" s="61"/>
    </row>
    <row r="6730" spans="1:11" s="59" customFormat="1" ht="14.45" customHeight="1" x14ac:dyDescent="0.25">
      <c r="A6730"/>
      <c r="B6730"/>
      <c r="C6730"/>
      <c r="D6730"/>
      <c r="E6730"/>
      <c r="F6730"/>
      <c r="G6730"/>
      <c r="H6730"/>
      <c r="I6730"/>
      <c r="J6730"/>
    </row>
    <row r="6731" spans="1:11" s="59" customFormat="1" ht="14.45" customHeight="1" x14ac:dyDescent="0.25">
      <c r="A6731"/>
      <c r="B6731"/>
      <c r="C6731"/>
      <c r="D6731"/>
      <c r="E6731"/>
      <c r="F6731"/>
      <c r="G6731"/>
      <c r="H6731"/>
      <c r="I6731"/>
      <c r="J6731"/>
    </row>
    <row r="6733" spans="1:11" ht="14.45" customHeight="1" x14ac:dyDescent="0.2">
      <c r="K6733" s="68"/>
    </row>
    <row r="6734" spans="1:11" ht="14.45" customHeight="1" x14ac:dyDescent="0.2">
      <c r="K6734" s="68"/>
    </row>
    <row r="6735" spans="1:11" ht="14.45" customHeight="1" x14ac:dyDescent="0.2">
      <c r="K6735" s="68"/>
    </row>
    <row r="6736" spans="1:11" ht="14.45" customHeight="1" x14ac:dyDescent="0.2">
      <c r="K6736" s="17"/>
    </row>
    <row r="6737" spans="1:11" ht="14.45" customHeight="1" x14ac:dyDescent="0.2">
      <c r="K6737" s="17"/>
    </row>
    <row r="6738" spans="1:11" ht="14.45" customHeight="1" x14ac:dyDescent="0.2">
      <c r="K6738" s="17"/>
    </row>
    <row r="6739" spans="1:11" ht="14.45" customHeight="1" x14ac:dyDescent="0.2">
      <c r="K6739" s="17"/>
    </row>
    <row r="6740" spans="1:11" ht="14.45" customHeight="1" x14ac:dyDescent="0.2">
      <c r="K6740" s="17"/>
    </row>
    <row r="6741" spans="1:11" ht="14.45" customHeight="1" x14ac:dyDescent="0.2">
      <c r="K6741" s="17"/>
    </row>
    <row r="6742" spans="1:11" ht="14.45" customHeight="1" x14ac:dyDescent="0.2">
      <c r="K6742" s="17"/>
    </row>
    <row r="6743" spans="1:11" ht="14.45" customHeight="1" x14ac:dyDescent="0.2">
      <c r="K6743" s="17"/>
    </row>
    <row r="6745" spans="1:11" s="17" customFormat="1" ht="14.45" customHeight="1" x14ac:dyDescent="0.2">
      <c r="A6745"/>
      <c r="B6745"/>
      <c r="C6745"/>
      <c r="D6745"/>
      <c r="E6745"/>
      <c r="F6745"/>
      <c r="G6745"/>
      <c r="H6745"/>
      <c r="I6745"/>
      <c r="J6745"/>
    </row>
    <row r="6746" spans="1:11" s="92" customFormat="1" ht="14.45" customHeight="1" x14ac:dyDescent="0.2">
      <c r="A6746"/>
      <c r="B6746"/>
      <c r="C6746"/>
      <c r="D6746"/>
      <c r="E6746"/>
      <c r="F6746"/>
      <c r="G6746"/>
      <c r="H6746"/>
      <c r="I6746"/>
      <c r="J6746"/>
      <c r="K6746" s="19"/>
    </row>
    <row r="6751" spans="1:11" ht="14.45" customHeight="1" x14ac:dyDescent="0.2">
      <c r="K6751" s="57"/>
    </row>
    <row r="6752" spans="1:11" ht="14.45" customHeight="1" x14ac:dyDescent="0.2">
      <c r="K6752" s="58"/>
    </row>
    <row r="6753" spans="1:11" ht="14.45" customHeight="1" x14ac:dyDescent="0.2">
      <c r="K6753" s="58"/>
    </row>
    <row r="6755" spans="1:11" ht="14.45" customHeight="1" x14ac:dyDescent="0.2">
      <c r="K6755" s="61"/>
    </row>
    <row r="6756" spans="1:11" ht="14.45" customHeight="1" x14ac:dyDescent="0.2">
      <c r="K6756" s="61"/>
    </row>
    <row r="6757" spans="1:11" s="59" customFormat="1" ht="14.45" customHeight="1" x14ac:dyDescent="0.25">
      <c r="A6757"/>
      <c r="B6757"/>
      <c r="C6757"/>
      <c r="D6757"/>
      <c r="E6757"/>
      <c r="F6757"/>
      <c r="G6757"/>
      <c r="H6757"/>
      <c r="I6757"/>
      <c r="J6757"/>
    </row>
    <row r="6758" spans="1:11" s="59" customFormat="1" ht="14.45" customHeight="1" x14ac:dyDescent="0.25">
      <c r="A6758"/>
      <c r="B6758"/>
      <c r="C6758"/>
      <c r="D6758"/>
      <c r="E6758"/>
      <c r="F6758"/>
      <c r="G6758"/>
      <c r="H6758"/>
      <c r="I6758"/>
      <c r="J6758"/>
    </row>
    <row r="6760" spans="1:11" ht="14.45" customHeight="1" x14ac:dyDescent="0.2">
      <c r="K6760" s="68"/>
    </row>
    <row r="6761" spans="1:11" ht="14.45" customHeight="1" x14ac:dyDescent="0.2">
      <c r="K6761" s="68"/>
    </row>
    <row r="6762" spans="1:11" ht="14.45" customHeight="1" x14ac:dyDescent="0.2">
      <c r="K6762" s="68"/>
    </row>
    <row r="6763" spans="1:11" ht="14.45" customHeight="1" x14ac:dyDescent="0.2">
      <c r="K6763" s="17"/>
    </row>
    <row r="6764" spans="1:11" ht="14.45" customHeight="1" x14ac:dyDescent="0.2">
      <c r="K6764" s="17"/>
    </row>
    <row r="6765" spans="1:11" ht="14.45" customHeight="1" x14ac:dyDescent="0.2">
      <c r="K6765" s="17"/>
    </row>
    <row r="6766" spans="1:11" ht="14.45" customHeight="1" x14ac:dyDescent="0.2">
      <c r="K6766" s="17"/>
    </row>
    <row r="6767" spans="1:11" ht="14.45" customHeight="1" x14ac:dyDescent="0.2">
      <c r="K6767" s="17"/>
    </row>
    <row r="6768" spans="1:11" ht="14.45" customHeight="1" x14ac:dyDescent="0.2">
      <c r="K6768" s="17"/>
    </row>
    <row r="6769" spans="1:11" ht="14.45" customHeight="1" x14ac:dyDescent="0.2">
      <c r="K6769" s="17"/>
    </row>
    <row r="6770" spans="1:11" ht="14.45" customHeight="1" x14ac:dyDescent="0.2">
      <c r="K6770" s="17"/>
    </row>
    <row r="6772" spans="1:11" s="17" customFormat="1" ht="14.45" customHeight="1" x14ac:dyDescent="0.2">
      <c r="A6772"/>
      <c r="B6772"/>
      <c r="C6772"/>
      <c r="D6772"/>
      <c r="E6772"/>
      <c r="F6772"/>
      <c r="G6772"/>
      <c r="H6772"/>
      <c r="I6772"/>
      <c r="J6772"/>
    </row>
    <row r="6773" spans="1:11" s="92" customFormat="1" ht="14.45" customHeight="1" x14ac:dyDescent="0.2">
      <c r="A6773"/>
      <c r="B6773"/>
      <c r="C6773"/>
      <c r="D6773"/>
      <c r="E6773"/>
      <c r="F6773"/>
      <c r="G6773"/>
      <c r="H6773"/>
      <c r="I6773"/>
      <c r="J6773"/>
      <c r="K6773" s="19"/>
    </row>
    <row r="6778" spans="1:11" ht="14.45" customHeight="1" x14ac:dyDescent="0.2">
      <c r="K6778" s="57"/>
    </row>
    <row r="6779" spans="1:11" ht="14.45" customHeight="1" x14ac:dyDescent="0.2">
      <c r="K6779" s="58"/>
    </row>
    <row r="6780" spans="1:11" ht="14.45" customHeight="1" x14ac:dyDescent="0.2">
      <c r="K6780" s="58"/>
    </row>
    <row r="6782" spans="1:11" ht="14.45" customHeight="1" x14ac:dyDescent="0.2">
      <c r="K6782" s="61"/>
    </row>
    <row r="6783" spans="1:11" ht="14.45" customHeight="1" x14ac:dyDescent="0.2">
      <c r="K6783" s="61"/>
    </row>
    <row r="6784" spans="1:11" s="59" customFormat="1" ht="14.45" customHeight="1" x14ac:dyDescent="0.25">
      <c r="A6784"/>
      <c r="B6784"/>
      <c r="C6784"/>
      <c r="D6784"/>
      <c r="E6784"/>
      <c r="F6784"/>
      <c r="G6784"/>
      <c r="H6784"/>
      <c r="I6784"/>
      <c r="J6784"/>
    </row>
    <row r="6785" spans="1:11" s="59" customFormat="1" ht="14.45" customHeight="1" x14ac:dyDescent="0.25">
      <c r="A6785"/>
      <c r="B6785"/>
      <c r="C6785"/>
      <c r="D6785"/>
      <c r="E6785"/>
      <c r="F6785"/>
      <c r="G6785"/>
      <c r="H6785"/>
      <c r="I6785"/>
      <c r="J6785"/>
    </row>
    <row r="6787" spans="1:11" ht="14.45" customHeight="1" x14ac:dyDescent="0.2">
      <c r="K6787" s="68"/>
    </row>
    <row r="6788" spans="1:11" ht="14.45" customHeight="1" x14ac:dyDescent="0.2">
      <c r="K6788" s="68"/>
    </row>
    <row r="6789" spans="1:11" ht="14.45" customHeight="1" x14ac:dyDescent="0.2">
      <c r="K6789" s="68"/>
    </row>
    <row r="6790" spans="1:11" ht="14.45" customHeight="1" x14ac:dyDescent="0.2">
      <c r="K6790" s="17"/>
    </row>
    <row r="6791" spans="1:11" ht="14.45" customHeight="1" x14ac:dyDescent="0.2">
      <c r="K6791" s="17"/>
    </row>
    <row r="6792" spans="1:11" ht="14.45" customHeight="1" x14ac:dyDescent="0.2">
      <c r="K6792" s="17"/>
    </row>
    <row r="6793" spans="1:11" ht="14.45" customHeight="1" x14ac:dyDescent="0.2">
      <c r="K6793" s="17"/>
    </row>
    <row r="6794" spans="1:11" ht="14.45" customHeight="1" x14ac:dyDescent="0.2">
      <c r="K6794" s="17"/>
    </row>
    <row r="6795" spans="1:11" ht="14.45" customHeight="1" x14ac:dyDescent="0.2">
      <c r="K6795" s="17"/>
    </row>
    <row r="6796" spans="1:11" ht="14.45" customHeight="1" x14ac:dyDescent="0.2">
      <c r="K6796" s="17"/>
    </row>
    <row r="6797" spans="1:11" ht="14.45" customHeight="1" x14ac:dyDescent="0.2">
      <c r="K6797" s="17"/>
    </row>
    <row r="6799" spans="1:11" s="17" customFormat="1" ht="14.45" customHeight="1" x14ac:dyDescent="0.2">
      <c r="A6799"/>
      <c r="B6799"/>
      <c r="C6799"/>
      <c r="D6799"/>
      <c r="E6799"/>
      <c r="F6799"/>
      <c r="G6799"/>
      <c r="H6799"/>
      <c r="I6799"/>
      <c r="J6799"/>
    </row>
    <row r="6800" spans="1:11" s="92" customFormat="1" ht="14.45" customHeight="1" x14ac:dyDescent="0.2">
      <c r="A6800"/>
      <c r="B6800"/>
      <c r="C6800"/>
      <c r="D6800"/>
      <c r="E6800"/>
      <c r="F6800"/>
      <c r="G6800"/>
      <c r="H6800"/>
      <c r="I6800"/>
      <c r="J6800"/>
      <c r="K6800" s="19"/>
    </row>
    <row r="6805" spans="1:11" ht="14.45" customHeight="1" x14ac:dyDescent="0.2">
      <c r="K6805" s="57"/>
    </row>
    <row r="6806" spans="1:11" ht="14.45" customHeight="1" x14ac:dyDescent="0.2">
      <c r="K6806" s="58"/>
    </row>
    <row r="6807" spans="1:11" ht="14.45" customHeight="1" x14ac:dyDescent="0.2">
      <c r="K6807" s="58"/>
    </row>
    <row r="6809" spans="1:11" ht="14.45" customHeight="1" x14ac:dyDescent="0.2">
      <c r="K6809" s="61"/>
    </row>
    <row r="6810" spans="1:11" ht="14.45" customHeight="1" x14ac:dyDescent="0.2">
      <c r="K6810" s="61"/>
    </row>
    <row r="6811" spans="1:11" s="59" customFormat="1" ht="14.45" customHeight="1" x14ac:dyDescent="0.25">
      <c r="A6811"/>
      <c r="B6811"/>
      <c r="C6811"/>
      <c r="D6811"/>
      <c r="E6811"/>
      <c r="F6811"/>
      <c r="G6811"/>
      <c r="H6811"/>
      <c r="I6811"/>
      <c r="J6811"/>
    </row>
    <row r="6812" spans="1:11" s="59" customFormat="1" ht="14.45" customHeight="1" x14ac:dyDescent="0.25">
      <c r="A6812"/>
      <c r="B6812"/>
      <c r="C6812"/>
      <c r="D6812"/>
      <c r="E6812"/>
      <c r="F6812"/>
      <c r="G6812"/>
      <c r="H6812"/>
      <c r="I6812"/>
      <c r="J6812"/>
    </row>
    <row r="6814" spans="1:11" ht="14.45" customHeight="1" x14ac:dyDescent="0.2">
      <c r="K6814" s="68"/>
    </row>
    <row r="6815" spans="1:11" ht="14.45" customHeight="1" x14ac:dyDescent="0.2">
      <c r="K6815" s="68"/>
    </row>
    <row r="6816" spans="1:11" ht="14.45" customHeight="1" x14ac:dyDescent="0.2">
      <c r="K6816" s="68"/>
    </row>
    <row r="6817" spans="1:11" ht="14.45" customHeight="1" x14ac:dyDescent="0.2">
      <c r="K6817" s="17"/>
    </row>
    <row r="6818" spans="1:11" ht="14.45" customHeight="1" x14ac:dyDescent="0.2">
      <c r="K6818" s="17"/>
    </row>
    <row r="6819" spans="1:11" ht="14.45" customHeight="1" x14ac:dyDescent="0.2">
      <c r="K6819" s="17"/>
    </row>
    <row r="6820" spans="1:11" ht="14.45" customHeight="1" x14ac:dyDescent="0.2">
      <c r="K6820" s="17"/>
    </row>
    <row r="6821" spans="1:11" ht="14.45" customHeight="1" x14ac:dyDescent="0.2">
      <c r="K6821" s="17"/>
    </row>
    <row r="6822" spans="1:11" ht="14.45" customHeight="1" x14ac:dyDescent="0.2">
      <c r="K6822" s="17"/>
    </row>
    <row r="6823" spans="1:11" ht="14.45" customHeight="1" x14ac:dyDescent="0.2">
      <c r="K6823" s="17"/>
    </row>
    <row r="6824" spans="1:11" ht="14.45" customHeight="1" x14ac:dyDescent="0.2">
      <c r="K6824" s="17"/>
    </row>
    <row r="6826" spans="1:11" s="17" customFormat="1" ht="14.45" customHeight="1" x14ac:dyDescent="0.2">
      <c r="A6826"/>
      <c r="B6826"/>
      <c r="C6826"/>
      <c r="D6826"/>
      <c r="E6826"/>
      <c r="F6826"/>
      <c r="G6826"/>
      <c r="H6826"/>
      <c r="I6826"/>
      <c r="J6826"/>
    </row>
    <row r="6827" spans="1:11" s="92" customFormat="1" ht="14.45" customHeight="1" x14ac:dyDescent="0.2">
      <c r="A6827"/>
      <c r="B6827"/>
      <c r="C6827"/>
      <c r="D6827"/>
      <c r="E6827"/>
      <c r="F6827"/>
      <c r="G6827"/>
      <c r="H6827"/>
      <c r="I6827"/>
      <c r="J6827"/>
      <c r="K6827" s="19"/>
    </row>
    <row r="6832" spans="1:11" ht="14.45" customHeight="1" x14ac:dyDescent="0.2">
      <c r="K6832" s="57"/>
    </row>
    <row r="6833" spans="1:11" ht="14.45" customHeight="1" x14ac:dyDescent="0.2">
      <c r="K6833" s="58"/>
    </row>
    <row r="6834" spans="1:11" ht="14.45" customHeight="1" x14ac:dyDescent="0.2">
      <c r="K6834" s="58"/>
    </row>
    <row r="6836" spans="1:11" ht="14.45" customHeight="1" x14ac:dyDescent="0.2">
      <c r="K6836" s="61"/>
    </row>
    <row r="6837" spans="1:11" ht="14.45" customHeight="1" x14ac:dyDescent="0.2">
      <c r="K6837" s="61"/>
    </row>
    <row r="6838" spans="1:11" s="59" customFormat="1" ht="14.45" customHeight="1" x14ac:dyDescent="0.25">
      <c r="A6838"/>
      <c r="B6838"/>
      <c r="C6838"/>
      <c r="D6838"/>
      <c r="E6838"/>
      <c r="F6838"/>
      <c r="G6838"/>
      <c r="H6838"/>
      <c r="I6838"/>
      <c r="J6838"/>
    </row>
    <row r="6839" spans="1:11" s="59" customFormat="1" ht="14.45" customHeight="1" x14ac:dyDescent="0.25">
      <c r="A6839"/>
      <c r="B6839"/>
      <c r="C6839"/>
      <c r="D6839"/>
      <c r="E6839"/>
      <c r="F6839"/>
      <c r="G6839"/>
      <c r="H6839"/>
      <c r="I6839"/>
      <c r="J6839"/>
    </row>
    <row r="6841" spans="1:11" ht="14.45" customHeight="1" x14ac:dyDescent="0.2">
      <c r="K6841" s="68"/>
    </row>
    <row r="6842" spans="1:11" ht="14.45" customHeight="1" x14ac:dyDescent="0.2">
      <c r="K6842" s="68"/>
    </row>
    <row r="6843" spans="1:11" ht="14.45" customHeight="1" x14ac:dyDescent="0.2">
      <c r="K6843" s="68"/>
    </row>
    <row r="6844" spans="1:11" ht="14.45" customHeight="1" x14ac:dyDescent="0.2">
      <c r="K6844" s="17"/>
    </row>
    <row r="6845" spans="1:11" ht="14.45" customHeight="1" x14ac:dyDescent="0.2">
      <c r="K6845" s="17"/>
    </row>
    <row r="6846" spans="1:11" ht="14.45" customHeight="1" x14ac:dyDescent="0.2">
      <c r="K6846" s="17"/>
    </row>
    <row r="6847" spans="1:11" ht="14.45" customHeight="1" x14ac:dyDescent="0.2">
      <c r="K6847" s="17"/>
    </row>
    <row r="6848" spans="1:11" ht="14.45" customHeight="1" x14ac:dyDescent="0.2">
      <c r="K6848" s="17"/>
    </row>
    <row r="6849" spans="1:11" ht="14.45" customHeight="1" x14ac:dyDescent="0.2">
      <c r="K6849" s="17"/>
    </row>
    <row r="6850" spans="1:11" ht="14.45" customHeight="1" x14ac:dyDescent="0.2">
      <c r="K6850" s="17"/>
    </row>
    <row r="6851" spans="1:11" ht="14.45" customHeight="1" x14ac:dyDescent="0.2">
      <c r="K6851" s="17"/>
    </row>
    <row r="6853" spans="1:11" s="17" customFormat="1" ht="14.45" customHeight="1" x14ac:dyDescent="0.2">
      <c r="A6853"/>
      <c r="B6853"/>
      <c r="C6853"/>
      <c r="D6853"/>
      <c r="E6853"/>
      <c r="F6853"/>
      <c r="G6853"/>
      <c r="H6853"/>
      <c r="I6853"/>
      <c r="J6853"/>
    </row>
    <row r="6854" spans="1:11" s="92" customFormat="1" ht="14.45" customHeight="1" x14ac:dyDescent="0.2">
      <c r="A6854"/>
      <c r="B6854"/>
      <c r="C6854"/>
      <c r="D6854"/>
      <c r="E6854"/>
      <c r="F6854"/>
      <c r="G6854"/>
      <c r="H6854"/>
      <c r="I6854"/>
      <c r="J6854"/>
      <c r="K6854" s="19"/>
    </row>
    <row r="6859" spans="1:11" ht="14.45" customHeight="1" x14ac:dyDescent="0.2">
      <c r="K6859" s="57"/>
    </row>
    <row r="6860" spans="1:11" ht="14.45" customHeight="1" x14ac:dyDescent="0.2">
      <c r="K6860" s="58"/>
    </row>
    <row r="6861" spans="1:11" ht="14.45" customHeight="1" x14ac:dyDescent="0.2">
      <c r="K6861" s="58"/>
    </row>
    <row r="6863" spans="1:11" ht="14.45" customHeight="1" x14ac:dyDescent="0.2">
      <c r="K6863" s="61"/>
    </row>
    <row r="6864" spans="1:11" ht="14.45" customHeight="1" x14ac:dyDescent="0.2">
      <c r="K6864" s="61"/>
    </row>
    <row r="6865" spans="1:11" s="59" customFormat="1" ht="14.45" customHeight="1" x14ac:dyDescent="0.25">
      <c r="A6865"/>
      <c r="B6865"/>
      <c r="C6865"/>
      <c r="D6865"/>
      <c r="E6865"/>
      <c r="F6865"/>
      <c r="G6865"/>
      <c r="H6865"/>
      <c r="I6865"/>
      <c r="J6865"/>
    </row>
    <row r="6866" spans="1:11" s="59" customFormat="1" ht="14.45" customHeight="1" x14ac:dyDescent="0.25">
      <c r="A6866"/>
      <c r="B6866"/>
      <c r="C6866"/>
      <c r="D6866"/>
      <c r="E6866"/>
      <c r="F6866"/>
      <c r="G6866"/>
      <c r="H6866"/>
      <c r="I6866"/>
      <c r="J6866"/>
    </row>
    <row r="6868" spans="1:11" ht="14.45" customHeight="1" x14ac:dyDescent="0.2">
      <c r="K6868" s="68"/>
    </row>
    <row r="6869" spans="1:11" ht="14.45" customHeight="1" x14ac:dyDescent="0.2">
      <c r="K6869" s="68"/>
    </row>
    <row r="6870" spans="1:11" ht="14.45" customHeight="1" x14ac:dyDescent="0.2">
      <c r="K6870" s="68"/>
    </row>
    <row r="6871" spans="1:11" ht="14.45" customHeight="1" x14ac:dyDescent="0.2">
      <c r="K6871" s="17"/>
    </row>
    <row r="6872" spans="1:11" ht="14.45" customHeight="1" x14ac:dyDescent="0.2">
      <c r="K6872" s="17"/>
    </row>
    <row r="6873" spans="1:11" ht="14.45" customHeight="1" x14ac:dyDescent="0.2">
      <c r="K6873" s="17"/>
    </row>
    <row r="6874" spans="1:11" ht="14.45" customHeight="1" x14ac:dyDescent="0.2">
      <c r="K6874" s="17"/>
    </row>
    <row r="6875" spans="1:11" ht="14.45" customHeight="1" x14ac:dyDescent="0.2">
      <c r="K6875" s="17"/>
    </row>
    <row r="6876" spans="1:11" ht="14.45" customHeight="1" x14ac:dyDescent="0.2">
      <c r="K6876" s="17"/>
    </row>
    <row r="6877" spans="1:11" ht="14.45" customHeight="1" x14ac:dyDescent="0.2">
      <c r="K6877" s="17"/>
    </row>
    <row r="6878" spans="1:11" ht="14.45" customHeight="1" x14ac:dyDescent="0.2">
      <c r="K6878" s="17"/>
    </row>
    <row r="6880" spans="1:11" s="17" customFormat="1" ht="14.45" customHeight="1" x14ac:dyDescent="0.2">
      <c r="A6880"/>
      <c r="B6880"/>
      <c r="C6880"/>
      <c r="D6880"/>
      <c r="E6880"/>
      <c r="F6880"/>
      <c r="G6880"/>
      <c r="H6880"/>
      <c r="I6880"/>
      <c r="J6880"/>
    </row>
    <row r="6881" spans="1:11" s="92" customFormat="1" ht="14.45" customHeight="1" x14ac:dyDescent="0.2">
      <c r="A6881"/>
      <c r="B6881"/>
      <c r="C6881"/>
      <c r="D6881"/>
      <c r="E6881"/>
      <c r="F6881"/>
      <c r="G6881"/>
      <c r="H6881"/>
      <c r="I6881"/>
      <c r="J6881"/>
      <c r="K6881" s="19"/>
    </row>
    <row r="6886" spans="1:11" ht="14.45" customHeight="1" x14ac:dyDescent="0.2">
      <c r="K6886" s="57"/>
    </row>
    <row r="6887" spans="1:11" ht="14.45" customHeight="1" x14ac:dyDescent="0.2">
      <c r="K6887" s="58"/>
    </row>
    <row r="6888" spans="1:11" ht="14.45" customHeight="1" x14ac:dyDescent="0.2">
      <c r="K6888" s="58"/>
    </row>
    <row r="6890" spans="1:11" ht="14.45" customHeight="1" x14ac:dyDescent="0.2">
      <c r="K6890" s="61"/>
    </row>
    <row r="6891" spans="1:11" ht="14.45" customHeight="1" x14ac:dyDescent="0.2">
      <c r="K6891" s="61"/>
    </row>
    <row r="6892" spans="1:11" s="59" customFormat="1" ht="14.45" customHeight="1" x14ac:dyDescent="0.25">
      <c r="A6892"/>
      <c r="B6892"/>
      <c r="C6892"/>
      <c r="D6892"/>
      <c r="E6892"/>
      <c r="F6892"/>
      <c r="G6892"/>
      <c r="H6892"/>
      <c r="I6892"/>
      <c r="J6892"/>
    </row>
    <row r="6893" spans="1:11" s="59" customFormat="1" ht="14.45" customHeight="1" x14ac:dyDescent="0.25">
      <c r="A6893"/>
      <c r="B6893"/>
      <c r="C6893"/>
      <c r="D6893"/>
      <c r="E6893"/>
      <c r="F6893"/>
      <c r="G6893"/>
      <c r="H6893"/>
      <c r="I6893"/>
      <c r="J6893"/>
    </row>
    <row r="6895" spans="1:11" ht="14.45" customHeight="1" x14ac:dyDescent="0.2">
      <c r="K6895" s="68"/>
    </row>
    <row r="6896" spans="1:11" ht="14.45" customHeight="1" x14ac:dyDescent="0.2">
      <c r="K6896" s="68"/>
    </row>
    <row r="6897" spans="1:11" ht="14.45" customHeight="1" x14ac:dyDescent="0.2">
      <c r="K6897" s="68"/>
    </row>
    <row r="6898" spans="1:11" ht="14.45" customHeight="1" x14ac:dyDescent="0.2">
      <c r="K6898" s="17"/>
    </row>
    <row r="6899" spans="1:11" ht="14.45" customHeight="1" x14ac:dyDescent="0.2">
      <c r="K6899" s="17"/>
    </row>
    <row r="6900" spans="1:11" ht="14.45" customHeight="1" x14ac:dyDescent="0.2">
      <c r="K6900" s="17"/>
    </row>
    <row r="6901" spans="1:11" ht="14.45" customHeight="1" x14ac:dyDescent="0.2">
      <c r="K6901" s="17"/>
    </row>
    <row r="6902" spans="1:11" ht="14.45" customHeight="1" x14ac:dyDescent="0.2">
      <c r="K6902" s="17"/>
    </row>
    <row r="6903" spans="1:11" ht="14.45" customHeight="1" x14ac:dyDescent="0.2">
      <c r="K6903" s="17"/>
    </row>
    <row r="6904" spans="1:11" ht="14.45" customHeight="1" x14ac:dyDescent="0.2">
      <c r="K6904" s="17"/>
    </row>
    <row r="6905" spans="1:11" ht="14.45" customHeight="1" x14ac:dyDescent="0.2">
      <c r="K6905" s="17"/>
    </row>
    <row r="6907" spans="1:11" s="17" customFormat="1" ht="14.45" customHeight="1" x14ac:dyDescent="0.2">
      <c r="A6907"/>
      <c r="B6907"/>
      <c r="C6907"/>
      <c r="D6907"/>
      <c r="E6907"/>
      <c r="F6907"/>
      <c r="G6907"/>
      <c r="H6907"/>
      <c r="I6907"/>
      <c r="J6907"/>
    </row>
    <row r="6908" spans="1:11" s="92" customFormat="1" ht="14.45" customHeight="1" x14ac:dyDescent="0.2">
      <c r="A6908"/>
      <c r="B6908"/>
      <c r="C6908"/>
      <c r="D6908"/>
      <c r="E6908"/>
      <c r="F6908"/>
      <c r="G6908"/>
      <c r="H6908"/>
      <c r="I6908"/>
      <c r="J6908"/>
      <c r="K6908" s="19"/>
    </row>
    <row r="6913" spans="1:11" ht="14.45" customHeight="1" x14ac:dyDescent="0.2">
      <c r="K6913" s="57"/>
    </row>
    <row r="6914" spans="1:11" ht="14.45" customHeight="1" x14ac:dyDescent="0.2">
      <c r="K6914" s="58"/>
    </row>
    <row r="6915" spans="1:11" ht="14.45" customHeight="1" x14ac:dyDescent="0.2">
      <c r="K6915" s="58"/>
    </row>
    <row r="6917" spans="1:11" ht="14.45" customHeight="1" x14ac:dyDescent="0.2">
      <c r="K6917" s="61"/>
    </row>
    <row r="6918" spans="1:11" ht="14.45" customHeight="1" x14ac:dyDescent="0.2">
      <c r="K6918" s="61"/>
    </row>
    <row r="6919" spans="1:11" s="59" customFormat="1" ht="14.45" customHeight="1" x14ac:dyDescent="0.25">
      <c r="A6919"/>
      <c r="B6919"/>
      <c r="C6919"/>
      <c r="D6919"/>
      <c r="E6919"/>
      <c r="F6919"/>
      <c r="G6919"/>
      <c r="H6919"/>
      <c r="I6919"/>
      <c r="J6919"/>
    </row>
    <row r="6920" spans="1:11" s="59" customFormat="1" ht="14.45" customHeight="1" x14ac:dyDescent="0.25">
      <c r="A6920"/>
      <c r="B6920"/>
      <c r="C6920"/>
      <c r="D6920"/>
      <c r="E6920"/>
      <c r="F6920"/>
      <c r="G6920"/>
      <c r="H6920"/>
      <c r="I6920"/>
      <c r="J6920"/>
    </row>
    <row r="6922" spans="1:11" ht="14.45" customHeight="1" x14ac:dyDescent="0.2">
      <c r="K6922" s="68"/>
    </row>
    <row r="6923" spans="1:11" ht="14.45" customHeight="1" x14ac:dyDescent="0.2">
      <c r="K6923" s="68"/>
    </row>
    <row r="6924" spans="1:11" ht="14.45" customHeight="1" x14ac:dyDescent="0.2">
      <c r="K6924" s="68"/>
    </row>
    <row r="6925" spans="1:11" ht="14.45" customHeight="1" x14ac:dyDescent="0.2">
      <c r="K6925" s="17"/>
    </row>
    <row r="6926" spans="1:11" ht="14.45" customHeight="1" x14ac:dyDescent="0.2">
      <c r="K6926" s="17"/>
    </row>
    <row r="6927" spans="1:11" ht="14.45" customHeight="1" x14ac:dyDescent="0.2">
      <c r="K6927" s="17"/>
    </row>
    <row r="6928" spans="1:11" ht="14.45" customHeight="1" x14ac:dyDescent="0.2">
      <c r="K6928" s="17"/>
    </row>
    <row r="6929" spans="1:11" ht="14.45" customHeight="1" x14ac:dyDescent="0.2">
      <c r="K6929" s="17"/>
    </row>
    <row r="6930" spans="1:11" ht="14.45" customHeight="1" x14ac:dyDescent="0.2">
      <c r="K6930" s="17"/>
    </row>
    <row r="6931" spans="1:11" ht="14.45" customHeight="1" x14ac:dyDescent="0.2">
      <c r="K6931" s="17"/>
    </row>
    <row r="6932" spans="1:11" ht="14.45" customHeight="1" x14ac:dyDescent="0.2">
      <c r="K6932" s="17"/>
    </row>
    <row r="6934" spans="1:11" s="17" customFormat="1" ht="14.45" customHeight="1" x14ac:dyDescent="0.2">
      <c r="A6934"/>
      <c r="B6934"/>
      <c r="C6934"/>
      <c r="D6934"/>
      <c r="E6934"/>
      <c r="F6934"/>
      <c r="G6934"/>
      <c r="H6934"/>
      <c r="I6934"/>
      <c r="J6934"/>
    </row>
    <row r="6935" spans="1:11" s="92" customFormat="1" ht="14.45" customHeight="1" x14ac:dyDescent="0.2">
      <c r="A6935"/>
      <c r="B6935"/>
      <c r="C6935"/>
      <c r="D6935"/>
      <c r="E6935"/>
      <c r="F6935"/>
      <c r="G6935"/>
      <c r="H6935"/>
      <c r="I6935"/>
      <c r="J6935"/>
      <c r="K6935" s="19"/>
    </row>
    <row r="6940" spans="1:11" ht="14.45" customHeight="1" x14ac:dyDescent="0.2">
      <c r="K6940" s="57"/>
    </row>
    <row r="6941" spans="1:11" ht="14.45" customHeight="1" x14ac:dyDescent="0.2">
      <c r="K6941" s="58"/>
    </row>
    <row r="6942" spans="1:11" ht="14.45" customHeight="1" x14ac:dyDescent="0.2">
      <c r="K6942" s="58"/>
    </row>
    <row r="6944" spans="1:11" ht="14.45" customHeight="1" x14ac:dyDescent="0.2">
      <c r="K6944" s="61"/>
    </row>
    <row r="6945" spans="1:11" ht="14.45" customHeight="1" x14ac:dyDescent="0.2">
      <c r="K6945" s="61"/>
    </row>
    <row r="6946" spans="1:11" s="59" customFormat="1" ht="14.45" customHeight="1" x14ac:dyDescent="0.25">
      <c r="A6946"/>
      <c r="B6946"/>
      <c r="C6946"/>
      <c r="D6946"/>
      <c r="E6946"/>
      <c r="F6946"/>
      <c r="G6946"/>
      <c r="H6946"/>
      <c r="I6946"/>
      <c r="J6946"/>
    </row>
    <row r="6947" spans="1:11" s="59" customFormat="1" ht="14.45" customHeight="1" x14ac:dyDescent="0.25">
      <c r="A6947"/>
      <c r="B6947"/>
      <c r="C6947"/>
      <c r="D6947"/>
      <c r="E6947"/>
      <c r="F6947"/>
      <c r="G6947"/>
      <c r="H6947"/>
      <c r="I6947"/>
      <c r="J6947"/>
    </row>
    <row r="6949" spans="1:11" ht="14.45" customHeight="1" x14ac:dyDescent="0.2">
      <c r="K6949" s="68"/>
    </row>
    <row r="6950" spans="1:11" ht="14.45" customHeight="1" x14ac:dyDescent="0.2">
      <c r="K6950" s="68"/>
    </row>
    <row r="6951" spans="1:11" ht="14.45" customHeight="1" x14ac:dyDescent="0.2">
      <c r="K6951" s="68"/>
    </row>
    <row r="6952" spans="1:11" ht="14.45" customHeight="1" x14ac:dyDescent="0.2">
      <c r="K6952" s="17"/>
    </row>
    <row r="6953" spans="1:11" ht="14.45" customHeight="1" x14ac:dyDescent="0.2">
      <c r="K6953" s="17"/>
    </row>
    <row r="6954" spans="1:11" ht="14.45" customHeight="1" x14ac:dyDescent="0.2">
      <c r="K6954" s="17"/>
    </row>
    <row r="6955" spans="1:11" ht="14.45" customHeight="1" x14ac:dyDescent="0.2">
      <c r="K6955" s="17"/>
    </row>
    <row r="6956" spans="1:11" ht="14.45" customHeight="1" x14ac:dyDescent="0.2">
      <c r="K6956" s="17"/>
    </row>
    <row r="6957" spans="1:11" ht="14.45" customHeight="1" x14ac:dyDescent="0.2">
      <c r="K6957" s="17"/>
    </row>
    <row r="6958" spans="1:11" ht="14.45" customHeight="1" x14ac:dyDescent="0.2">
      <c r="K6958" s="17"/>
    </row>
    <row r="6959" spans="1:11" ht="14.45" customHeight="1" x14ac:dyDescent="0.2">
      <c r="K6959" s="17"/>
    </row>
    <row r="6961" spans="1:11" s="17" customFormat="1" ht="14.45" customHeight="1" x14ac:dyDescent="0.2">
      <c r="A6961"/>
      <c r="B6961"/>
      <c r="C6961"/>
      <c r="D6961"/>
      <c r="E6961"/>
      <c r="F6961"/>
      <c r="G6961"/>
      <c r="H6961"/>
      <c r="I6961"/>
      <c r="J6961"/>
    </row>
    <row r="6962" spans="1:11" s="92" customFormat="1" ht="14.45" customHeight="1" x14ac:dyDescent="0.2">
      <c r="A6962"/>
      <c r="B6962"/>
      <c r="C6962"/>
      <c r="D6962"/>
      <c r="E6962"/>
      <c r="F6962"/>
      <c r="G6962"/>
      <c r="H6962"/>
      <c r="I6962"/>
      <c r="J6962"/>
      <c r="K6962" s="19"/>
    </row>
    <row r="6967" spans="1:11" ht="14.45" customHeight="1" x14ac:dyDescent="0.2">
      <c r="K6967" s="57"/>
    </row>
    <row r="6968" spans="1:11" ht="14.45" customHeight="1" x14ac:dyDescent="0.2">
      <c r="K6968" s="58"/>
    </row>
    <row r="6969" spans="1:11" ht="14.45" customHeight="1" x14ac:dyDescent="0.2">
      <c r="K6969" s="58"/>
    </row>
    <row r="6971" spans="1:11" ht="14.45" customHeight="1" x14ac:dyDescent="0.2">
      <c r="K6971" s="61"/>
    </row>
    <row r="6972" spans="1:11" ht="14.45" customHeight="1" x14ac:dyDescent="0.2">
      <c r="K6972" s="61"/>
    </row>
    <row r="6973" spans="1:11" s="59" customFormat="1" ht="14.45" customHeight="1" x14ac:dyDescent="0.25">
      <c r="A6973"/>
      <c r="B6973"/>
      <c r="C6973"/>
      <c r="D6973"/>
      <c r="E6973"/>
      <c r="F6973"/>
      <c r="G6973"/>
      <c r="H6973"/>
      <c r="I6973"/>
      <c r="J6973"/>
    </row>
    <row r="6974" spans="1:11" s="59" customFormat="1" ht="14.45" customHeight="1" x14ac:dyDescent="0.25">
      <c r="A6974"/>
      <c r="B6974"/>
      <c r="C6974"/>
      <c r="D6974"/>
      <c r="E6974"/>
      <c r="F6974"/>
      <c r="G6974"/>
      <c r="H6974"/>
      <c r="I6974"/>
      <c r="J6974"/>
    </row>
    <row r="6976" spans="1:11" ht="14.45" customHeight="1" x14ac:dyDescent="0.2">
      <c r="K6976" s="68"/>
    </row>
    <row r="6977" spans="1:11" ht="14.45" customHeight="1" x14ac:dyDescent="0.2">
      <c r="K6977" s="68"/>
    </row>
    <row r="6978" spans="1:11" ht="14.45" customHeight="1" x14ac:dyDescent="0.2">
      <c r="K6978" s="68"/>
    </row>
    <row r="6979" spans="1:11" ht="14.45" customHeight="1" x14ac:dyDescent="0.2">
      <c r="K6979" s="17"/>
    </row>
    <row r="6980" spans="1:11" ht="14.45" customHeight="1" x14ac:dyDescent="0.2">
      <c r="K6980" s="17"/>
    </row>
    <row r="6981" spans="1:11" ht="14.45" customHeight="1" x14ac:dyDescent="0.2">
      <c r="K6981" s="17"/>
    </row>
    <row r="6982" spans="1:11" ht="14.45" customHeight="1" x14ac:dyDescent="0.2">
      <c r="K6982" s="17"/>
    </row>
    <row r="6983" spans="1:11" ht="14.45" customHeight="1" x14ac:dyDescent="0.2">
      <c r="K6983" s="17"/>
    </row>
    <row r="6984" spans="1:11" ht="14.45" customHeight="1" x14ac:dyDescent="0.2">
      <c r="K6984" s="17"/>
    </row>
    <row r="6985" spans="1:11" ht="14.45" customHeight="1" x14ac:dyDescent="0.2">
      <c r="K6985" s="17"/>
    </row>
    <row r="6986" spans="1:11" ht="14.45" customHeight="1" x14ac:dyDescent="0.2">
      <c r="K6986" s="17"/>
    </row>
    <row r="6988" spans="1:11" s="17" customFormat="1" ht="14.45" customHeight="1" x14ac:dyDescent="0.2">
      <c r="A6988"/>
      <c r="B6988"/>
      <c r="C6988"/>
      <c r="D6988"/>
      <c r="E6988"/>
      <c r="F6988"/>
      <c r="G6988"/>
      <c r="H6988"/>
      <c r="I6988"/>
      <c r="J6988"/>
    </row>
    <row r="6989" spans="1:11" s="92" customFormat="1" ht="14.45" customHeight="1" x14ac:dyDescent="0.2">
      <c r="A6989"/>
      <c r="B6989"/>
      <c r="C6989"/>
      <c r="D6989"/>
      <c r="E6989"/>
      <c r="F6989"/>
      <c r="G6989"/>
      <c r="H6989"/>
      <c r="I6989"/>
      <c r="J6989"/>
      <c r="K6989" s="19"/>
    </row>
    <row r="6994" spans="1:11" ht="14.45" customHeight="1" x14ac:dyDescent="0.2">
      <c r="K6994" s="57"/>
    </row>
    <row r="6995" spans="1:11" ht="14.45" customHeight="1" x14ac:dyDescent="0.2">
      <c r="K6995" s="58"/>
    </row>
    <row r="6996" spans="1:11" ht="14.45" customHeight="1" x14ac:dyDescent="0.2">
      <c r="K6996" s="58"/>
    </row>
    <row r="6998" spans="1:11" ht="14.45" customHeight="1" x14ac:dyDescent="0.2">
      <c r="K6998" s="61"/>
    </row>
    <row r="6999" spans="1:11" ht="14.45" customHeight="1" x14ac:dyDescent="0.2">
      <c r="K6999" s="61"/>
    </row>
    <row r="7000" spans="1:11" s="59" customFormat="1" ht="14.45" customHeight="1" x14ac:dyDescent="0.25">
      <c r="A7000"/>
      <c r="B7000"/>
      <c r="C7000"/>
      <c r="D7000"/>
      <c r="E7000"/>
      <c r="F7000"/>
      <c r="G7000"/>
      <c r="H7000"/>
      <c r="I7000"/>
      <c r="J7000"/>
    </row>
    <row r="7001" spans="1:11" s="59" customFormat="1" ht="14.45" customHeight="1" x14ac:dyDescent="0.25">
      <c r="A7001"/>
      <c r="B7001"/>
      <c r="C7001"/>
      <c r="D7001"/>
      <c r="E7001"/>
      <c r="F7001"/>
      <c r="G7001"/>
      <c r="H7001"/>
      <c r="I7001"/>
      <c r="J7001"/>
    </row>
    <row r="7003" spans="1:11" ht="14.45" customHeight="1" x14ac:dyDescent="0.2">
      <c r="K7003" s="68"/>
    </row>
    <row r="7004" spans="1:11" ht="14.45" customHeight="1" x14ac:dyDescent="0.2">
      <c r="K7004" s="68"/>
    </row>
    <row r="7005" spans="1:11" ht="14.45" customHeight="1" x14ac:dyDescent="0.2">
      <c r="K7005" s="68"/>
    </row>
    <row r="7006" spans="1:11" ht="14.45" customHeight="1" x14ac:dyDescent="0.2">
      <c r="K7006" s="17"/>
    </row>
    <row r="7007" spans="1:11" ht="14.45" customHeight="1" x14ac:dyDescent="0.2">
      <c r="K7007" s="17"/>
    </row>
    <row r="7008" spans="1:11" ht="14.45" customHeight="1" x14ac:dyDescent="0.2">
      <c r="K7008" s="17"/>
    </row>
    <row r="7009" spans="1:11" ht="14.45" customHeight="1" x14ac:dyDescent="0.2">
      <c r="K7009" s="17"/>
    </row>
    <row r="7010" spans="1:11" ht="14.45" customHeight="1" x14ac:dyDescent="0.2">
      <c r="K7010" s="17"/>
    </row>
    <row r="7011" spans="1:11" ht="14.45" customHeight="1" x14ac:dyDescent="0.2">
      <c r="K7011" s="17"/>
    </row>
    <row r="7012" spans="1:11" ht="14.45" customHeight="1" x14ac:dyDescent="0.2">
      <c r="K7012" s="17"/>
    </row>
    <row r="7013" spans="1:11" ht="14.45" customHeight="1" x14ac:dyDescent="0.2">
      <c r="K7013" s="17"/>
    </row>
    <row r="7015" spans="1:11" s="17" customFormat="1" ht="14.45" customHeight="1" x14ac:dyDescent="0.2">
      <c r="A7015"/>
      <c r="B7015"/>
      <c r="C7015"/>
      <c r="D7015"/>
      <c r="E7015"/>
      <c r="F7015"/>
      <c r="G7015"/>
      <c r="H7015"/>
      <c r="I7015"/>
      <c r="J7015"/>
    </row>
    <row r="7016" spans="1:11" s="92" customFormat="1" ht="14.45" customHeight="1" x14ac:dyDescent="0.2">
      <c r="A7016"/>
      <c r="B7016"/>
      <c r="C7016"/>
      <c r="D7016"/>
      <c r="E7016"/>
      <c r="F7016"/>
      <c r="G7016"/>
      <c r="H7016"/>
      <c r="I7016"/>
      <c r="J7016"/>
      <c r="K7016" s="19"/>
    </row>
    <row r="7021" spans="1:11" ht="14.45" customHeight="1" x14ac:dyDescent="0.2">
      <c r="K7021" s="57"/>
    </row>
    <row r="7022" spans="1:11" ht="14.45" customHeight="1" x14ac:dyDescent="0.2">
      <c r="K7022" s="58"/>
    </row>
    <row r="7023" spans="1:11" ht="14.45" customHeight="1" x14ac:dyDescent="0.2">
      <c r="K7023" s="58"/>
    </row>
    <row r="7025" spans="1:11" ht="14.45" customHeight="1" x14ac:dyDescent="0.2">
      <c r="K7025" s="61"/>
    </row>
    <row r="7026" spans="1:11" ht="14.45" customHeight="1" x14ac:dyDescent="0.2">
      <c r="K7026" s="61"/>
    </row>
    <row r="7027" spans="1:11" s="59" customFormat="1" ht="14.45" customHeight="1" x14ac:dyDescent="0.25">
      <c r="A7027"/>
      <c r="B7027"/>
      <c r="C7027"/>
      <c r="D7027"/>
      <c r="E7027"/>
      <c r="F7027"/>
      <c r="G7027"/>
      <c r="H7027"/>
      <c r="I7027"/>
      <c r="J7027"/>
    </row>
    <row r="7028" spans="1:11" s="59" customFormat="1" ht="14.45" customHeight="1" x14ac:dyDescent="0.25">
      <c r="A7028"/>
      <c r="B7028"/>
      <c r="C7028"/>
      <c r="D7028"/>
      <c r="E7028"/>
      <c r="F7028"/>
      <c r="G7028"/>
      <c r="H7028"/>
      <c r="I7028"/>
      <c r="J7028"/>
    </row>
    <row r="7030" spans="1:11" ht="14.45" customHeight="1" x14ac:dyDescent="0.2">
      <c r="K7030" s="68"/>
    </row>
    <row r="7031" spans="1:11" ht="14.45" customHeight="1" x14ac:dyDescent="0.2">
      <c r="K7031" s="68"/>
    </row>
    <row r="7032" spans="1:11" ht="14.45" customHeight="1" x14ac:dyDescent="0.2">
      <c r="K7032" s="68"/>
    </row>
    <row r="7033" spans="1:11" ht="14.45" customHeight="1" x14ac:dyDescent="0.2">
      <c r="K7033" s="17"/>
    </row>
    <row r="7034" spans="1:11" ht="14.45" customHeight="1" x14ac:dyDescent="0.2">
      <c r="K7034" s="17"/>
    </row>
    <row r="7035" spans="1:11" ht="14.45" customHeight="1" x14ac:dyDescent="0.2">
      <c r="K7035" s="17"/>
    </row>
    <row r="7036" spans="1:11" ht="14.45" customHeight="1" x14ac:dyDescent="0.2">
      <c r="K7036" s="17"/>
    </row>
    <row r="7037" spans="1:11" ht="14.45" customHeight="1" x14ac:dyDescent="0.2">
      <c r="K7037" s="17"/>
    </row>
    <row r="7038" spans="1:11" ht="14.45" customHeight="1" x14ac:dyDescent="0.2">
      <c r="K7038" s="17"/>
    </row>
    <row r="7039" spans="1:11" ht="14.45" customHeight="1" x14ac:dyDescent="0.2">
      <c r="K7039" s="17"/>
    </row>
    <row r="7040" spans="1:11" ht="14.45" customHeight="1" x14ac:dyDescent="0.2">
      <c r="K7040" s="17"/>
    </row>
    <row r="7042" spans="1:11" s="17" customFormat="1" ht="14.45" customHeight="1" x14ac:dyDescent="0.2">
      <c r="A7042"/>
      <c r="B7042"/>
      <c r="C7042"/>
      <c r="D7042"/>
      <c r="E7042"/>
      <c r="F7042"/>
      <c r="G7042"/>
      <c r="H7042"/>
      <c r="I7042"/>
      <c r="J7042"/>
    </row>
    <row r="7043" spans="1:11" s="92" customFormat="1" ht="14.45" customHeight="1" x14ac:dyDescent="0.2">
      <c r="A7043"/>
      <c r="B7043"/>
      <c r="C7043"/>
      <c r="D7043"/>
      <c r="E7043"/>
      <c r="F7043"/>
      <c r="G7043"/>
      <c r="H7043"/>
      <c r="I7043"/>
      <c r="J7043"/>
      <c r="K7043" s="19"/>
    </row>
    <row r="7048" spans="1:11" ht="14.45" customHeight="1" x14ac:dyDescent="0.2">
      <c r="K7048" s="57"/>
    </row>
    <row r="7049" spans="1:11" ht="14.45" customHeight="1" x14ac:dyDescent="0.2">
      <c r="K7049" s="58"/>
    </row>
    <row r="7050" spans="1:11" ht="14.45" customHeight="1" x14ac:dyDescent="0.2">
      <c r="K7050" s="58"/>
    </row>
    <row r="7052" spans="1:11" ht="14.45" customHeight="1" x14ac:dyDescent="0.2">
      <c r="K7052" s="61"/>
    </row>
    <row r="7053" spans="1:11" ht="14.45" customHeight="1" x14ac:dyDescent="0.2">
      <c r="K7053" s="61"/>
    </row>
    <row r="7054" spans="1:11" s="59" customFormat="1" ht="14.45" customHeight="1" x14ac:dyDescent="0.25">
      <c r="A7054"/>
      <c r="B7054"/>
      <c r="C7054"/>
      <c r="D7054"/>
      <c r="E7054"/>
      <c r="F7054"/>
      <c r="G7054"/>
      <c r="H7054"/>
      <c r="I7054"/>
      <c r="J7054"/>
    </row>
    <row r="7055" spans="1:11" s="59" customFormat="1" ht="14.45" customHeight="1" x14ac:dyDescent="0.25">
      <c r="A7055"/>
      <c r="B7055"/>
      <c r="C7055"/>
      <c r="D7055"/>
      <c r="E7055"/>
      <c r="F7055"/>
      <c r="G7055"/>
      <c r="H7055"/>
      <c r="I7055"/>
      <c r="J7055"/>
    </row>
    <row r="7057" spans="1:11" ht="14.45" customHeight="1" x14ac:dyDescent="0.2">
      <c r="K7057" s="68"/>
    </row>
    <row r="7058" spans="1:11" ht="14.45" customHeight="1" x14ac:dyDescent="0.2">
      <c r="K7058" s="68"/>
    </row>
    <row r="7059" spans="1:11" ht="14.45" customHeight="1" x14ac:dyDescent="0.2">
      <c r="K7059" s="68"/>
    </row>
    <row r="7060" spans="1:11" ht="14.45" customHeight="1" x14ac:dyDescent="0.2">
      <c r="K7060" s="17"/>
    </row>
    <row r="7061" spans="1:11" ht="14.45" customHeight="1" x14ac:dyDescent="0.2">
      <c r="K7061" s="17"/>
    </row>
    <row r="7062" spans="1:11" ht="14.45" customHeight="1" x14ac:dyDescent="0.2">
      <c r="K7062" s="17"/>
    </row>
    <row r="7063" spans="1:11" ht="14.45" customHeight="1" x14ac:dyDescent="0.2">
      <c r="K7063" s="17"/>
    </row>
    <row r="7064" spans="1:11" ht="14.45" customHeight="1" x14ac:dyDescent="0.2">
      <c r="K7064" s="17"/>
    </row>
    <row r="7065" spans="1:11" ht="14.45" customHeight="1" x14ac:dyDescent="0.2">
      <c r="K7065" s="17"/>
    </row>
    <row r="7066" spans="1:11" ht="14.45" customHeight="1" x14ac:dyDescent="0.2">
      <c r="K7066" s="17"/>
    </row>
    <row r="7067" spans="1:11" ht="14.45" customHeight="1" x14ac:dyDescent="0.2">
      <c r="K7067" s="17"/>
    </row>
    <row r="7069" spans="1:11" s="17" customFormat="1" ht="14.45" customHeight="1" x14ac:dyDescent="0.2">
      <c r="A7069"/>
      <c r="B7069"/>
      <c r="C7069"/>
      <c r="D7069"/>
      <c r="E7069"/>
      <c r="F7069"/>
      <c r="G7069"/>
      <c r="H7069"/>
      <c r="I7069"/>
      <c r="J7069"/>
    </row>
    <row r="7070" spans="1:11" s="92" customFormat="1" ht="14.45" customHeight="1" x14ac:dyDescent="0.2">
      <c r="A7070"/>
      <c r="B7070"/>
      <c r="C7070"/>
      <c r="D7070"/>
      <c r="E7070"/>
      <c r="F7070"/>
      <c r="G7070"/>
      <c r="H7070"/>
      <c r="I7070"/>
      <c r="J7070"/>
      <c r="K7070" s="19"/>
    </row>
    <row r="7075" spans="1:11" ht="14.45" customHeight="1" x14ac:dyDescent="0.2">
      <c r="K7075" s="57"/>
    </row>
    <row r="7076" spans="1:11" ht="14.45" customHeight="1" x14ac:dyDescent="0.2">
      <c r="K7076" s="58"/>
    </row>
    <row r="7077" spans="1:11" ht="14.45" customHeight="1" x14ac:dyDescent="0.2">
      <c r="K7077" s="58"/>
    </row>
    <row r="7079" spans="1:11" ht="14.45" customHeight="1" x14ac:dyDescent="0.2">
      <c r="K7079" s="61"/>
    </row>
    <row r="7080" spans="1:11" ht="14.45" customHeight="1" x14ac:dyDescent="0.2">
      <c r="K7080" s="61"/>
    </row>
    <row r="7081" spans="1:11" s="59" customFormat="1" ht="14.45" customHeight="1" x14ac:dyDescent="0.25">
      <c r="A7081"/>
      <c r="B7081"/>
      <c r="C7081"/>
      <c r="D7081"/>
      <c r="E7081"/>
      <c r="F7081"/>
      <c r="G7081"/>
      <c r="H7081"/>
      <c r="I7081"/>
      <c r="J7081"/>
    </row>
    <row r="7082" spans="1:11" s="59" customFormat="1" ht="14.45" customHeight="1" x14ac:dyDescent="0.25">
      <c r="A7082"/>
      <c r="B7082"/>
      <c r="C7082"/>
      <c r="D7082"/>
      <c r="E7082"/>
      <c r="F7082"/>
      <c r="G7082"/>
      <c r="H7082"/>
      <c r="I7082"/>
      <c r="J7082"/>
    </row>
    <row r="7084" spans="1:11" ht="14.45" customHeight="1" x14ac:dyDescent="0.2">
      <c r="K7084" s="68"/>
    </row>
    <row r="7085" spans="1:11" ht="14.45" customHeight="1" x14ac:dyDescent="0.2">
      <c r="K7085" s="68"/>
    </row>
    <row r="7086" spans="1:11" ht="14.45" customHeight="1" x14ac:dyDescent="0.2">
      <c r="K7086" s="68"/>
    </row>
    <row r="7087" spans="1:11" ht="14.45" customHeight="1" x14ac:dyDescent="0.2">
      <c r="K7087" s="17"/>
    </row>
    <row r="7088" spans="1:11" ht="14.45" customHeight="1" x14ac:dyDescent="0.2">
      <c r="K7088" s="17"/>
    </row>
    <row r="7089" spans="1:11" ht="14.45" customHeight="1" x14ac:dyDescent="0.2">
      <c r="K7089" s="17"/>
    </row>
    <row r="7090" spans="1:11" ht="14.45" customHeight="1" x14ac:dyDescent="0.2">
      <c r="K7090" s="17"/>
    </row>
    <row r="7091" spans="1:11" ht="14.45" customHeight="1" x14ac:dyDescent="0.2">
      <c r="K7091" s="17"/>
    </row>
    <row r="7092" spans="1:11" ht="14.45" customHeight="1" x14ac:dyDescent="0.2">
      <c r="K7092" s="17"/>
    </row>
    <row r="7093" spans="1:11" ht="14.45" customHeight="1" x14ac:dyDescent="0.2">
      <c r="K7093" s="17"/>
    </row>
    <row r="7094" spans="1:11" ht="14.45" customHeight="1" x14ac:dyDescent="0.2">
      <c r="K7094" s="17"/>
    </row>
    <row r="7096" spans="1:11" s="17" customFormat="1" ht="14.45" customHeight="1" x14ac:dyDescent="0.2">
      <c r="A7096"/>
      <c r="B7096"/>
      <c r="C7096"/>
      <c r="D7096"/>
      <c r="E7096"/>
      <c r="F7096"/>
      <c r="G7096"/>
      <c r="H7096"/>
      <c r="I7096"/>
      <c r="J7096"/>
    </row>
    <row r="7097" spans="1:11" s="92" customFormat="1" ht="14.45" customHeight="1" x14ac:dyDescent="0.2">
      <c r="A7097"/>
      <c r="B7097"/>
      <c r="C7097"/>
      <c r="D7097"/>
      <c r="E7097"/>
      <c r="F7097"/>
      <c r="G7097"/>
      <c r="H7097"/>
      <c r="I7097"/>
      <c r="J7097"/>
      <c r="K7097" s="19"/>
    </row>
    <row r="7102" spans="1:11" ht="14.45" customHeight="1" x14ac:dyDescent="0.2">
      <c r="K7102" s="57"/>
    </row>
    <row r="7103" spans="1:11" ht="14.45" customHeight="1" x14ac:dyDescent="0.2">
      <c r="K7103" s="58"/>
    </row>
    <row r="7104" spans="1:11" ht="14.45" customHeight="1" x14ac:dyDescent="0.2">
      <c r="K7104" s="58"/>
    </row>
    <row r="7106" spans="1:11" ht="14.45" customHeight="1" x14ac:dyDescent="0.2">
      <c r="K7106" s="61"/>
    </row>
    <row r="7107" spans="1:11" ht="14.45" customHeight="1" x14ac:dyDescent="0.2">
      <c r="K7107" s="61"/>
    </row>
    <row r="7108" spans="1:11" s="59" customFormat="1" ht="14.45" customHeight="1" x14ac:dyDescent="0.25">
      <c r="A7108"/>
      <c r="B7108"/>
      <c r="C7108"/>
      <c r="D7108"/>
      <c r="E7108"/>
      <c r="F7108"/>
      <c r="G7108"/>
      <c r="H7108"/>
      <c r="I7108"/>
      <c r="J7108"/>
    </row>
    <row r="7109" spans="1:11" s="59" customFormat="1" ht="14.45" customHeight="1" x14ac:dyDescent="0.25">
      <c r="A7109"/>
      <c r="B7109"/>
      <c r="C7109"/>
      <c r="D7109"/>
      <c r="E7109"/>
      <c r="F7109"/>
      <c r="G7109"/>
      <c r="H7109"/>
      <c r="I7109"/>
      <c r="J7109"/>
    </row>
    <row r="7111" spans="1:11" ht="14.45" customHeight="1" x14ac:dyDescent="0.2">
      <c r="K7111" s="68"/>
    </row>
    <row r="7112" spans="1:11" ht="14.45" customHeight="1" x14ac:dyDescent="0.2">
      <c r="K7112" s="68"/>
    </row>
    <row r="7113" spans="1:11" ht="14.45" customHeight="1" x14ac:dyDescent="0.2">
      <c r="K7113" s="68"/>
    </row>
    <row r="7114" spans="1:11" ht="14.45" customHeight="1" x14ac:dyDescent="0.2">
      <c r="K7114" s="17"/>
    </row>
    <row r="7115" spans="1:11" ht="14.45" customHeight="1" x14ac:dyDescent="0.2">
      <c r="K7115" s="17"/>
    </row>
    <row r="7116" spans="1:11" ht="14.45" customHeight="1" x14ac:dyDescent="0.2">
      <c r="K7116" s="17"/>
    </row>
    <row r="7117" spans="1:11" ht="14.45" customHeight="1" x14ac:dyDescent="0.2">
      <c r="K7117" s="17"/>
    </row>
    <row r="7118" spans="1:11" ht="14.45" customHeight="1" x14ac:dyDescent="0.2">
      <c r="K7118" s="17"/>
    </row>
    <row r="7119" spans="1:11" ht="14.45" customHeight="1" x14ac:dyDescent="0.2">
      <c r="K7119" s="17"/>
    </row>
    <row r="7120" spans="1:11" ht="14.45" customHeight="1" x14ac:dyDescent="0.2">
      <c r="K7120" s="17"/>
    </row>
    <row r="7121" spans="1:11" ht="14.45" customHeight="1" x14ac:dyDescent="0.2">
      <c r="K7121" s="17"/>
    </row>
    <row r="7123" spans="1:11" s="17" customFormat="1" ht="14.45" customHeight="1" x14ac:dyDescent="0.2">
      <c r="A7123"/>
      <c r="B7123"/>
      <c r="C7123"/>
      <c r="D7123"/>
      <c r="E7123"/>
      <c r="F7123"/>
      <c r="G7123"/>
      <c r="H7123"/>
      <c r="I7123"/>
      <c r="J7123"/>
    </row>
    <row r="7124" spans="1:11" s="92" customFormat="1" ht="14.45" customHeight="1" x14ac:dyDescent="0.2">
      <c r="A7124"/>
      <c r="B7124"/>
      <c r="C7124"/>
      <c r="D7124"/>
      <c r="E7124"/>
      <c r="F7124"/>
      <c r="G7124"/>
      <c r="H7124"/>
      <c r="I7124"/>
      <c r="J7124"/>
      <c r="K7124" s="19"/>
    </row>
    <row r="7129" spans="1:11" ht="14.45" customHeight="1" x14ac:dyDescent="0.2">
      <c r="K7129" s="57"/>
    </row>
    <row r="7130" spans="1:11" ht="14.45" customHeight="1" x14ac:dyDescent="0.2">
      <c r="K7130" s="58"/>
    </row>
    <row r="7131" spans="1:11" ht="14.45" customHeight="1" x14ac:dyDescent="0.2">
      <c r="K7131" s="58"/>
    </row>
    <row r="7133" spans="1:11" ht="14.45" customHeight="1" x14ac:dyDescent="0.2">
      <c r="K7133" s="61"/>
    </row>
    <row r="7134" spans="1:11" ht="14.45" customHeight="1" x14ac:dyDescent="0.2">
      <c r="K7134" s="61"/>
    </row>
    <row r="7135" spans="1:11" s="59" customFormat="1" ht="14.45" customHeight="1" x14ac:dyDescent="0.25">
      <c r="A7135"/>
      <c r="B7135"/>
      <c r="C7135"/>
      <c r="D7135"/>
      <c r="E7135"/>
      <c r="F7135"/>
      <c r="G7135"/>
      <c r="H7135"/>
      <c r="I7135"/>
      <c r="J7135"/>
    </row>
    <row r="7136" spans="1:11" s="59" customFormat="1" ht="14.45" customHeight="1" x14ac:dyDescent="0.25">
      <c r="A7136"/>
      <c r="B7136"/>
      <c r="C7136"/>
      <c r="D7136"/>
      <c r="E7136"/>
      <c r="F7136"/>
      <c r="G7136"/>
      <c r="H7136"/>
      <c r="I7136"/>
      <c r="J7136"/>
    </row>
    <row r="7138" spans="1:11" ht="14.45" customHeight="1" x14ac:dyDescent="0.2">
      <c r="K7138" s="68"/>
    </row>
    <row r="7139" spans="1:11" ht="14.45" customHeight="1" x14ac:dyDescent="0.2">
      <c r="K7139" s="68"/>
    </row>
    <row r="7140" spans="1:11" ht="14.45" customHeight="1" x14ac:dyDescent="0.2">
      <c r="K7140" s="68"/>
    </row>
    <row r="7141" spans="1:11" ht="14.45" customHeight="1" x14ac:dyDescent="0.2">
      <c r="K7141" s="17"/>
    </row>
    <row r="7142" spans="1:11" ht="14.45" customHeight="1" x14ac:dyDescent="0.2">
      <c r="K7142" s="17"/>
    </row>
    <row r="7143" spans="1:11" ht="14.45" customHeight="1" x14ac:dyDescent="0.2">
      <c r="K7143" s="17"/>
    </row>
    <row r="7144" spans="1:11" ht="14.45" customHeight="1" x14ac:dyDescent="0.2">
      <c r="K7144" s="17"/>
    </row>
    <row r="7145" spans="1:11" ht="14.45" customHeight="1" x14ac:dyDescent="0.2">
      <c r="K7145" s="17"/>
    </row>
    <row r="7146" spans="1:11" ht="14.45" customHeight="1" x14ac:dyDescent="0.2">
      <c r="K7146" s="17"/>
    </row>
    <row r="7147" spans="1:11" ht="14.45" customHeight="1" x14ac:dyDescent="0.2">
      <c r="K7147" s="17"/>
    </row>
    <row r="7148" spans="1:11" ht="14.45" customHeight="1" x14ac:dyDescent="0.2">
      <c r="K7148" s="17"/>
    </row>
    <row r="7150" spans="1:11" s="17" customFormat="1" ht="14.45" customHeight="1" x14ac:dyDescent="0.2">
      <c r="A7150"/>
      <c r="B7150"/>
      <c r="C7150"/>
      <c r="D7150"/>
      <c r="E7150"/>
      <c r="F7150"/>
      <c r="G7150"/>
      <c r="H7150"/>
      <c r="I7150"/>
      <c r="J7150"/>
    </row>
    <row r="7151" spans="1:11" s="92" customFormat="1" ht="14.45" customHeight="1" x14ac:dyDescent="0.2">
      <c r="A7151"/>
      <c r="B7151"/>
      <c r="C7151"/>
      <c r="D7151"/>
      <c r="E7151"/>
      <c r="F7151"/>
      <c r="G7151"/>
      <c r="H7151"/>
      <c r="I7151"/>
      <c r="J7151"/>
      <c r="K7151" s="19"/>
    </row>
    <row r="7156" spans="1:11" ht="14.45" customHeight="1" x14ac:dyDescent="0.2">
      <c r="K7156" s="57"/>
    </row>
    <row r="7157" spans="1:11" ht="14.45" customHeight="1" x14ac:dyDescent="0.2">
      <c r="K7157" s="58"/>
    </row>
    <row r="7158" spans="1:11" ht="14.45" customHeight="1" x14ac:dyDescent="0.2">
      <c r="K7158" s="58"/>
    </row>
    <row r="7160" spans="1:11" ht="14.45" customHeight="1" x14ac:dyDescent="0.2">
      <c r="K7160" s="61"/>
    </row>
    <row r="7161" spans="1:11" ht="14.45" customHeight="1" x14ac:dyDescent="0.2">
      <c r="K7161" s="61"/>
    </row>
    <row r="7162" spans="1:11" s="59" customFormat="1" ht="14.45" customHeight="1" x14ac:dyDescent="0.25">
      <c r="A7162"/>
      <c r="B7162"/>
      <c r="C7162"/>
      <c r="D7162"/>
      <c r="E7162"/>
      <c r="F7162"/>
      <c r="G7162"/>
      <c r="H7162"/>
      <c r="I7162"/>
      <c r="J7162"/>
    </row>
    <row r="7163" spans="1:11" s="59" customFormat="1" ht="14.45" customHeight="1" x14ac:dyDescent="0.25">
      <c r="A7163"/>
      <c r="B7163"/>
      <c r="C7163"/>
      <c r="D7163"/>
      <c r="E7163"/>
      <c r="F7163"/>
      <c r="G7163"/>
      <c r="H7163"/>
      <c r="I7163"/>
      <c r="J7163"/>
    </row>
    <row r="7165" spans="1:11" ht="14.45" customHeight="1" x14ac:dyDescent="0.2">
      <c r="K7165" s="68"/>
    </row>
    <row r="7166" spans="1:11" ht="14.45" customHeight="1" x14ac:dyDescent="0.2">
      <c r="K7166" s="68"/>
    </row>
    <row r="7167" spans="1:11" ht="14.45" customHeight="1" x14ac:dyDescent="0.2">
      <c r="K7167" s="68"/>
    </row>
    <row r="7168" spans="1:11" ht="14.45" customHeight="1" x14ac:dyDescent="0.2">
      <c r="K7168" s="17"/>
    </row>
    <row r="7169" spans="1:11" ht="14.45" customHeight="1" x14ac:dyDescent="0.2">
      <c r="K7169" s="17"/>
    </row>
    <row r="7170" spans="1:11" ht="14.45" customHeight="1" x14ac:dyDescent="0.2">
      <c r="K7170" s="17"/>
    </row>
    <row r="7171" spans="1:11" ht="14.45" customHeight="1" x14ac:dyDescent="0.2">
      <c r="K7171" s="17"/>
    </row>
    <row r="7172" spans="1:11" ht="14.45" customHeight="1" x14ac:dyDescent="0.2">
      <c r="K7172" s="17"/>
    </row>
    <row r="7173" spans="1:11" ht="14.45" customHeight="1" x14ac:dyDescent="0.2">
      <c r="K7173" s="17"/>
    </row>
    <row r="7174" spans="1:11" ht="14.45" customHeight="1" x14ac:dyDescent="0.2">
      <c r="K7174" s="17"/>
    </row>
    <row r="7175" spans="1:11" ht="14.45" customHeight="1" x14ac:dyDescent="0.2">
      <c r="K7175" s="17"/>
    </row>
    <row r="7177" spans="1:11" s="17" customFormat="1" ht="14.45" customHeight="1" x14ac:dyDescent="0.2">
      <c r="A7177"/>
      <c r="B7177"/>
      <c r="C7177"/>
      <c r="D7177"/>
      <c r="E7177"/>
      <c r="F7177"/>
      <c r="G7177"/>
      <c r="H7177"/>
      <c r="I7177"/>
      <c r="J7177"/>
    </row>
    <row r="7178" spans="1:11" s="92" customFormat="1" ht="14.45" customHeight="1" x14ac:dyDescent="0.2">
      <c r="A7178"/>
      <c r="B7178"/>
      <c r="C7178"/>
      <c r="D7178"/>
      <c r="E7178"/>
      <c r="F7178"/>
      <c r="G7178"/>
      <c r="H7178"/>
      <c r="I7178"/>
      <c r="J7178"/>
      <c r="K7178" s="19"/>
    </row>
    <row r="7183" spans="1:11" ht="14.45" customHeight="1" x14ac:dyDescent="0.2">
      <c r="K7183" s="57"/>
    </row>
    <row r="7184" spans="1:11" ht="14.45" customHeight="1" x14ac:dyDescent="0.2">
      <c r="K7184" s="58"/>
    </row>
    <row r="7185" spans="1:11" ht="14.45" customHeight="1" x14ac:dyDescent="0.2">
      <c r="K7185" s="58"/>
    </row>
    <row r="7187" spans="1:11" ht="14.45" customHeight="1" x14ac:dyDescent="0.2">
      <c r="K7187" s="61"/>
    </row>
    <row r="7188" spans="1:11" ht="14.45" customHeight="1" x14ac:dyDescent="0.2">
      <c r="K7188" s="61"/>
    </row>
    <row r="7189" spans="1:11" s="59" customFormat="1" ht="14.45" customHeight="1" x14ac:dyDescent="0.25">
      <c r="A7189"/>
      <c r="B7189"/>
      <c r="C7189"/>
      <c r="D7189"/>
      <c r="E7189"/>
      <c r="F7189"/>
      <c r="G7189"/>
      <c r="H7189"/>
      <c r="I7189"/>
      <c r="J7189"/>
    </row>
    <row r="7190" spans="1:11" s="59" customFormat="1" ht="14.45" customHeight="1" x14ac:dyDescent="0.25">
      <c r="A7190"/>
      <c r="B7190"/>
      <c r="C7190"/>
      <c r="D7190"/>
      <c r="E7190"/>
      <c r="F7190"/>
      <c r="G7190"/>
      <c r="H7190"/>
      <c r="I7190"/>
      <c r="J7190"/>
    </row>
    <row r="7192" spans="1:11" ht="14.45" customHeight="1" x14ac:dyDescent="0.2">
      <c r="K7192" s="68"/>
    </row>
    <row r="7193" spans="1:11" ht="14.45" customHeight="1" x14ac:dyDescent="0.2">
      <c r="K7193" s="68"/>
    </row>
    <row r="7194" spans="1:11" ht="14.45" customHeight="1" x14ac:dyDescent="0.2">
      <c r="K7194" s="68"/>
    </row>
    <row r="7195" spans="1:11" ht="14.45" customHeight="1" x14ac:dyDescent="0.2">
      <c r="K7195" s="17"/>
    </row>
    <row r="7196" spans="1:11" ht="14.45" customHeight="1" x14ac:dyDescent="0.2">
      <c r="K7196" s="17"/>
    </row>
    <row r="7197" spans="1:11" ht="14.45" customHeight="1" x14ac:dyDescent="0.2">
      <c r="K7197" s="17"/>
    </row>
    <row r="7198" spans="1:11" ht="14.45" customHeight="1" x14ac:dyDescent="0.2">
      <c r="K7198" s="17"/>
    </row>
    <row r="7199" spans="1:11" ht="14.45" customHeight="1" x14ac:dyDescent="0.2">
      <c r="K7199" s="17"/>
    </row>
    <row r="7200" spans="1:11" ht="14.45" customHeight="1" x14ac:dyDescent="0.2">
      <c r="K7200" s="17"/>
    </row>
    <row r="7201" spans="1:11" ht="14.45" customHeight="1" x14ac:dyDescent="0.2">
      <c r="K7201" s="17"/>
    </row>
    <row r="7202" spans="1:11" ht="14.45" customHeight="1" x14ac:dyDescent="0.2">
      <c r="K7202" s="17"/>
    </row>
    <row r="7204" spans="1:11" s="17" customFormat="1" ht="14.45" customHeight="1" x14ac:dyDescent="0.2">
      <c r="A7204"/>
      <c r="B7204"/>
      <c r="C7204"/>
      <c r="D7204"/>
      <c r="E7204"/>
      <c r="F7204"/>
      <c r="G7204"/>
      <c r="H7204"/>
      <c r="I7204"/>
      <c r="J7204"/>
    </row>
    <row r="7205" spans="1:11" s="92" customFormat="1" ht="14.45" customHeight="1" x14ac:dyDescent="0.2">
      <c r="A7205"/>
      <c r="B7205"/>
      <c r="C7205"/>
      <c r="D7205"/>
      <c r="E7205"/>
      <c r="F7205"/>
      <c r="G7205"/>
      <c r="H7205"/>
      <c r="I7205"/>
      <c r="J7205"/>
      <c r="K7205" s="19"/>
    </row>
    <row r="7210" spans="1:11" ht="14.45" customHeight="1" x14ac:dyDescent="0.2">
      <c r="K7210" s="57"/>
    </row>
    <row r="7211" spans="1:11" ht="14.45" customHeight="1" x14ac:dyDescent="0.2">
      <c r="K7211" s="58"/>
    </row>
    <row r="7212" spans="1:11" ht="14.45" customHeight="1" x14ac:dyDescent="0.2">
      <c r="K7212" s="58"/>
    </row>
    <row r="7214" spans="1:11" ht="14.45" customHeight="1" x14ac:dyDescent="0.2">
      <c r="K7214" s="61"/>
    </row>
    <row r="7215" spans="1:11" ht="14.45" customHeight="1" x14ac:dyDescent="0.2">
      <c r="K7215" s="61"/>
    </row>
    <row r="7216" spans="1:11" s="59" customFormat="1" ht="14.45" customHeight="1" x14ac:dyDescent="0.25">
      <c r="A7216"/>
      <c r="B7216"/>
      <c r="C7216"/>
      <c r="D7216"/>
      <c r="E7216"/>
      <c r="F7216"/>
      <c r="G7216"/>
      <c r="H7216"/>
      <c r="I7216"/>
      <c r="J7216"/>
    </row>
    <row r="7217" spans="1:11" s="59" customFormat="1" ht="14.45" customHeight="1" x14ac:dyDescent="0.25">
      <c r="A7217"/>
      <c r="B7217"/>
      <c r="C7217"/>
      <c r="D7217"/>
      <c r="E7217"/>
      <c r="F7217"/>
      <c r="G7217"/>
      <c r="H7217"/>
      <c r="I7217"/>
      <c r="J7217"/>
    </row>
    <row r="7219" spans="1:11" ht="14.45" customHeight="1" x14ac:dyDescent="0.2">
      <c r="K7219" s="68"/>
    </row>
    <row r="7220" spans="1:11" ht="14.45" customHeight="1" x14ac:dyDescent="0.2">
      <c r="K7220" s="68"/>
    </row>
    <row r="7221" spans="1:11" ht="14.45" customHeight="1" x14ac:dyDescent="0.2">
      <c r="K7221" s="68"/>
    </row>
    <row r="7222" spans="1:11" ht="14.45" customHeight="1" x14ac:dyDescent="0.2">
      <c r="K7222" s="17"/>
    </row>
    <row r="7223" spans="1:11" ht="14.45" customHeight="1" x14ac:dyDescent="0.2">
      <c r="K7223" s="17"/>
    </row>
    <row r="7224" spans="1:11" ht="14.45" customHeight="1" x14ac:dyDescent="0.2">
      <c r="K7224" s="17"/>
    </row>
    <row r="7225" spans="1:11" ht="14.45" customHeight="1" x14ac:dyDescent="0.2">
      <c r="K7225" s="17"/>
    </row>
    <row r="7226" spans="1:11" ht="14.45" customHeight="1" x14ac:dyDescent="0.2">
      <c r="K7226" s="17"/>
    </row>
    <row r="7227" spans="1:11" ht="14.45" customHeight="1" x14ac:dyDescent="0.2">
      <c r="K7227" s="17"/>
    </row>
    <row r="7228" spans="1:11" ht="14.45" customHeight="1" x14ac:dyDescent="0.2">
      <c r="K7228" s="17"/>
    </row>
    <row r="7229" spans="1:11" ht="14.45" customHeight="1" x14ac:dyDescent="0.2">
      <c r="K7229" s="17"/>
    </row>
    <row r="7231" spans="1:11" s="17" customFormat="1" ht="14.45" customHeight="1" x14ac:dyDescent="0.2">
      <c r="A7231"/>
      <c r="B7231"/>
      <c r="C7231"/>
      <c r="D7231"/>
      <c r="E7231"/>
      <c r="F7231"/>
      <c r="G7231"/>
      <c r="H7231"/>
      <c r="I7231"/>
      <c r="J7231"/>
    </row>
    <row r="7232" spans="1:11" s="92" customFormat="1" ht="14.45" customHeight="1" x14ac:dyDescent="0.2">
      <c r="A7232"/>
      <c r="B7232"/>
      <c r="C7232"/>
      <c r="D7232"/>
      <c r="E7232"/>
      <c r="F7232"/>
      <c r="G7232"/>
      <c r="H7232"/>
      <c r="I7232"/>
      <c r="J7232"/>
      <c r="K7232" s="19"/>
    </row>
    <row r="7237" spans="1:11" ht="14.45" customHeight="1" x14ac:dyDescent="0.2">
      <c r="K7237" s="57"/>
    </row>
    <row r="7238" spans="1:11" ht="14.45" customHeight="1" x14ac:dyDescent="0.2">
      <c r="K7238" s="58"/>
    </row>
    <row r="7239" spans="1:11" ht="14.45" customHeight="1" x14ac:dyDescent="0.2">
      <c r="K7239" s="58"/>
    </row>
    <row r="7241" spans="1:11" ht="14.45" customHeight="1" x14ac:dyDescent="0.2">
      <c r="K7241" s="61"/>
    </row>
    <row r="7242" spans="1:11" ht="14.45" customHeight="1" x14ac:dyDescent="0.2">
      <c r="K7242" s="61"/>
    </row>
    <row r="7243" spans="1:11" s="59" customFormat="1" ht="14.45" customHeight="1" x14ac:dyDescent="0.25">
      <c r="A7243"/>
      <c r="B7243"/>
      <c r="C7243"/>
      <c r="D7243"/>
      <c r="E7243"/>
      <c r="F7243"/>
      <c r="G7243"/>
      <c r="H7243"/>
      <c r="I7243"/>
      <c r="J7243"/>
    </row>
    <row r="7244" spans="1:11" s="59" customFormat="1" ht="14.45" customHeight="1" x14ac:dyDescent="0.25">
      <c r="A7244"/>
      <c r="B7244"/>
      <c r="C7244"/>
      <c r="D7244"/>
      <c r="E7244"/>
      <c r="F7244"/>
      <c r="G7244"/>
      <c r="H7244"/>
      <c r="I7244"/>
      <c r="J7244"/>
    </row>
    <row r="7246" spans="1:11" ht="14.45" customHeight="1" x14ac:dyDescent="0.2">
      <c r="K7246" s="68"/>
    </row>
    <row r="7247" spans="1:11" ht="14.45" customHeight="1" x14ac:dyDescent="0.2">
      <c r="K7247" s="68"/>
    </row>
    <row r="7248" spans="1:11" ht="14.45" customHeight="1" x14ac:dyDescent="0.2">
      <c r="K7248" s="68"/>
    </row>
    <row r="7249" spans="1:11" ht="14.45" customHeight="1" x14ac:dyDescent="0.2">
      <c r="K7249" s="17"/>
    </row>
    <row r="7250" spans="1:11" ht="14.45" customHeight="1" x14ac:dyDescent="0.2">
      <c r="K7250" s="17"/>
    </row>
    <row r="7251" spans="1:11" ht="14.45" customHeight="1" x14ac:dyDescent="0.2">
      <c r="K7251" s="17"/>
    </row>
    <row r="7252" spans="1:11" ht="14.45" customHeight="1" x14ac:dyDescent="0.2">
      <c r="K7252" s="17"/>
    </row>
    <row r="7253" spans="1:11" ht="14.45" customHeight="1" x14ac:dyDescent="0.2">
      <c r="K7253" s="17"/>
    </row>
    <row r="7254" spans="1:11" ht="14.45" customHeight="1" x14ac:dyDescent="0.2">
      <c r="K7254" s="17"/>
    </row>
    <row r="7255" spans="1:11" ht="14.45" customHeight="1" x14ac:dyDescent="0.2">
      <c r="K7255" s="17"/>
    </row>
    <row r="7256" spans="1:11" ht="14.45" customHeight="1" x14ac:dyDescent="0.2">
      <c r="K7256" s="17"/>
    </row>
    <row r="7258" spans="1:11" s="17" customFormat="1" ht="14.45" customHeight="1" x14ac:dyDescent="0.2">
      <c r="A7258"/>
      <c r="B7258"/>
      <c r="C7258"/>
      <c r="D7258"/>
      <c r="E7258"/>
      <c r="F7258"/>
      <c r="G7258"/>
      <c r="H7258"/>
      <c r="I7258"/>
      <c r="J7258"/>
    </row>
    <row r="7259" spans="1:11" s="92" customFormat="1" ht="14.45" customHeight="1" x14ac:dyDescent="0.2">
      <c r="A7259"/>
      <c r="B7259"/>
      <c r="C7259"/>
      <c r="D7259"/>
      <c r="E7259"/>
      <c r="F7259"/>
      <c r="G7259"/>
      <c r="H7259"/>
      <c r="I7259"/>
      <c r="J7259"/>
      <c r="K7259" s="19"/>
    </row>
    <row r="7264" spans="1:11" ht="14.45" customHeight="1" x14ac:dyDescent="0.2">
      <c r="K7264" s="57"/>
    </row>
    <row r="7265" spans="1:11" ht="14.45" customHeight="1" x14ac:dyDescent="0.2">
      <c r="K7265" s="58"/>
    </row>
    <row r="7266" spans="1:11" ht="14.45" customHeight="1" x14ac:dyDescent="0.2">
      <c r="K7266" s="58"/>
    </row>
    <row r="7268" spans="1:11" ht="14.45" customHeight="1" x14ac:dyDescent="0.2">
      <c r="K7268" s="61"/>
    </row>
    <row r="7269" spans="1:11" ht="14.45" customHeight="1" x14ac:dyDescent="0.2">
      <c r="K7269" s="61"/>
    </row>
    <row r="7270" spans="1:11" s="59" customFormat="1" ht="14.45" customHeight="1" x14ac:dyDescent="0.25">
      <c r="A7270"/>
      <c r="B7270"/>
      <c r="C7270"/>
      <c r="D7270"/>
      <c r="E7270"/>
      <c r="F7270"/>
      <c r="G7270"/>
      <c r="H7270"/>
      <c r="I7270"/>
      <c r="J7270"/>
    </row>
    <row r="7271" spans="1:11" s="59" customFormat="1" ht="14.45" customHeight="1" x14ac:dyDescent="0.25">
      <c r="A7271"/>
      <c r="B7271"/>
      <c r="C7271"/>
      <c r="D7271"/>
      <c r="E7271"/>
      <c r="F7271"/>
      <c r="G7271"/>
      <c r="H7271"/>
      <c r="I7271"/>
      <c r="J7271"/>
    </row>
    <row r="7273" spans="1:11" ht="14.45" customHeight="1" x14ac:dyDescent="0.2">
      <c r="K7273" s="68"/>
    </row>
    <row r="7274" spans="1:11" ht="14.45" customHeight="1" x14ac:dyDescent="0.2">
      <c r="K7274" s="68"/>
    </row>
    <row r="7275" spans="1:11" ht="14.45" customHeight="1" x14ac:dyDescent="0.2">
      <c r="K7275" s="68"/>
    </row>
    <row r="7276" spans="1:11" ht="14.45" customHeight="1" x14ac:dyDescent="0.2">
      <c r="K7276" s="17"/>
    </row>
    <row r="7277" spans="1:11" ht="14.45" customHeight="1" x14ac:dyDescent="0.2">
      <c r="K7277" s="17"/>
    </row>
    <row r="7278" spans="1:11" ht="14.45" customHeight="1" x14ac:dyDescent="0.2">
      <c r="K7278" s="17"/>
    </row>
    <row r="7279" spans="1:11" ht="14.45" customHeight="1" x14ac:dyDescent="0.2">
      <c r="K7279" s="17"/>
    </row>
    <row r="7280" spans="1:11" ht="14.45" customHeight="1" x14ac:dyDescent="0.2">
      <c r="K7280" s="17"/>
    </row>
    <row r="7281" spans="1:11" ht="14.45" customHeight="1" x14ac:dyDescent="0.2">
      <c r="K7281" s="17"/>
    </row>
    <row r="7282" spans="1:11" ht="14.45" customHeight="1" x14ac:dyDescent="0.2">
      <c r="K7282" s="17"/>
    </row>
    <row r="7283" spans="1:11" ht="14.45" customHeight="1" x14ac:dyDescent="0.2">
      <c r="K7283" s="17"/>
    </row>
    <row r="7285" spans="1:11" s="17" customFormat="1" ht="14.45" customHeight="1" x14ac:dyDescent="0.2">
      <c r="A7285"/>
      <c r="B7285"/>
      <c r="C7285"/>
      <c r="D7285"/>
      <c r="E7285"/>
      <c r="F7285"/>
      <c r="G7285"/>
      <c r="H7285"/>
      <c r="I7285"/>
      <c r="J7285"/>
    </row>
    <row r="7286" spans="1:11" s="92" customFormat="1" ht="14.45" customHeight="1" x14ac:dyDescent="0.2">
      <c r="A7286"/>
      <c r="B7286"/>
      <c r="C7286"/>
      <c r="D7286"/>
      <c r="E7286"/>
      <c r="F7286"/>
      <c r="G7286"/>
      <c r="H7286"/>
      <c r="I7286"/>
      <c r="J7286"/>
      <c r="K7286" s="19"/>
    </row>
    <row r="7291" spans="1:11" ht="14.45" customHeight="1" x14ac:dyDescent="0.2">
      <c r="K7291" s="57"/>
    </row>
    <row r="7292" spans="1:11" ht="14.45" customHeight="1" x14ac:dyDescent="0.2">
      <c r="K7292" s="58"/>
    </row>
    <row r="7293" spans="1:11" ht="14.45" customHeight="1" x14ac:dyDescent="0.2">
      <c r="K7293" s="58"/>
    </row>
    <row r="7295" spans="1:11" ht="14.45" customHeight="1" x14ac:dyDescent="0.2">
      <c r="K7295" s="61"/>
    </row>
    <row r="7296" spans="1:11" ht="14.45" customHeight="1" x14ac:dyDescent="0.2">
      <c r="K7296" s="61"/>
    </row>
    <row r="7297" spans="1:11" s="59" customFormat="1" ht="14.45" customHeight="1" x14ac:dyDescent="0.25">
      <c r="A7297"/>
      <c r="B7297"/>
      <c r="C7297"/>
      <c r="D7297"/>
      <c r="E7297"/>
      <c r="F7297"/>
      <c r="G7297"/>
      <c r="H7297"/>
      <c r="I7297"/>
      <c r="J7297"/>
    </row>
    <row r="7298" spans="1:11" s="59" customFormat="1" ht="14.45" customHeight="1" x14ac:dyDescent="0.25">
      <c r="A7298"/>
      <c r="B7298"/>
      <c r="C7298"/>
      <c r="D7298"/>
      <c r="E7298"/>
      <c r="F7298"/>
      <c r="G7298"/>
      <c r="H7298"/>
      <c r="I7298"/>
      <c r="J7298"/>
    </row>
    <row r="7300" spans="1:11" ht="14.45" customHeight="1" x14ac:dyDescent="0.2">
      <c r="K7300" s="68"/>
    </row>
    <row r="7301" spans="1:11" ht="14.45" customHeight="1" x14ac:dyDescent="0.2">
      <c r="K7301" s="68"/>
    </row>
    <row r="7302" spans="1:11" ht="14.45" customHeight="1" x14ac:dyDescent="0.2">
      <c r="K7302" s="68"/>
    </row>
    <row r="7303" spans="1:11" ht="14.45" customHeight="1" x14ac:dyDescent="0.2">
      <c r="K7303" s="17"/>
    </row>
    <row r="7304" spans="1:11" ht="14.45" customHeight="1" x14ac:dyDescent="0.2">
      <c r="K7304" s="17"/>
    </row>
    <row r="7305" spans="1:11" ht="14.45" customHeight="1" x14ac:dyDescent="0.2">
      <c r="K7305" s="17"/>
    </row>
    <row r="7306" spans="1:11" ht="14.45" customHeight="1" x14ac:dyDescent="0.2">
      <c r="K7306" s="17"/>
    </row>
    <row r="7307" spans="1:11" ht="14.45" customHeight="1" x14ac:dyDescent="0.2">
      <c r="K7307" s="17"/>
    </row>
    <row r="7308" spans="1:11" ht="14.45" customHeight="1" x14ac:dyDescent="0.2">
      <c r="K7308" s="17"/>
    </row>
    <row r="7309" spans="1:11" ht="14.45" customHeight="1" x14ac:dyDescent="0.2">
      <c r="K7309" s="17"/>
    </row>
    <row r="7310" spans="1:11" ht="14.45" customHeight="1" x14ac:dyDescent="0.2">
      <c r="K7310" s="17"/>
    </row>
    <row r="7312" spans="1:11" s="17" customFormat="1" ht="14.45" customHeight="1" x14ac:dyDescent="0.2">
      <c r="A7312"/>
      <c r="B7312"/>
      <c r="C7312"/>
      <c r="D7312"/>
      <c r="E7312"/>
      <c r="F7312"/>
      <c r="G7312"/>
      <c r="H7312"/>
      <c r="I7312"/>
      <c r="J7312"/>
    </row>
    <row r="7313" spans="1:11" s="92" customFormat="1" ht="14.45" customHeight="1" x14ac:dyDescent="0.2">
      <c r="A7313"/>
      <c r="B7313"/>
      <c r="C7313"/>
      <c r="D7313"/>
      <c r="E7313"/>
      <c r="F7313"/>
      <c r="G7313"/>
      <c r="H7313"/>
      <c r="I7313"/>
      <c r="J7313"/>
      <c r="K7313" s="19"/>
    </row>
    <row r="7318" spans="1:11" ht="14.45" customHeight="1" x14ac:dyDescent="0.2">
      <c r="K7318" s="57"/>
    </row>
    <row r="7319" spans="1:11" ht="14.45" customHeight="1" x14ac:dyDescent="0.2">
      <c r="K7319" s="58"/>
    </row>
    <row r="7320" spans="1:11" ht="14.45" customHeight="1" x14ac:dyDescent="0.2">
      <c r="K7320" s="58"/>
    </row>
    <row r="7322" spans="1:11" ht="14.45" customHeight="1" x14ac:dyDescent="0.2">
      <c r="K7322" s="61"/>
    </row>
    <row r="7323" spans="1:11" ht="14.45" customHeight="1" x14ac:dyDescent="0.2">
      <c r="K7323" s="61"/>
    </row>
    <row r="7324" spans="1:11" s="59" customFormat="1" ht="14.45" customHeight="1" x14ac:dyDescent="0.25">
      <c r="A7324"/>
      <c r="B7324"/>
      <c r="C7324"/>
      <c r="D7324"/>
      <c r="E7324"/>
      <c r="F7324"/>
      <c r="G7324"/>
      <c r="H7324"/>
      <c r="I7324"/>
      <c r="J7324"/>
    </row>
    <row r="7325" spans="1:11" s="59" customFormat="1" ht="14.45" customHeight="1" x14ac:dyDescent="0.25">
      <c r="A7325"/>
      <c r="B7325"/>
      <c r="C7325"/>
      <c r="D7325"/>
      <c r="E7325"/>
      <c r="F7325"/>
      <c r="G7325"/>
      <c r="H7325"/>
      <c r="I7325"/>
      <c r="J7325"/>
    </row>
    <row r="7327" spans="1:11" ht="14.45" customHeight="1" x14ac:dyDescent="0.2">
      <c r="K7327" s="68"/>
    </row>
    <row r="7328" spans="1:11" ht="14.45" customHeight="1" x14ac:dyDescent="0.2">
      <c r="K7328" s="68"/>
    </row>
    <row r="7329" spans="1:11" ht="14.45" customHeight="1" x14ac:dyDescent="0.2">
      <c r="K7329" s="68"/>
    </row>
    <row r="7330" spans="1:11" ht="14.45" customHeight="1" x14ac:dyDescent="0.2">
      <c r="K7330" s="17"/>
    </row>
    <row r="7331" spans="1:11" ht="14.45" customHeight="1" x14ac:dyDescent="0.2">
      <c r="K7331" s="17"/>
    </row>
    <row r="7332" spans="1:11" ht="14.45" customHeight="1" x14ac:dyDescent="0.2">
      <c r="K7332" s="17"/>
    </row>
    <row r="7333" spans="1:11" ht="14.45" customHeight="1" x14ac:dyDescent="0.2">
      <c r="K7333" s="17"/>
    </row>
    <row r="7334" spans="1:11" ht="14.45" customHeight="1" x14ac:dyDescent="0.2">
      <c r="K7334" s="17"/>
    </row>
    <row r="7335" spans="1:11" ht="14.45" customHeight="1" x14ac:dyDescent="0.2">
      <c r="K7335" s="17"/>
    </row>
    <row r="7336" spans="1:11" ht="14.45" customHeight="1" x14ac:dyDescent="0.2">
      <c r="K7336" s="17"/>
    </row>
    <row r="7337" spans="1:11" ht="14.45" customHeight="1" x14ac:dyDescent="0.2">
      <c r="K7337" s="17"/>
    </row>
    <row r="7339" spans="1:11" s="17" customFormat="1" ht="14.45" customHeight="1" x14ac:dyDescent="0.2">
      <c r="A7339"/>
      <c r="B7339"/>
      <c r="C7339"/>
      <c r="D7339"/>
      <c r="E7339"/>
      <c r="F7339"/>
      <c r="G7339"/>
      <c r="H7339"/>
      <c r="I7339"/>
      <c r="J7339"/>
    </row>
    <row r="7340" spans="1:11" s="92" customFormat="1" ht="14.45" customHeight="1" x14ac:dyDescent="0.2">
      <c r="A7340"/>
      <c r="B7340"/>
      <c r="C7340"/>
      <c r="D7340"/>
      <c r="E7340"/>
      <c r="F7340"/>
      <c r="G7340"/>
      <c r="H7340"/>
      <c r="I7340"/>
      <c r="J7340"/>
      <c r="K7340" s="19"/>
    </row>
    <row r="7345" spans="1:11" ht="14.45" customHeight="1" x14ac:dyDescent="0.2">
      <c r="K7345" s="57"/>
    </row>
    <row r="7346" spans="1:11" ht="14.45" customHeight="1" x14ac:dyDescent="0.2">
      <c r="K7346" s="58"/>
    </row>
    <row r="7347" spans="1:11" ht="14.45" customHeight="1" x14ac:dyDescent="0.2">
      <c r="K7347" s="58"/>
    </row>
    <row r="7349" spans="1:11" ht="14.45" customHeight="1" x14ac:dyDescent="0.2">
      <c r="K7349" s="61"/>
    </row>
    <row r="7350" spans="1:11" ht="14.45" customHeight="1" x14ac:dyDescent="0.2">
      <c r="K7350" s="61"/>
    </row>
    <row r="7351" spans="1:11" s="59" customFormat="1" ht="14.45" customHeight="1" x14ac:dyDescent="0.25">
      <c r="A7351"/>
      <c r="B7351"/>
      <c r="C7351"/>
      <c r="D7351"/>
      <c r="E7351"/>
      <c r="F7351"/>
      <c r="G7351"/>
      <c r="H7351"/>
      <c r="I7351"/>
      <c r="J7351"/>
    </row>
    <row r="7352" spans="1:11" s="59" customFormat="1" ht="14.45" customHeight="1" x14ac:dyDescent="0.25">
      <c r="A7352"/>
      <c r="B7352"/>
      <c r="C7352"/>
      <c r="D7352"/>
      <c r="E7352"/>
      <c r="F7352"/>
      <c r="G7352"/>
      <c r="H7352"/>
      <c r="I7352"/>
      <c r="J7352"/>
    </row>
    <row r="7354" spans="1:11" ht="14.45" customHeight="1" x14ac:dyDescent="0.2">
      <c r="K7354" s="68"/>
    </row>
    <row r="7355" spans="1:11" ht="14.45" customHeight="1" x14ac:dyDescent="0.2">
      <c r="K7355" s="68"/>
    </row>
    <row r="7356" spans="1:11" ht="14.45" customHeight="1" x14ac:dyDescent="0.2">
      <c r="K7356" s="68"/>
    </row>
    <row r="7357" spans="1:11" ht="14.45" customHeight="1" x14ac:dyDescent="0.2">
      <c r="K7357" s="17"/>
    </row>
    <row r="7358" spans="1:11" ht="14.45" customHeight="1" x14ac:dyDescent="0.2">
      <c r="K7358" s="17"/>
    </row>
    <row r="7359" spans="1:11" ht="14.45" customHeight="1" x14ac:dyDescent="0.2">
      <c r="K7359" s="17"/>
    </row>
    <row r="7360" spans="1:11" ht="14.45" customHeight="1" x14ac:dyDescent="0.2">
      <c r="K7360" s="17"/>
    </row>
    <row r="7361" spans="1:11" ht="14.45" customHeight="1" x14ac:dyDescent="0.2">
      <c r="K7361" s="17"/>
    </row>
    <row r="7362" spans="1:11" ht="14.45" customHeight="1" x14ac:dyDescent="0.2">
      <c r="K7362" s="17"/>
    </row>
    <row r="7363" spans="1:11" ht="14.45" customHeight="1" x14ac:dyDescent="0.2">
      <c r="K7363" s="17"/>
    </row>
    <row r="7364" spans="1:11" ht="14.45" customHeight="1" x14ac:dyDescent="0.2">
      <c r="K7364" s="17"/>
    </row>
    <row r="7366" spans="1:11" s="17" customFormat="1" ht="14.45" customHeight="1" x14ac:dyDescent="0.2">
      <c r="A7366"/>
      <c r="B7366"/>
      <c r="C7366"/>
      <c r="D7366"/>
      <c r="E7366"/>
      <c r="F7366"/>
      <c r="G7366"/>
      <c r="H7366"/>
      <c r="I7366"/>
      <c r="J7366"/>
    </row>
    <row r="7367" spans="1:11" s="92" customFormat="1" ht="14.45" customHeight="1" x14ac:dyDescent="0.2">
      <c r="A7367"/>
      <c r="B7367"/>
      <c r="C7367"/>
      <c r="D7367"/>
      <c r="E7367"/>
      <c r="F7367"/>
      <c r="G7367"/>
      <c r="H7367"/>
      <c r="I7367"/>
      <c r="J7367"/>
      <c r="K7367" s="19"/>
    </row>
    <row r="7372" spans="1:11" ht="14.45" customHeight="1" x14ac:dyDescent="0.2">
      <c r="K7372" s="57"/>
    </row>
    <row r="7373" spans="1:11" ht="14.45" customHeight="1" x14ac:dyDescent="0.2">
      <c r="K7373" s="58"/>
    </row>
    <row r="7374" spans="1:11" ht="14.45" customHeight="1" x14ac:dyDescent="0.2">
      <c r="K7374" s="58"/>
    </row>
    <row r="7376" spans="1:11" ht="14.45" customHeight="1" x14ac:dyDescent="0.2">
      <c r="K7376" s="61"/>
    </row>
    <row r="7377" spans="1:11" ht="14.45" customHeight="1" x14ac:dyDescent="0.2">
      <c r="K7377" s="61"/>
    </row>
    <row r="7378" spans="1:11" s="59" customFormat="1" ht="14.45" customHeight="1" x14ac:dyDescent="0.25">
      <c r="A7378"/>
      <c r="B7378"/>
      <c r="C7378"/>
      <c r="D7378"/>
      <c r="E7378"/>
      <c r="F7378"/>
      <c r="G7378"/>
      <c r="H7378"/>
      <c r="I7378"/>
      <c r="J7378"/>
    </row>
    <row r="7379" spans="1:11" s="59" customFormat="1" ht="14.45" customHeight="1" x14ac:dyDescent="0.25">
      <c r="A7379"/>
      <c r="B7379"/>
      <c r="C7379"/>
      <c r="D7379"/>
      <c r="E7379"/>
      <c r="F7379"/>
      <c r="G7379"/>
      <c r="H7379"/>
      <c r="I7379"/>
      <c r="J7379"/>
    </row>
    <row r="7381" spans="1:11" ht="14.45" customHeight="1" x14ac:dyDescent="0.2">
      <c r="K7381" s="68"/>
    </row>
    <row r="7382" spans="1:11" ht="14.45" customHeight="1" x14ac:dyDescent="0.2">
      <c r="K7382" s="68"/>
    </row>
    <row r="7383" spans="1:11" ht="14.45" customHeight="1" x14ac:dyDescent="0.2">
      <c r="K7383" s="68"/>
    </row>
    <row r="7384" spans="1:11" ht="14.45" customHeight="1" x14ac:dyDescent="0.2">
      <c r="K7384" s="17"/>
    </row>
    <row r="7385" spans="1:11" ht="14.45" customHeight="1" x14ac:dyDescent="0.2">
      <c r="K7385" s="17"/>
    </row>
    <row r="7386" spans="1:11" ht="14.45" customHeight="1" x14ac:dyDescent="0.2">
      <c r="K7386" s="17"/>
    </row>
    <row r="7387" spans="1:11" ht="14.45" customHeight="1" x14ac:dyDescent="0.2">
      <c r="K7387" s="17"/>
    </row>
    <row r="7388" spans="1:11" ht="14.45" customHeight="1" x14ac:dyDescent="0.2">
      <c r="K7388" s="17"/>
    </row>
    <row r="7389" spans="1:11" ht="14.45" customHeight="1" x14ac:dyDescent="0.2">
      <c r="K7389" s="17"/>
    </row>
    <row r="7390" spans="1:11" ht="14.45" customHeight="1" x14ac:dyDescent="0.2">
      <c r="K7390" s="17"/>
    </row>
    <row r="7391" spans="1:11" ht="14.45" customHeight="1" x14ac:dyDescent="0.2">
      <c r="K7391" s="17"/>
    </row>
    <row r="7393" spans="1:11" s="17" customFormat="1" ht="14.45" customHeight="1" x14ac:dyDescent="0.2">
      <c r="A7393"/>
      <c r="B7393"/>
      <c r="C7393"/>
      <c r="D7393"/>
      <c r="E7393"/>
      <c r="F7393"/>
      <c r="G7393"/>
      <c r="H7393"/>
      <c r="I7393"/>
      <c r="J7393"/>
    </row>
    <row r="7394" spans="1:11" s="92" customFormat="1" ht="14.45" customHeight="1" x14ac:dyDescent="0.2">
      <c r="A7394"/>
      <c r="B7394"/>
      <c r="C7394"/>
      <c r="D7394"/>
      <c r="E7394"/>
      <c r="F7394"/>
      <c r="G7394"/>
      <c r="H7394"/>
      <c r="I7394"/>
      <c r="J7394"/>
      <c r="K7394" s="19"/>
    </row>
    <row r="7399" spans="1:11" ht="14.45" customHeight="1" x14ac:dyDescent="0.2">
      <c r="K7399" s="57"/>
    </row>
    <row r="7400" spans="1:11" ht="14.45" customHeight="1" x14ac:dyDescent="0.2">
      <c r="K7400" s="58"/>
    </row>
    <row r="7401" spans="1:11" ht="14.45" customHeight="1" x14ac:dyDescent="0.2">
      <c r="K7401" s="58"/>
    </row>
    <row r="7403" spans="1:11" ht="14.45" customHeight="1" x14ac:dyDescent="0.2">
      <c r="K7403" s="61"/>
    </row>
    <row r="7404" spans="1:11" ht="14.45" customHeight="1" x14ac:dyDescent="0.2">
      <c r="K7404" s="61"/>
    </row>
    <row r="7405" spans="1:11" s="59" customFormat="1" ht="14.45" customHeight="1" x14ac:dyDescent="0.25">
      <c r="A7405"/>
      <c r="B7405"/>
      <c r="C7405"/>
      <c r="D7405"/>
      <c r="E7405"/>
      <c r="F7405"/>
      <c r="G7405"/>
      <c r="H7405"/>
      <c r="I7405"/>
      <c r="J7405"/>
    </row>
    <row r="7406" spans="1:11" s="59" customFormat="1" ht="14.45" customHeight="1" x14ac:dyDescent="0.25">
      <c r="A7406"/>
      <c r="B7406"/>
      <c r="C7406"/>
      <c r="D7406"/>
      <c r="E7406"/>
      <c r="F7406"/>
      <c r="G7406"/>
      <c r="H7406"/>
      <c r="I7406"/>
      <c r="J7406"/>
    </row>
    <row r="7408" spans="1:11" ht="14.45" customHeight="1" x14ac:dyDescent="0.2">
      <c r="K7408" s="68"/>
    </row>
    <row r="7409" spans="1:11" ht="14.45" customHeight="1" x14ac:dyDescent="0.2">
      <c r="K7409" s="68"/>
    </row>
    <row r="7410" spans="1:11" ht="14.45" customHeight="1" x14ac:dyDescent="0.2">
      <c r="K7410" s="68"/>
    </row>
    <row r="7411" spans="1:11" ht="14.45" customHeight="1" x14ac:dyDescent="0.2">
      <c r="K7411" s="17"/>
    </row>
    <row r="7412" spans="1:11" ht="14.45" customHeight="1" x14ac:dyDescent="0.2">
      <c r="K7412" s="17"/>
    </row>
    <row r="7413" spans="1:11" ht="14.45" customHeight="1" x14ac:dyDescent="0.2">
      <c r="K7413" s="17"/>
    </row>
    <row r="7414" spans="1:11" ht="14.45" customHeight="1" x14ac:dyDescent="0.2">
      <c r="K7414" s="17"/>
    </row>
    <row r="7415" spans="1:11" ht="14.45" customHeight="1" x14ac:dyDescent="0.2">
      <c r="K7415" s="17"/>
    </row>
    <row r="7416" spans="1:11" ht="14.45" customHeight="1" x14ac:dyDescent="0.2">
      <c r="K7416" s="17"/>
    </row>
    <row r="7417" spans="1:11" ht="14.45" customHeight="1" x14ac:dyDescent="0.2">
      <c r="K7417" s="17"/>
    </row>
    <row r="7418" spans="1:11" ht="14.45" customHeight="1" x14ac:dyDescent="0.2">
      <c r="K7418" s="17"/>
    </row>
    <row r="7420" spans="1:11" s="17" customFormat="1" ht="14.45" customHeight="1" x14ac:dyDescent="0.2">
      <c r="A7420"/>
      <c r="B7420"/>
      <c r="C7420"/>
      <c r="D7420"/>
      <c r="E7420"/>
      <c r="F7420"/>
      <c r="G7420"/>
      <c r="H7420"/>
      <c r="I7420"/>
      <c r="J7420"/>
    </row>
    <row r="7421" spans="1:11" s="92" customFormat="1" ht="14.45" customHeight="1" x14ac:dyDescent="0.2">
      <c r="A7421"/>
      <c r="B7421"/>
      <c r="C7421"/>
      <c r="D7421"/>
      <c r="E7421"/>
      <c r="F7421"/>
      <c r="G7421"/>
      <c r="H7421"/>
      <c r="I7421"/>
      <c r="J7421"/>
      <c r="K7421" s="19"/>
    </row>
    <row r="7426" spans="1:11" ht="14.45" customHeight="1" x14ac:dyDescent="0.2">
      <c r="K7426" s="57"/>
    </row>
    <row r="7427" spans="1:11" ht="14.45" customHeight="1" x14ac:dyDescent="0.2">
      <c r="K7427" s="58"/>
    </row>
    <row r="7428" spans="1:11" ht="14.45" customHeight="1" x14ac:dyDescent="0.2">
      <c r="K7428" s="58"/>
    </row>
    <row r="7430" spans="1:11" ht="14.45" customHeight="1" x14ac:dyDescent="0.2">
      <c r="K7430" s="61"/>
    </row>
    <row r="7431" spans="1:11" ht="14.45" customHeight="1" x14ac:dyDescent="0.2">
      <c r="K7431" s="61"/>
    </row>
    <row r="7432" spans="1:11" s="59" customFormat="1" ht="14.45" customHeight="1" x14ac:dyDescent="0.25">
      <c r="A7432"/>
      <c r="B7432"/>
      <c r="C7432"/>
      <c r="D7432"/>
      <c r="E7432"/>
      <c r="F7432"/>
      <c r="G7432"/>
      <c r="H7432"/>
      <c r="I7432"/>
      <c r="J7432"/>
    </row>
    <row r="7433" spans="1:11" s="59" customFormat="1" ht="14.45" customHeight="1" x14ac:dyDescent="0.25">
      <c r="A7433"/>
      <c r="B7433"/>
      <c r="C7433"/>
      <c r="D7433"/>
      <c r="E7433"/>
      <c r="F7433"/>
      <c r="G7433"/>
      <c r="H7433"/>
      <c r="I7433"/>
      <c r="J7433"/>
    </row>
    <row r="7435" spans="1:11" ht="14.45" customHeight="1" x14ac:dyDescent="0.2">
      <c r="K7435" s="68"/>
    </row>
    <row r="7436" spans="1:11" ht="14.45" customHeight="1" x14ac:dyDescent="0.2">
      <c r="K7436" s="68"/>
    </row>
    <row r="7437" spans="1:11" ht="14.45" customHeight="1" x14ac:dyDescent="0.2">
      <c r="K7437" s="68"/>
    </row>
    <row r="7438" spans="1:11" ht="14.45" customHeight="1" x14ac:dyDescent="0.2">
      <c r="K7438" s="17"/>
    </row>
    <row r="7439" spans="1:11" ht="14.45" customHeight="1" x14ac:dyDescent="0.2">
      <c r="K7439" s="17"/>
    </row>
    <row r="7440" spans="1:11" ht="14.45" customHeight="1" x14ac:dyDescent="0.2">
      <c r="K7440" s="17"/>
    </row>
    <row r="7441" spans="1:11" ht="14.45" customHeight="1" x14ac:dyDescent="0.2">
      <c r="K7441" s="17"/>
    </row>
    <row r="7442" spans="1:11" ht="14.45" customHeight="1" x14ac:dyDescent="0.2">
      <c r="K7442" s="17"/>
    </row>
    <row r="7443" spans="1:11" ht="14.45" customHeight="1" x14ac:dyDescent="0.2">
      <c r="K7443" s="17"/>
    </row>
    <row r="7444" spans="1:11" ht="14.45" customHeight="1" x14ac:dyDescent="0.2">
      <c r="K7444" s="17"/>
    </row>
    <row r="7445" spans="1:11" ht="14.45" customHeight="1" x14ac:dyDescent="0.2">
      <c r="K7445" s="17"/>
    </row>
    <row r="7447" spans="1:11" s="17" customFormat="1" ht="14.45" customHeight="1" x14ac:dyDescent="0.2">
      <c r="A7447"/>
      <c r="B7447"/>
      <c r="C7447"/>
      <c r="D7447"/>
      <c r="E7447"/>
      <c r="F7447"/>
      <c r="G7447"/>
      <c r="H7447"/>
      <c r="I7447"/>
      <c r="J7447"/>
    </row>
    <row r="7448" spans="1:11" s="92" customFormat="1" ht="14.45" customHeight="1" x14ac:dyDescent="0.2">
      <c r="A7448"/>
      <c r="B7448"/>
      <c r="C7448"/>
      <c r="D7448"/>
      <c r="E7448"/>
      <c r="F7448"/>
      <c r="G7448"/>
      <c r="H7448"/>
      <c r="I7448"/>
      <c r="J7448"/>
      <c r="K7448" s="19"/>
    </row>
    <row r="7453" spans="1:11" ht="14.45" customHeight="1" x14ac:dyDescent="0.2">
      <c r="K7453" s="57"/>
    </row>
    <row r="7454" spans="1:11" ht="14.45" customHeight="1" x14ac:dyDescent="0.2">
      <c r="K7454" s="58"/>
    </row>
    <row r="7455" spans="1:11" ht="14.45" customHeight="1" x14ac:dyDescent="0.2">
      <c r="K7455" s="58"/>
    </row>
    <row r="7457" spans="1:11" ht="14.45" customHeight="1" x14ac:dyDescent="0.2">
      <c r="K7457" s="61"/>
    </row>
    <row r="7458" spans="1:11" ht="14.45" customHeight="1" x14ac:dyDescent="0.2">
      <c r="K7458" s="61"/>
    </row>
    <row r="7459" spans="1:11" s="59" customFormat="1" ht="14.45" customHeight="1" x14ac:dyDescent="0.25">
      <c r="A7459"/>
      <c r="B7459"/>
      <c r="C7459"/>
      <c r="D7459"/>
      <c r="E7459"/>
      <c r="F7459"/>
      <c r="G7459"/>
      <c r="H7459"/>
      <c r="I7459"/>
      <c r="J7459"/>
    </row>
    <row r="7460" spans="1:11" s="59" customFormat="1" ht="14.45" customHeight="1" x14ac:dyDescent="0.25">
      <c r="A7460"/>
      <c r="B7460"/>
      <c r="C7460"/>
      <c r="D7460"/>
      <c r="E7460"/>
      <c r="F7460"/>
      <c r="G7460"/>
      <c r="H7460"/>
      <c r="I7460"/>
      <c r="J7460"/>
    </row>
    <row r="7462" spans="1:11" ht="14.45" customHeight="1" x14ac:dyDescent="0.2">
      <c r="K7462" s="68"/>
    </row>
    <row r="7463" spans="1:11" ht="14.45" customHeight="1" x14ac:dyDescent="0.2">
      <c r="K7463" s="68"/>
    </row>
    <row r="7464" spans="1:11" ht="14.45" customHeight="1" x14ac:dyDescent="0.2">
      <c r="K7464" s="68"/>
    </row>
    <row r="7465" spans="1:11" ht="14.45" customHeight="1" x14ac:dyDescent="0.2">
      <c r="K7465" s="17"/>
    </row>
    <row r="7466" spans="1:11" ht="14.45" customHeight="1" x14ac:dyDescent="0.2">
      <c r="K7466" s="17"/>
    </row>
    <row r="7467" spans="1:11" ht="14.45" customHeight="1" x14ac:dyDescent="0.2">
      <c r="K7467" s="17"/>
    </row>
    <row r="7468" spans="1:11" ht="14.45" customHeight="1" x14ac:dyDescent="0.2">
      <c r="K7468" s="17"/>
    </row>
    <row r="7469" spans="1:11" ht="14.45" customHeight="1" x14ac:dyDescent="0.2">
      <c r="K7469" s="17"/>
    </row>
    <row r="7470" spans="1:11" ht="14.45" customHeight="1" x14ac:dyDescent="0.2">
      <c r="K7470" s="17"/>
    </row>
    <row r="7471" spans="1:11" ht="14.45" customHeight="1" x14ac:dyDescent="0.2">
      <c r="K7471" s="17"/>
    </row>
    <row r="7472" spans="1:11" ht="14.45" customHeight="1" x14ac:dyDescent="0.2">
      <c r="K7472" s="17"/>
    </row>
    <row r="7474" spans="1:11" s="17" customFormat="1" ht="14.45" customHeight="1" x14ac:dyDescent="0.2">
      <c r="A7474"/>
      <c r="B7474"/>
      <c r="C7474"/>
      <c r="D7474"/>
      <c r="E7474"/>
      <c r="F7474"/>
      <c r="G7474"/>
      <c r="H7474"/>
      <c r="I7474"/>
      <c r="J7474"/>
    </row>
    <row r="7475" spans="1:11" s="92" customFormat="1" ht="14.45" customHeight="1" x14ac:dyDescent="0.2">
      <c r="A7475"/>
      <c r="B7475"/>
      <c r="C7475"/>
      <c r="D7475"/>
      <c r="E7475"/>
      <c r="F7475"/>
      <c r="G7475"/>
      <c r="H7475"/>
      <c r="I7475"/>
      <c r="J7475"/>
      <c r="K7475" s="19"/>
    </row>
    <row r="7480" spans="1:11" ht="14.45" customHeight="1" x14ac:dyDescent="0.2">
      <c r="K7480" s="57"/>
    </row>
    <row r="7481" spans="1:11" ht="14.45" customHeight="1" x14ac:dyDescent="0.2">
      <c r="K7481" s="58"/>
    </row>
    <row r="7482" spans="1:11" ht="14.45" customHeight="1" x14ac:dyDescent="0.2">
      <c r="K7482" s="58"/>
    </row>
    <row r="7484" spans="1:11" ht="14.45" customHeight="1" x14ac:dyDescent="0.2">
      <c r="K7484" s="61"/>
    </row>
    <row r="7485" spans="1:11" ht="14.45" customHeight="1" x14ac:dyDescent="0.2">
      <c r="K7485" s="61"/>
    </row>
    <row r="7486" spans="1:11" s="59" customFormat="1" ht="14.45" customHeight="1" x14ac:dyDescent="0.25">
      <c r="A7486"/>
      <c r="B7486"/>
      <c r="C7486"/>
      <c r="D7486"/>
      <c r="E7486"/>
      <c r="F7486"/>
      <c r="G7486"/>
      <c r="H7486"/>
      <c r="I7486"/>
      <c r="J7486"/>
    </row>
    <row r="7487" spans="1:11" s="59" customFormat="1" ht="14.45" customHeight="1" x14ac:dyDescent="0.25">
      <c r="A7487"/>
      <c r="B7487"/>
      <c r="C7487"/>
      <c r="D7487"/>
      <c r="E7487"/>
      <c r="F7487"/>
      <c r="G7487"/>
      <c r="H7487"/>
      <c r="I7487"/>
      <c r="J7487"/>
    </row>
    <row r="7489" spans="1:11" ht="14.45" customHeight="1" x14ac:dyDescent="0.2">
      <c r="K7489" s="68"/>
    </row>
    <row r="7490" spans="1:11" ht="14.45" customHeight="1" x14ac:dyDescent="0.2">
      <c r="K7490" s="68"/>
    </row>
    <row r="7491" spans="1:11" ht="14.45" customHeight="1" x14ac:dyDescent="0.2">
      <c r="K7491" s="68"/>
    </row>
    <row r="7492" spans="1:11" ht="14.45" customHeight="1" x14ac:dyDescent="0.2">
      <c r="K7492" s="17"/>
    </row>
    <row r="7493" spans="1:11" ht="14.45" customHeight="1" x14ac:dyDescent="0.2">
      <c r="K7493" s="17"/>
    </row>
    <row r="7494" spans="1:11" ht="14.45" customHeight="1" x14ac:dyDescent="0.2">
      <c r="K7494" s="17"/>
    </row>
    <row r="7495" spans="1:11" ht="14.45" customHeight="1" x14ac:dyDescent="0.2">
      <c r="K7495" s="17"/>
    </row>
    <row r="7496" spans="1:11" ht="14.45" customHeight="1" x14ac:dyDescent="0.2">
      <c r="K7496" s="17"/>
    </row>
    <row r="7497" spans="1:11" ht="14.45" customHeight="1" x14ac:dyDescent="0.2">
      <c r="K7497" s="17"/>
    </row>
    <row r="7498" spans="1:11" ht="14.45" customHeight="1" x14ac:dyDescent="0.2">
      <c r="K7498" s="17"/>
    </row>
    <row r="7499" spans="1:11" ht="14.45" customHeight="1" x14ac:dyDescent="0.2">
      <c r="K7499" s="17"/>
    </row>
    <row r="7501" spans="1:11" s="17" customFormat="1" ht="14.45" customHeight="1" x14ac:dyDescent="0.2">
      <c r="A7501"/>
      <c r="B7501"/>
      <c r="C7501"/>
      <c r="D7501"/>
      <c r="E7501"/>
      <c r="F7501"/>
      <c r="G7501"/>
      <c r="H7501"/>
      <c r="I7501"/>
      <c r="J7501"/>
    </row>
    <row r="7502" spans="1:11" s="92" customFormat="1" ht="14.45" customHeight="1" x14ac:dyDescent="0.2">
      <c r="A7502"/>
      <c r="B7502"/>
      <c r="C7502"/>
      <c r="D7502"/>
      <c r="E7502"/>
      <c r="F7502"/>
      <c r="G7502"/>
      <c r="H7502"/>
      <c r="I7502"/>
      <c r="J7502"/>
      <c r="K7502" s="19"/>
    </row>
    <row r="7507" spans="1:11" ht="14.45" customHeight="1" x14ac:dyDescent="0.2">
      <c r="K7507" s="57"/>
    </row>
    <row r="7508" spans="1:11" ht="14.45" customHeight="1" x14ac:dyDescent="0.2">
      <c r="K7508" s="58"/>
    </row>
    <row r="7509" spans="1:11" ht="14.45" customHeight="1" x14ac:dyDescent="0.2">
      <c r="K7509" s="58"/>
    </row>
    <row r="7511" spans="1:11" ht="14.45" customHeight="1" x14ac:dyDescent="0.2">
      <c r="K7511" s="61"/>
    </row>
    <row r="7512" spans="1:11" ht="14.45" customHeight="1" x14ac:dyDescent="0.2">
      <c r="K7512" s="61"/>
    </row>
    <row r="7513" spans="1:11" s="59" customFormat="1" ht="14.45" customHeight="1" x14ac:dyDescent="0.25">
      <c r="A7513"/>
      <c r="B7513"/>
      <c r="C7513"/>
      <c r="D7513"/>
      <c r="E7513"/>
      <c r="F7513"/>
      <c r="G7513"/>
      <c r="H7513"/>
      <c r="I7513"/>
      <c r="J7513"/>
    </row>
    <row r="7514" spans="1:11" s="59" customFormat="1" ht="14.45" customHeight="1" x14ac:dyDescent="0.25">
      <c r="A7514"/>
      <c r="B7514"/>
      <c r="C7514"/>
      <c r="D7514"/>
      <c r="E7514"/>
      <c r="F7514"/>
      <c r="G7514"/>
      <c r="H7514"/>
      <c r="I7514"/>
      <c r="J7514"/>
    </row>
    <row r="7516" spans="1:11" ht="14.45" customHeight="1" x14ac:dyDescent="0.2">
      <c r="K7516" s="68"/>
    </row>
    <row r="7517" spans="1:11" ht="14.45" customHeight="1" x14ac:dyDescent="0.2">
      <c r="K7517" s="68"/>
    </row>
    <row r="7518" spans="1:11" ht="14.45" customHeight="1" x14ac:dyDescent="0.2">
      <c r="K7518" s="68"/>
    </row>
    <row r="7519" spans="1:11" ht="14.45" customHeight="1" x14ac:dyDescent="0.2">
      <c r="K7519" s="17"/>
    </row>
    <row r="7520" spans="1:11" ht="14.45" customHeight="1" x14ac:dyDescent="0.2">
      <c r="K7520" s="17"/>
    </row>
    <row r="7521" spans="1:11" ht="14.45" customHeight="1" x14ac:dyDescent="0.2">
      <c r="K7521" s="17"/>
    </row>
    <row r="7522" spans="1:11" ht="14.45" customHeight="1" x14ac:dyDescent="0.2">
      <c r="K7522" s="17"/>
    </row>
    <row r="7523" spans="1:11" ht="14.45" customHeight="1" x14ac:dyDescent="0.2">
      <c r="K7523" s="17"/>
    </row>
    <row r="7524" spans="1:11" ht="14.45" customHeight="1" x14ac:dyDescent="0.2">
      <c r="K7524" s="17"/>
    </row>
    <row r="7525" spans="1:11" ht="14.45" customHeight="1" x14ac:dyDescent="0.2">
      <c r="K7525" s="17"/>
    </row>
    <row r="7526" spans="1:11" ht="14.45" customHeight="1" x14ac:dyDescent="0.2">
      <c r="K7526" s="17"/>
    </row>
    <row r="7528" spans="1:11" s="17" customFormat="1" ht="14.45" customHeight="1" x14ac:dyDescent="0.2">
      <c r="A7528"/>
      <c r="B7528"/>
      <c r="C7528"/>
      <c r="D7528"/>
      <c r="E7528"/>
      <c r="F7528"/>
      <c r="G7528"/>
      <c r="H7528"/>
      <c r="I7528"/>
      <c r="J7528"/>
    </row>
    <row r="7529" spans="1:11" s="92" customFormat="1" ht="14.45" customHeight="1" x14ac:dyDescent="0.2">
      <c r="A7529"/>
      <c r="B7529"/>
      <c r="C7529"/>
      <c r="D7529"/>
      <c r="E7529"/>
      <c r="F7529"/>
      <c r="G7529"/>
      <c r="H7529"/>
      <c r="I7529"/>
      <c r="J7529"/>
      <c r="K7529" s="19"/>
    </row>
    <row r="7534" spans="1:11" ht="14.45" customHeight="1" x14ac:dyDescent="0.2">
      <c r="K7534" s="57"/>
    </row>
    <row r="7535" spans="1:11" ht="14.45" customHeight="1" x14ac:dyDescent="0.2">
      <c r="K7535" s="58"/>
    </row>
    <row r="7536" spans="1:11" ht="14.45" customHeight="1" x14ac:dyDescent="0.2">
      <c r="K7536" s="58"/>
    </row>
    <row r="7538" spans="1:11" ht="14.45" customHeight="1" x14ac:dyDescent="0.2">
      <c r="K7538" s="61"/>
    </row>
    <row r="7539" spans="1:11" ht="14.45" customHeight="1" x14ac:dyDescent="0.2">
      <c r="K7539" s="61"/>
    </row>
    <row r="7540" spans="1:11" s="59" customFormat="1" ht="14.45" customHeight="1" x14ac:dyDescent="0.25">
      <c r="A7540"/>
      <c r="B7540"/>
      <c r="C7540"/>
      <c r="D7540"/>
      <c r="E7540"/>
      <c r="F7540"/>
      <c r="G7540"/>
      <c r="H7540"/>
      <c r="I7540"/>
      <c r="J7540"/>
    </row>
    <row r="7541" spans="1:11" s="59" customFormat="1" ht="14.45" customHeight="1" x14ac:dyDescent="0.25">
      <c r="A7541"/>
      <c r="B7541"/>
      <c r="C7541"/>
      <c r="D7541"/>
      <c r="E7541"/>
      <c r="F7541"/>
      <c r="G7541"/>
      <c r="H7541"/>
      <c r="I7541"/>
      <c r="J7541"/>
    </row>
    <row r="7543" spans="1:11" ht="14.45" customHeight="1" x14ac:dyDescent="0.2">
      <c r="K7543" s="68"/>
    </row>
    <row r="7544" spans="1:11" ht="14.45" customHeight="1" x14ac:dyDescent="0.2">
      <c r="K7544" s="68"/>
    </row>
    <row r="7545" spans="1:11" ht="14.45" customHeight="1" x14ac:dyDescent="0.2">
      <c r="K7545" s="68"/>
    </row>
    <row r="7546" spans="1:11" ht="14.45" customHeight="1" x14ac:dyDescent="0.2">
      <c r="K7546" s="17"/>
    </row>
    <row r="7547" spans="1:11" ht="14.45" customHeight="1" x14ac:dyDescent="0.2">
      <c r="K7547" s="17"/>
    </row>
    <row r="7548" spans="1:11" ht="14.45" customHeight="1" x14ac:dyDescent="0.2">
      <c r="K7548" s="17"/>
    </row>
    <row r="7549" spans="1:11" ht="14.45" customHeight="1" x14ac:dyDescent="0.2">
      <c r="K7549" s="17"/>
    </row>
    <row r="7550" spans="1:11" ht="14.45" customHeight="1" x14ac:dyDescent="0.2">
      <c r="K7550" s="17"/>
    </row>
    <row r="7551" spans="1:11" ht="14.45" customHeight="1" x14ac:dyDescent="0.2">
      <c r="K7551" s="17"/>
    </row>
    <row r="7552" spans="1:11" ht="14.45" customHeight="1" x14ac:dyDescent="0.2">
      <c r="K7552" s="17"/>
    </row>
    <row r="7553" spans="1:11" ht="14.45" customHeight="1" x14ac:dyDescent="0.2">
      <c r="K7553" s="17"/>
    </row>
    <row r="7555" spans="1:11" s="17" customFormat="1" ht="14.45" customHeight="1" x14ac:dyDescent="0.2">
      <c r="A7555"/>
      <c r="B7555"/>
      <c r="C7555"/>
      <c r="D7555"/>
      <c r="E7555"/>
      <c r="F7555"/>
      <c r="G7555"/>
      <c r="H7555"/>
      <c r="I7555"/>
      <c r="J7555"/>
    </row>
    <row r="7556" spans="1:11" s="92" customFormat="1" ht="14.45" customHeight="1" x14ac:dyDescent="0.2">
      <c r="A7556"/>
      <c r="B7556"/>
      <c r="C7556"/>
      <c r="D7556"/>
      <c r="E7556"/>
      <c r="F7556"/>
      <c r="G7556"/>
      <c r="H7556"/>
      <c r="I7556"/>
      <c r="J7556"/>
      <c r="K7556" s="19"/>
    </row>
    <row r="7561" spans="1:11" ht="14.45" customHeight="1" x14ac:dyDescent="0.2">
      <c r="K7561" s="57"/>
    </row>
    <row r="7562" spans="1:11" ht="14.45" customHeight="1" x14ac:dyDescent="0.2">
      <c r="K7562" s="58"/>
    </row>
    <row r="7563" spans="1:11" ht="14.45" customHeight="1" x14ac:dyDescent="0.2">
      <c r="K7563" s="58"/>
    </row>
    <row r="7565" spans="1:11" ht="14.45" customHeight="1" x14ac:dyDescent="0.2">
      <c r="K7565" s="61"/>
    </row>
    <row r="7566" spans="1:11" ht="14.45" customHeight="1" x14ac:dyDescent="0.2">
      <c r="K7566" s="61"/>
    </row>
    <row r="7567" spans="1:11" s="59" customFormat="1" ht="14.45" customHeight="1" x14ac:dyDescent="0.25">
      <c r="A7567"/>
      <c r="B7567"/>
      <c r="C7567"/>
      <c r="D7567"/>
      <c r="E7567"/>
      <c r="F7567"/>
      <c r="G7567"/>
      <c r="H7567"/>
      <c r="I7567"/>
      <c r="J7567"/>
    </row>
    <row r="7568" spans="1:11" s="59" customFormat="1" ht="14.45" customHeight="1" x14ac:dyDescent="0.25">
      <c r="A7568"/>
      <c r="B7568"/>
      <c r="C7568"/>
      <c r="D7568"/>
      <c r="E7568"/>
      <c r="F7568"/>
      <c r="G7568"/>
      <c r="H7568"/>
      <c r="I7568"/>
      <c r="J7568"/>
    </row>
    <row r="7570" spans="1:11" ht="14.45" customHeight="1" x14ac:dyDescent="0.2">
      <c r="K7570" s="68"/>
    </row>
    <row r="7571" spans="1:11" ht="14.45" customHeight="1" x14ac:dyDescent="0.2">
      <c r="K7571" s="68"/>
    </row>
    <row r="7572" spans="1:11" ht="14.45" customHeight="1" x14ac:dyDescent="0.2">
      <c r="K7572" s="68"/>
    </row>
    <row r="7573" spans="1:11" ht="14.45" customHeight="1" x14ac:dyDescent="0.2">
      <c r="K7573" s="17"/>
    </row>
    <row r="7574" spans="1:11" ht="14.45" customHeight="1" x14ac:dyDescent="0.2">
      <c r="K7574" s="17"/>
    </row>
    <row r="7575" spans="1:11" ht="14.45" customHeight="1" x14ac:dyDescent="0.2">
      <c r="K7575" s="17"/>
    </row>
    <row r="7576" spans="1:11" ht="14.45" customHeight="1" x14ac:dyDescent="0.2">
      <c r="K7576" s="17"/>
    </row>
    <row r="7577" spans="1:11" ht="14.45" customHeight="1" x14ac:dyDescent="0.2">
      <c r="K7577" s="17"/>
    </row>
    <row r="7578" spans="1:11" ht="14.45" customHeight="1" x14ac:dyDescent="0.2">
      <c r="K7578" s="17"/>
    </row>
    <row r="7579" spans="1:11" ht="14.45" customHeight="1" x14ac:dyDescent="0.2">
      <c r="K7579" s="17"/>
    </row>
    <row r="7580" spans="1:11" ht="14.45" customHeight="1" x14ac:dyDescent="0.2">
      <c r="K7580" s="17"/>
    </row>
    <row r="7582" spans="1:11" s="17" customFormat="1" ht="14.45" customHeight="1" x14ac:dyDescent="0.2">
      <c r="A7582"/>
      <c r="B7582"/>
      <c r="C7582"/>
      <c r="D7582"/>
      <c r="E7582"/>
      <c r="F7582"/>
      <c r="G7582"/>
      <c r="H7582"/>
      <c r="I7582"/>
      <c r="J7582"/>
    </row>
    <row r="7583" spans="1:11" s="92" customFormat="1" ht="14.45" customHeight="1" x14ac:dyDescent="0.2">
      <c r="A7583"/>
      <c r="B7583"/>
      <c r="C7583"/>
      <c r="D7583"/>
      <c r="E7583"/>
      <c r="F7583"/>
      <c r="G7583"/>
      <c r="H7583"/>
      <c r="I7583"/>
      <c r="J7583"/>
      <c r="K7583" s="19"/>
    </row>
    <row r="7588" spans="1:11" ht="14.45" customHeight="1" x14ac:dyDescent="0.2">
      <c r="K7588" s="57"/>
    </row>
    <row r="7589" spans="1:11" ht="14.45" customHeight="1" x14ac:dyDescent="0.2">
      <c r="K7589" s="58"/>
    </row>
    <row r="7590" spans="1:11" ht="14.45" customHeight="1" x14ac:dyDescent="0.2">
      <c r="K7590" s="58"/>
    </row>
    <row r="7592" spans="1:11" ht="14.45" customHeight="1" x14ac:dyDescent="0.2">
      <c r="K7592" s="61"/>
    </row>
    <row r="7593" spans="1:11" ht="14.45" customHeight="1" x14ac:dyDescent="0.2">
      <c r="K7593" s="61"/>
    </row>
    <row r="7594" spans="1:11" s="59" customFormat="1" ht="14.45" customHeight="1" x14ac:dyDescent="0.25">
      <c r="A7594"/>
      <c r="B7594"/>
      <c r="C7594"/>
      <c r="D7594"/>
      <c r="E7594"/>
      <c r="F7594"/>
      <c r="G7594"/>
      <c r="H7594"/>
      <c r="I7594"/>
      <c r="J7594"/>
    </row>
    <row r="7595" spans="1:11" s="59" customFormat="1" ht="14.45" customHeight="1" x14ac:dyDescent="0.25">
      <c r="A7595"/>
      <c r="B7595"/>
      <c r="C7595"/>
      <c r="D7595"/>
      <c r="E7595"/>
      <c r="F7595"/>
      <c r="G7595"/>
      <c r="H7595"/>
      <c r="I7595"/>
      <c r="J7595"/>
    </row>
    <row r="7597" spans="1:11" ht="14.45" customHeight="1" x14ac:dyDescent="0.2">
      <c r="K7597" s="68"/>
    </row>
    <row r="7598" spans="1:11" ht="14.45" customHeight="1" x14ac:dyDescent="0.2">
      <c r="K7598" s="68"/>
    </row>
    <row r="7599" spans="1:11" ht="14.45" customHeight="1" x14ac:dyDescent="0.2">
      <c r="K7599" s="68"/>
    </row>
    <row r="7600" spans="1:11" ht="14.45" customHeight="1" x14ac:dyDescent="0.2">
      <c r="K7600" s="17"/>
    </row>
    <row r="7601" spans="1:11" ht="14.45" customHeight="1" x14ac:dyDescent="0.2">
      <c r="K7601" s="17"/>
    </row>
    <row r="7602" spans="1:11" ht="14.45" customHeight="1" x14ac:dyDescent="0.2">
      <c r="K7602" s="17"/>
    </row>
    <row r="7603" spans="1:11" ht="14.45" customHeight="1" x14ac:dyDescent="0.2">
      <c r="K7603" s="17"/>
    </row>
    <row r="7604" spans="1:11" ht="14.45" customHeight="1" x14ac:dyDescent="0.2">
      <c r="K7604" s="17"/>
    </row>
    <row r="7605" spans="1:11" ht="14.45" customHeight="1" x14ac:dyDescent="0.2">
      <c r="K7605" s="17"/>
    </row>
    <row r="7606" spans="1:11" ht="14.45" customHeight="1" x14ac:dyDescent="0.2">
      <c r="K7606" s="17"/>
    </row>
    <row r="7607" spans="1:11" ht="14.45" customHeight="1" x14ac:dyDescent="0.2">
      <c r="K7607" s="17"/>
    </row>
    <row r="7609" spans="1:11" s="17" customFormat="1" ht="14.45" customHeight="1" x14ac:dyDescent="0.2">
      <c r="A7609"/>
      <c r="B7609"/>
      <c r="C7609"/>
      <c r="D7609"/>
      <c r="E7609"/>
      <c r="F7609"/>
      <c r="G7609"/>
      <c r="H7609"/>
      <c r="I7609"/>
      <c r="J7609"/>
    </row>
    <row r="7610" spans="1:11" s="92" customFormat="1" ht="14.45" customHeight="1" x14ac:dyDescent="0.2">
      <c r="A7610"/>
      <c r="B7610"/>
      <c r="C7610"/>
      <c r="D7610"/>
      <c r="E7610"/>
      <c r="F7610"/>
      <c r="G7610"/>
      <c r="H7610"/>
      <c r="I7610"/>
      <c r="J7610"/>
      <c r="K7610" s="19"/>
    </row>
    <row r="7615" spans="1:11" ht="14.45" customHeight="1" x14ac:dyDescent="0.2">
      <c r="K7615" s="57"/>
    </row>
    <row r="7616" spans="1:11" ht="14.45" customHeight="1" x14ac:dyDescent="0.2">
      <c r="K7616" s="58"/>
    </row>
    <row r="7617" spans="1:11" ht="14.45" customHeight="1" x14ac:dyDescent="0.2">
      <c r="K7617" s="58"/>
    </row>
    <row r="7619" spans="1:11" ht="14.45" customHeight="1" x14ac:dyDescent="0.2">
      <c r="K7619" s="61"/>
    </row>
    <row r="7620" spans="1:11" ht="14.45" customHeight="1" x14ac:dyDescent="0.2">
      <c r="K7620" s="61"/>
    </row>
    <row r="7621" spans="1:11" s="59" customFormat="1" ht="14.45" customHeight="1" x14ac:dyDescent="0.25">
      <c r="A7621"/>
      <c r="B7621"/>
      <c r="C7621"/>
      <c r="D7621"/>
      <c r="E7621"/>
      <c r="F7621"/>
      <c r="G7621"/>
      <c r="H7621"/>
      <c r="I7621"/>
      <c r="J7621"/>
    </row>
    <row r="7622" spans="1:11" s="59" customFormat="1" ht="14.45" customHeight="1" x14ac:dyDescent="0.25">
      <c r="A7622"/>
      <c r="B7622"/>
      <c r="C7622"/>
      <c r="D7622"/>
      <c r="E7622"/>
      <c r="F7622"/>
      <c r="G7622"/>
      <c r="H7622"/>
      <c r="I7622"/>
      <c r="J7622"/>
    </row>
    <row r="7624" spans="1:11" ht="14.45" customHeight="1" x14ac:dyDescent="0.2">
      <c r="K7624" s="68"/>
    </row>
    <row r="7625" spans="1:11" ht="14.45" customHeight="1" x14ac:dyDescent="0.2">
      <c r="K7625" s="68"/>
    </row>
    <row r="7626" spans="1:11" ht="14.45" customHeight="1" x14ac:dyDescent="0.2">
      <c r="K7626" s="68"/>
    </row>
    <row r="7627" spans="1:11" ht="14.45" customHeight="1" x14ac:dyDescent="0.2">
      <c r="K7627" s="17"/>
    </row>
    <row r="7628" spans="1:11" ht="14.45" customHeight="1" x14ac:dyDescent="0.2">
      <c r="K7628" s="17"/>
    </row>
    <row r="7629" spans="1:11" ht="14.45" customHeight="1" x14ac:dyDescent="0.2">
      <c r="K7629" s="17"/>
    </row>
    <row r="7630" spans="1:11" ht="14.45" customHeight="1" x14ac:dyDescent="0.2">
      <c r="K7630" s="17"/>
    </row>
    <row r="7631" spans="1:11" ht="14.45" customHeight="1" x14ac:dyDescent="0.2">
      <c r="K7631" s="17"/>
    </row>
    <row r="7632" spans="1:11" ht="14.45" customHeight="1" x14ac:dyDescent="0.2">
      <c r="K7632" s="17"/>
    </row>
    <row r="7633" spans="1:11" ht="14.45" customHeight="1" x14ac:dyDescent="0.2">
      <c r="K7633" s="17"/>
    </row>
    <row r="7634" spans="1:11" ht="14.45" customHeight="1" x14ac:dyDescent="0.2">
      <c r="K7634" s="17"/>
    </row>
    <row r="7636" spans="1:11" s="17" customFormat="1" ht="14.45" customHeight="1" x14ac:dyDescent="0.2">
      <c r="A7636"/>
      <c r="B7636"/>
      <c r="C7636"/>
      <c r="D7636"/>
      <c r="E7636"/>
      <c r="F7636"/>
      <c r="G7636"/>
      <c r="H7636"/>
      <c r="I7636"/>
      <c r="J7636"/>
    </row>
    <row r="7637" spans="1:11" s="92" customFormat="1" ht="14.45" customHeight="1" x14ac:dyDescent="0.2">
      <c r="A7637"/>
      <c r="B7637"/>
      <c r="C7637"/>
      <c r="D7637"/>
      <c r="E7637"/>
      <c r="F7637"/>
      <c r="G7637"/>
      <c r="H7637"/>
      <c r="I7637"/>
      <c r="J7637"/>
      <c r="K7637" s="19"/>
    </row>
    <row r="7642" spans="1:11" ht="14.45" customHeight="1" x14ac:dyDescent="0.2">
      <c r="K7642" s="57"/>
    </row>
    <row r="7643" spans="1:11" ht="14.45" customHeight="1" x14ac:dyDescent="0.2">
      <c r="K7643" s="58"/>
    </row>
    <row r="7644" spans="1:11" ht="14.45" customHeight="1" x14ac:dyDescent="0.2">
      <c r="K7644" s="58"/>
    </row>
    <row r="7646" spans="1:11" ht="14.45" customHeight="1" x14ac:dyDescent="0.2">
      <c r="K7646" s="61"/>
    </row>
    <row r="7647" spans="1:11" ht="14.45" customHeight="1" x14ac:dyDescent="0.2">
      <c r="K7647" s="61"/>
    </row>
    <row r="7648" spans="1:11" s="59" customFormat="1" ht="14.45" customHeight="1" x14ac:dyDescent="0.25">
      <c r="A7648"/>
      <c r="B7648"/>
      <c r="C7648"/>
      <c r="D7648"/>
      <c r="E7648"/>
      <c r="F7648"/>
      <c r="G7648"/>
      <c r="H7648"/>
      <c r="I7648"/>
      <c r="J7648"/>
    </row>
    <row r="7649" spans="1:11" s="59" customFormat="1" ht="14.45" customHeight="1" x14ac:dyDescent="0.25">
      <c r="A7649"/>
      <c r="B7649"/>
      <c r="C7649"/>
      <c r="D7649"/>
      <c r="E7649"/>
      <c r="F7649"/>
      <c r="G7649"/>
      <c r="H7649"/>
      <c r="I7649"/>
      <c r="J7649"/>
    </row>
    <row r="7651" spans="1:11" ht="14.45" customHeight="1" x14ac:dyDescent="0.2">
      <c r="K7651" s="68"/>
    </row>
    <row r="7652" spans="1:11" ht="14.45" customHeight="1" x14ac:dyDescent="0.2">
      <c r="K7652" s="68"/>
    </row>
    <row r="7653" spans="1:11" ht="14.45" customHeight="1" x14ac:dyDescent="0.2">
      <c r="K7653" s="68"/>
    </row>
    <row r="7654" spans="1:11" ht="14.45" customHeight="1" x14ac:dyDescent="0.2">
      <c r="K7654" s="17"/>
    </row>
    <row r="7655" spans="1:11" ht="14.45" customHeight="1" x14ac:dyDescent="0.2">
      <c r="K7655" s="17"/>
    </row>
    <row r="7656" spans="1:11" ht="14.45" customHeight="1" x14ac:dyDescent="0.2">
      <c r="K7656" s="17"/>
    </row>
    <row r="7657" spans="1:11" ht="14.45" customHeight="1" x14ac:dyDescent="0.2">
      <c r="K7657" s="17"/>
    </row>
    <row r="7658" spans="1:11" ht="14.45" customHeight="1" x14ac:dyDescent="0.2">
      <c r="K7658" s="17"/>
    </row>
    <row r="7659" spans="1:11" ht="14.45" customHeight="1" x14ac:dyDescent="0.2">
      <c r="K7659" s="17"/>
    </row>
    <row r="7660" spans="1:11" ht="14.45" customHeight="1" x14ac:dyDescent="0.2">
      <c r="K7660" s="17"/>
    </row>
    <row r="7661" spans="1:11" ht="14.45" customHeight="1" x14ac:dyDescent="0.2">
      <c r="K7661" s="17"/>
    </row>
    <row r="7663" spans="1:11" s="17" customFormat="1" ht="14.45" customHeight="1" x14ac:dyDescent="0.2">
      <c r="A7663"/>
      <c r="B7663"/>
      <c r="C7663"/>
      <c r="D7663"/>
      <c r="E7663"/>
      <c r="F7663"/>
      <c r="G7663"/>
      <c r="H7663"/>
      <c r="I7663"/>
      <c r="J7663"/>
    </row>
    <row r="7664" spans="1:11" s="92" customFormat="1" ht="14.45" customHeight="1" x14ac:dyDescent="0.2">
      <c r="A7664"/>
      <c r="B7664"/>
      <c r="C7664"/>
      <c r="D7664"/>
      <c r="E7664"/>
      <c r="F7664"/>
      <c r="G7664"/>
      <c r="H7664"/>
      <c r="I7664"/>
      <c r="J7664"/>
      <c r="K7664" s="19"/>
    </row>
    <row r="7669" spans="1:11" ht="14.45" customHeight="1" x14ac:dyDescent="0.2">
      <c r="K7669" s="57"/>
    </row>
    <row r="7670" spans="1:11" ht="14.45" customHeight="1" x14ac:dyDescent="0.2">
      <c r="K7670" s="58"/>
    </row>
    <row r="7671" spans="1:11" ht="14.45" customHeight="1" x14ac:dyDescent="0.2">
      <c r="K7671" s="58"/>
    </row>
    <row r="7673" spans="1:11" ht="14.45" customHeight="1" x14ac:dyDescent="0.2">
      <c r="K7673" s="61"/>
    </row>
    <row r="7674" spans="1:11" ht="14.45" customHeight="1" x14ac:dyDescent="0.2">
      <c r="K7674" s="61"/>
    </row>
    <row r="7675" spans="1:11" s="59" customFormat="1" ht="14.45" customHeight="1" x14ac:dyDescent="0.25">
      <c r="A7675"/>
      <c r="B7675"/>
      <c r="C7675"/>
      <c r="D7675"/>
      <c r="E7675"/>
      <c r="F7675"/>
      <c r="G7675"/>
      <c r="H7675"/>
      <c r="I7675"/>
      <c r="J7675"/>
    </row>
    <row r="7676" spans="1:11" s="59" customFormat="1" ht="14.45" customHeight="1" x14ac:dyDescent="0.25">
      <c r="A7676"/>
      <c r="B7676"/>
      <c r="C7676"/>
      <c r="D7676"/>
      <c r="E7676"/>
      <c r="F7676"/>
      <c r="G7676"/>
      <c r="H7676"/>
      <c r="I7676"/>
      <c r="J7676"/>
    </row>
    <row r="7678" spans="1:11" ht="14.45" customHeight="1" x14ac:dyDescent="0.2">
      <c r="K7678" s="68"/>
    </row>
    <row r="7679" spans="1:11" ht="14.45" customHeight="1" x14ac:dyDescent="0.2">
      <c r="K7679" s="68"/>
    </row>
    <row r="7680" spans="1:11" ht="14.45" customHeight="1" x14ac:dyDescent="0.2">
      <c r="K7680" s="68"/>
    </row>
    <row r="7681" spans="1:11" ht="14.45" customHeight="1" x14ac:dyDescent="0.2">
      <c r="K7681" s="17"/>
    </row>
    <row r="7682" spans="1:11" ht="14.45" customHeight="1" x14ac:dyDescent="0.2">
      <c r="K7682" s="17"/>
    </row>
    <row r="7683" spans="1:11" ht="14.45" customHeight="1" x14ac:dyDescent="0.2">
      <c r="K7683" s="17"/>
    </row>
    <row r="7684" spans="1:11" ht="14.45" customHeight="1" x14ac:dyDescent="0.2">
      <c r="K7684" s="17"/>
    </row>
    <row r="7685" spans="1:11" ht="14.45" customHeight="1" x14ac:dyDescent="0.2">
      <c r="K7685" s="17"/>
    </row>
    <row r="7686" spans="1:11" ht="14.45" customHeight="1" x14ac:dyDescent="0.2">
      <c r="K7686" s="17"/>
    </row>
    <row r="7687" spans="1:11" ht="14.45" customHeight="1" x14ac:dyDescent="0.2">
      <c r="K7687" s="17"/>
    </row>
    <row r="7688" spans="1:11" ht="14.45" customHeight="1" x14ac:dyDescent="0.2">
      <c r="K7688" s="17"/>
    </row>
    <row r="7690" spans="1:11" s="17" customFormat="1" ht="14.45" customHeight="1" x14ac:dyDescent="0.2">
      <c r="A7690"/>
      <c r="B7690"/>
      <c r="C7690"/>
      <c r="D7690"/>
      <c r="E7690"/>
      <c r="F7690"/>
      <c r="G7690"/>
      <c r="H7690"/>
      <c r="I7690"/>
      <c r="J7690"/>
    </row>
    <row r="7691" spans="1:11" s="92" customFormat="1" ht="14.45" customHeight="1" x14ac:dyDescent="0.2">
      <c r="A7691"/>
      <c r="B7691"/>
      <c r="C7691"/>
      <c r="D7691"/>
      <c r="E7691"/>
      <c r="F7691"/>
      <c r="G7691"/>
      <c r="H7691"/>
      <c r="I7691"/>
      <c r="J7691"/>
      <c r="K7691" s="19"/>
    </row>
    <row r="7696" spans="1:11" ht="14.45" customHeight="1" x14ac:dyDescent="0.2">
      <c r="K7696" s="57"/>
    </row>
    <row r="7697" spans="1:11" ht="14.45" customHeight="1" x14ac:dyDescent="0.2">
      <c r="K7697" s="58"/>
    </row>
    <row r="7698" spans="1:11" ht="14.45" customHeight="1" x14ac:dyDescent="0.2">
      <c r="K7698" s="58"/>
    </row>
    <row r="7700" spans="1:11" ht="14.45" customHeight="1" x14ac:dyDescent="0.2">
      <c r="K7700" s="61"/>
    </row>
    <row r="7701" spans="1:11" ht="14.45" customHeight="1" x14ac:dyDescent="0.2">
      <c r="K7701" s="61"/>
    </row>
    <row r="7702" spans="1:11" s="59" customFormat="1" ht="14.45" customHeight="1" x14ac:dyDescent="0.25">
      <c r="A7702"/>
      <c r="B7702"/>
      <c r="C7702"/>
      <c r="D7702"/>
      <c r="E7702"/>
      <c r="F7702"/>
      <c r="G7702"/>
      <c r="H7702"/>
      <c r="I7702"/>
      <c r="J7702"/>
    </row>
    <row r="7703" spans="1:11" s="59" customFormat="1" ht="14.45" customHeight="1" x14ac:dyDescent="0.25">
      <c r="A7703"/>
      <c r="B7703"/>
      <c r="C7703"/>
      <c r="D7703"/>
      <c r="E7703"/>
      <c r="F7703"/>
      <c r="G7703"/>
      <c r="H7703"/>
      <c r="I7703"/>
      <c r="J7703"/>
    </row>
    <row r="7705" spans="1:11" ht="14.45" customHeight="1" x14ac:dyDescent="0.2">
      <c r="K7705" s="68"/>
    </row>
    <row r="7706" spans="1:11" ht="14.45" customHeight="1" x14ac:dyDescent="0.2">
      <c r="K7706" s="68"/>
    </row>
    <row r="7707" spans="1:11" ht="14.45" customHeight="1" x14ac:dyDescent="0.2">
      <c r="K7707" s="68"/>
    </row>
    <row r="7708" spans="1:11" ht="14.45" customHeight="1" x14ac:dyDescent="0.2">
      <c r="K7708" s="17"/>
    </row>
    <row r="7709" spans="1:11" ht="14.45" customHeight="1" x14ac:dyDescent="0.2">
      <c r="K7709" s="17"/>
    </row>
    <row r="7710" spans="1:11" ht="14.45" customHeight="1" x14ac:dyDescent="0.2">
      <c r="K7710" s="17"/>
    </row>
    <row r="7711" spans="1:11" ht="14.45" customHeight="1" x14ac:dyDescent="0.2">
      <c r="K7711" s="17"/>
    </row>
    <row r="7712" spans="1:11" ht="14.45" customHeight="1" x14ac:dyDescent="0.2">
      <c r="K7712" s="17"/>
    </row>
    <row r="7713" spans="1:11" ht="14.45" customHeight="1" x14ac:dyDescent="0.2">
      <c r="K7713" s="17"/>
    </row>
    <row r="7714" spans="1:11" ht="14.45" customHeight="1" x14ac:dyDescent="0.2">
      <c r="K7714" s="17"/>
    </row>
    <row r="7715" spans="1:11" ht="14.45" customHeight="1" x14ac:dyDescent="0.2">
      <c r="K7715" s="17"/>
    </row>
    <row r="7717" spans="1:11" s="17" customFormat="1" ht="14.45" customHeight="1" x14ac:dyDescent="0.2">
      <c r="A7717"/>
      <c r="B7717"/>
      <c r="C7717"/>
      <c r="D7717"/>
      <c r="E7717"/>
      <c r="F7717"/>
      <c r="G7717"/>
      <c r="H7717"/>
      <c r="I7717"/>
      <c r="J7717"/>
    </row>
    <row r="7718" spans="1:11" s="92" customFormat="1" ht="14.45" customHeight="1" x14ac:dyDescent="0.2">
      <c r="A7718"/>
      <c r="B7718"/>
      <c r="C7718"/>
      <c r="D7718"/>
      <c r="E7718"/>
      <c r="F7718"/>
      <c r="G7718"/>
      <c r="H7718"/>
      <c r="I7718"/>
      <c r="J7718"/>
      <c r="K7718" s="19"/>
    </row>
    <row r="7723" spans="1:11" ht="14.45" customHeight="1" x14ac:dyDescent="0.2">
      <c r="K7723" s="57"/>
    </row>
    <row r="7724" spans="1:11" ht="14.45" customHeight="1" x14ac:dyDescent="0.2">
      <c r="K7724" s="58"/>
    </row>
    <row r="7725" spans="1:11" ht="14.45" customHeight="1" x14ac:dyDescent="0.2">
      <c r="K7725" s="58"/>
    </row>
    <row r="7727" spans="1:11" ht="14.45" customHeight="1" x14ac:dyDescent="0.2">
      <c r="K7727" s="61"/>
    </row>
    <row r="7728" spans="1:11" ht="14.45" customHeight="1" x14ac:dyDescent="0.2">
      <c r="K7728" s="61"/>
    </row>
    <row r="7729" spans="1:11" s="59" customFormat="1" ht="14.45" customHeight="1" x14ac:dyDescent="0.25">
      <c r="A7729"/>
      <c r="B7729"/>
      <c r="C7729"/>
      <c r="D7729"/>
      <c r="E7729"/>
      <c r="F7729"/>
      <c r="G7729"/>
      <c r="H7729"/>
      <c r="I7729"/>
      <c r="J7729"/>
    </row>
    <row r="7730" spans="1:11" s="59" customFormat="1" ht="14.45" customHeight="1" x14ac:dyDescent="0.25">
      <c r="A7730"/>
      <c r="B7730"/>
      <c r="C7730"/>
      <c r="D7730"/>
      <c r="E7730"/>
      <c r="F7730"/>
      <c r="G7730"/>
      <c r="H7730"/>
      <c r="I7730"/>
      <c r="J7730"/>
    </row>
    <row r="7732" spans="1:11" ht="14.45" customHeight="1" x14ac:dyDescent="0.2">
      <c r="K7732" s="68"/>
    </row>
    <row r="7733" spans="1:11" ht="14.45" customHeight="1" x14ac:dyDescent="0.2">
      <c r="K7733" s="68"/>
    </row>
    <row r="7734" spans="1:11" ht="14.45" customHeight="1" x14ac:dyDescent="0.2">
      <c r="K7734" s="68"/>
    </row>
    <row r="7735" spans="1:11" ht="14.45" customHeight="1" x14ac:dyDescent="0.2">
      <c r="K7735" s="17"/>
    </row>
    <row r="7736" spans="1:11" ht="14.45" customHeight="1" x14ac:dyDescent="0.2">
      <c r="K7736" s="17"/>
    </row>
    <row r="7737" spans="1:11" ht="14.45" customHeight="1" x14ac:dyDescent="0.2">
      <c r="K7737" s="17"/>
    </row>
    <row r="7738" spans="1:11" ht="14.45" customHeight="1" x14ac:dyDescent="0.2">
      <c r="K7738" s="17"/>
    </row>
    <row r="7739" spans="1:11" ht="14.45" customHeight="1" x14ac:dyDescent="0.2">
      <c r="K7739" s="17"/>
    </row>
    <row r="7740" spans="1:11" ht="14.45" customHeight="1" x14ac:dyDescent="0.2">
      <c r="K7740" s="17"/>
    </row>
    <row r="7741" spans="1:11" ht="14.45" customHeight="1" x14ac:dyDescent="0.2">
      <c r="K7741" s="17"/>
    </row>
    <row r="7742" spans="1:11" ht="14.45" customHeight="1" x14ac:dyDescent="0.2">
      <c r="K7742" s="17"/>
    </row>
    <row r="7744" spans="1:11" s="17" customFormat="1" ht="14.45" customHeight="1" x14ac:dyDescent="0.2">
      <c r="A7744"/>
      <c r="B7744"/>
      <c r="C7744"/>
      <c r="D7744"/>
      <c r="E7744"/>
      <c r="F7744"/>
      <c r="G7744"/>
      <c r="H7744"/>
      <c r="I7744"/>
      <c r="J7744"/>
    </row>
    <row r="7745" spans="1:11" s="92" customFormat="1" ht="14.45" customHeight="1" x14ac:dyDescent="0.2">
      <c r="A7745"/>
      <c r="B7745"/>
      <c r="C7745"/>
      <c r="D7745"/>
      <c r="E7745"/>
      <c r="F7745"/>
      <c r="G7745"/>
      <c r="H7745"/>
      <c r="I7745"/>
      <c r="J7745"/>
      <c r="K7745" s="19"/>
    </row>
    <row r="7750" spans="1:11" ht="14.45" customHeight="1" x14ac:dyDescent="0.2">
      <c r="K7750" s="57"/>
    </row>
    <row r="7751" spans="1:11" ht="14.45" customHeight="1" x14ac:dyDescent="0.2">
      <c r="K7751" s="58"/>
    </row>
    <row r="7752" spans="1:11" ht="14.45" customHeight="1" x14ac:dyDescent="0.2">
      <c r="K7752" s="58"/>
    </row>
    <row r="7754" spans="1:11" ht="14.45" customHeight="1" x14ac:dyDescent="0.2">
      <c r="K7754" s="61"/>
    </row>
    <row r="7755" spans="1:11" ht="14.45" customHeight="1" x14ac:dyDescent="0.2">
      <c r="K7755" s="61"/>
    </row>
    <row r="7756" spans="1:11" s="59" customFormat="1" ht="14.45" customHeight="1" x14ac:dyDescent="0.25">
      <c r="A7756"/>
      <c r="B7756"/>
      <c r="C7756"/>
      <c r="D7756"/>
      <c r="E7756"/>
      <c r="F7756"/>
      <c r="G7756"/>
      <c r="H7756"/>
      <c r="I7756"/>
      <c r="J7756"/>
    </row>
    <row r="7757" spans="1:11" s="59" customFormat="1" ht="14.45" customHeight="1" x14ac:dyDescent="0.25">
      <c r="A7757"/>
      <c r="B7757"/>
      <c r="C7757"/>
      <c r="D7757"/>
      <c r="E7757"/>
      <c r="F7757"/>
      <c r="G7757"/>
      <c r="H7757"/>
      <c r="I7757"/>
      <c r="J7757"/>
    </row>
    <row r="7759" spans="1:11" ht="14.45" customHeight="1" x14ac:dyDescent="0.2">
      <c r="K7759" s="68"/>
    </row>
    <row r="7760" spans="1:11" ht="14.45" customHeight="1" x14ac:dyDescent="0.2">
      <c r="K7760" s="68"/>
    </row>
    <row r="7761" spans="1:11" ht="14.45" customHeight="1" x14ac:dyDescent="0.2">
      <c r="K7761" s="68"/>
    </row>
    <row r="7762" spans="1:11" ht="14.45" customHeight="1" x14ac:dyDescent="0.2">
      <c r="K7762" s="17"/>
    </row>
    <row r="7763" spans="1:11" ht="14.45" customHeight="1" x14ac:dyDescent="0.2">
      <c r="K7763" s="17"/>
    </row>
    <row r="7764" spans="1:11" ht="14.45" customHeight="1" x14ac:dyDescent="0.2">
      <c r="K7764" s="17"/>
    </row>
    <row r="7765" spans="1:11" ht="14.45" customHeight="1" x14ac:dyDescent="0.2">
      <c r="K7765" s="17"/>
    </row>
    <row r="7766" spans="1:11" ht="14.45" customHeight="1" x14ac:dyDescent="0.2">
      <c r="K7766" s="17"/>
    </row>
    <row r="7767" spans="1:11" ht="14.45" customHeight="1" x14ac:dyDescent="0.2">
      <c r="K7767" s="17"/>
    </row>
    <row r="7768" spans="1:11" ht="14.45" customHeight="1" x14ac:dyDescent="0.2">
      <c r="K7768" s="17"/>
    </row>
    <row r="7769" spans="1:11" ht="14.45" customHeight="1" x14ac:dyDescent="0.2">
      <c r="K7769" s="17"/>
    </row>
    <row r="7771" spans="1:11" s="17" customFormat="1" ht="14.45" customHeight="1" x14ac:dyDescent="0.2">
      <c r="A7771"/>
      <c r="B7771"/>
      <c r="C7771"/>
      <c r="D7771"/>
      <c r="E7771"/>
      <c r="F7771"/>
      <c r="G7771"/>
      <c r="H7771"/>
      <c r="I7771"/>
      <c r="J7771"/>
    </row>
    <row r="7772" spans="1:11" s="92" customFormat="1" ht="14.45" customHeight="1" x14ac:dyDescent="0.2">
      <c r="A7772"/>
      <c r="B7772"/>
      <c r="C7772"/>
      <c r="D7772"/>
      <c r="E7772"/>
      <c r="F7772"/>
      <c r="G7772"/>
      <c r="H7772"/>
      <c r="I7772"/>
      <c r="J7772"/>
      <c r="K7772" s="19"/>
    </row>
    <row r="7777" spans="1:11" ht="14.45" customHeight="1" x14ac:dyDescent="0.2">
      <c r="K7777" s="57"/>
    </row>
    <row r="7778" spans="1:11" ht="14.45" customHeight="1" x14ac:dyDescent="0.2">
      <c r="K7778" s="58"/>
    </row>
    <row r="7779" spans="1:11" ht="14.45" customHeight="1" x14ac:dyDescent="0.2">
      <c r="K7779" s="58"/>
    </row>
    <row r="7781" spans="1:11" ht="14.45" customHeight="1" x14ac:dyDescent="0.2">
      <c r="K7781" s="61"/>
    </row>
    <row r="7782" spans="1:11" ht="14.45" customHeight="1" x14ac:dyDescent="0.2">
      <c r="K7782" s="61"/>
    </row>
    <row r="7783" spans="1:11" s="59" customFormat="1" ht="14.45" customHeight="1" x14ac:dyDescent="0.25">
      <c r="A7783"/>
      <c r="B7783"/>
      <c r="C7783"/>
      <c r="D7783"/>
      <c r="E7783"/>
      <c r="F7783"/>
      <c r="G7783"/>
      <c r="H7783"/>
      <c r="I7783"/>
      <c r="J7783"/>
    </row>
    <row r="7784" spans="1:11" s="59" customFormat="1" ht="14.45" customHeight="1" x14ac:dyDescent="0.25">
      <c r="A7784"/>
      <c r="B7784"/>
      <c r="C7784"/>
      <c r="D7784"/>
      <c r="E7784"/>
      <c r="F7784"/>
      <c r="G7784"/>
      <c r="H7784"/>
      <c r="I7784"/>
      <c r="J7784"/>
    </row>
    <row r="7786" spans="1:11" ht="14.45" customHeight="1" x14ac:dyDescent="0.2">
      <c r="K7786" s="68"/>
    </row>
    <row r="7787" spans="1:11" ht="14.45" customHeight="1" x14ac:dyDescent="0.2">
      <c r="K7787" s="68"/>
    </row>
    <row r="7788" spans="1:11" ht="14.45" customHeight="1" x14ac:dyDescent="0.2">
      <c r="K7788" s="68"/>
    </row>
    <row r="7789" spans="1:11" ht="14.45" customHeight="1" x14ac:dyDescent="0.2">
      <c r="K7789" s="17"/>
    </row>
    <row r="7790" spans="1:11" ht="14.45" customHeight="1" x14ac:dyDescent="0.2">
      <c r="K7790" s="17"/>
    </row>
    <row r="7791" spans="1:11" ht="14.45" customHeight="1" x14ac:dyDescent="0.2">
      <c r="K7791" s="17"/>
    </row>
    <row r="7792" spans="1:11" ht="14.45" customHeight="1" x14ac:dyDescent="0.2">
      <c r="K7792" s="17"/>
    </row>
    <row r="7793" spans="1:11" ht="14.45" customHeight="1" x14ac:dyDescent="0.2">
      <c r="K7793" s="17"/>
    </row>
    <row r="7794" spans="1:11" ht="14.45" customHeight="1" x14ac:dyDescent="0.2">
      <c r="K7794" s="17"/>
    </row>
    <row r="7795" spans="1:11" ht="14.45" customHeight="1" x14ac:dyDescent="0.2">
      <c r="K7795" s="17"/>
    </row>
    <row r="7796" spans="1:11" ht="14.45" customHeight="1" x14ac:dyDescent="0.2">
      <c r="K7796" s="17"/>
    </row>
    <row r="7798" spans="1:11" s="17" customFormat="1" ht="14.45" customHeight="1" x14ac:dyDescent="0.2">
      <c r="A7798"/>
      <c r="B7798"/>
      <c r="C7798"/>
      <c r="D7798"/>
      <c r="E7798"/>
      <c r="F7798"/>
      <c r="G7798"/>
      <c r="H7798"/>
      <c r="I7798"/>
      <c r="J7798"/>
    </row>
    <row r="7799" spans="1:11" s="92" customFormat="1" ht="14.45" customHeight="1" x14ac:dyDescent="0.2">
      <c r="A7799"/>
      <c r="B7799"/>
      <c r="C7799"/>
      <c r="D7799"/>
      <c r="E7799"/>
      <c r="F7799"/>
      <c r="G7799"/>
      <c r="H7799"/>
      <c r="I7799"/>
      <c r="J7799"/>
      <c r="K7799" s="19"/>
    </row>
    <row r="7804" spans="1:11" ht="14.45" customHeight="1" x14ac:dyDescent="0.2">
      <c r="K7804" s="57"/>
    </row>
    <row r="7805" spans="1:11" ht="14.45" customHeight="1" x14ac:dyDescent="0.2">
      <c r="K7805" s="58"/>
    </row>
    <row r="7806" spans="1:11" ht="14.45" customHeight="1" x14ac:dyDescent="0.2">
      <c r="K7806" s="58"/>
    </row>
    <row r="7808" spans="1:11" ht="14.45" customHeight="1" x14ac:dyDescent="0.2">
      <c r="K7808" s="61"/>
    </row>
    <row r="7809" spans="1:11" ht="14.45" customHeight="1" x14ac:dyDescent="0.2">
      <c r="K7809" s="61"/>
    </row>
    <row r="7810" spans="1:11" s="59" customFormat="1" ht="14.45" customHeight="1" x14ac:dyDescent="0.25">
      <c r="A7810"/>
      <c r="B7810"/>
      <c r="C7810"/>
      <c r="D7810"/>
      <c r="E7810"/>
      <c r="F7810"/>
      <c r="G7810"/>
      <c r="H7810"/>
      <c r="I7810"/>
      <c r="J7810"/>
    </row>
    <row r="7811" spans="1:11" s="59" customFormat="1" ht="14.45" customHeight="1" x14ac:dyDescent="0.25">
      <c r="A7811"/>
      <c r="B7811"/>
      <c r="C7811"/>
      <c r="D7811"/>
      <c r="E7811"/>
      <c r="F7811"/>
      <c r="G7811"/>
      <c r="H7811"/>
      <c r="I7811"/>
      <c r="J7811"/>
    </row>
    <row r="7813" spans="1:11" ht="14.45" customHeight="1" x14ac:dyDescent="0.2">
      <c r="K7813" s="68"/>
    </row>
    <row r="7814" spans="1:11" ht="14.45" customHeight="1" x14ac:dyDescent="0.2">
      <c r="K7814" s="68"/>
    </row>
    <row r="7815" spans="1:11" ht="14.45" customHeight="1" x14ac:dyDescent="0.2">
      <c r="K7815" s="68"/>
    </row>
    <row r="7816" spans="1:11" ht="14.45" customHeight="1" x14ac:dyDescent="0.2">
      <c r="K7816" s="17"/>
    </row>
    <row r="7817" spans="1:11" ht="14.45" customHeight="1" x14ac:dyDescent="0.2">
      <c r="K7817" s="17"/>
    </row>
    <row r="7818" spans="1:11" ht="14.45" customHeight="1" x14ac:dyDescent="0.2">
      <c r="K7818" s="17"/>
    </row>
    <row r="7819" spans="1:11" ht="14.45" customHeight="1" x14ac:dyDescent="0.2">
      <c r="K7819" s="17"/>
    </row>
    <row r="7820" spans="1:11" ht="14.45" customHeight="1" x14ac:dyDescent="0.2">
      <c r="K7820" s="17"/>
    </row>
    <row r="7821" spans="1:11" ht="14.45" customHeight="1" x14ac:dyDescent="0.2">
      <c r="K7821" s="17"/>
    </row>
    <row r="7822" spans="1:11" ht="14.45" customHeight="1" x14ac:dyDescent="0.2">
      <c r="K7822" s="17"/>
    </row>
    <row r="7823" spans="1:11" ht="14.45" customHeight="1" x14ac:dyDescent="0.2">
      <c r="K7823" s="17"/>
    </row>
    <row r="7825" spans="1:11" s="17" customFormat="1" ht="14.45" customHeight="1" x14ac:dyDescent="0.2">
      <c r="A7825"/>
      <c r="B7825"/>
      <c r="C7825"/>
      <c r="D7825"/>
      <c r="E7825"/>
      <c r="F7825"/>
      <c r="G7825"/>
      <c r="H7825"/>
      <c r="I7825"/>
      <c r="J7825"/>
    </row>
    <row r="7826" spans="1:11" s="92" customFormat="1" ht="14.45" customHeight="1" x14ac:dyDescent="0.2">
      <c r="A7826"/>
      <c r="B7826"/>
      <c r="C7826"/>
      <c r="D7826"/>
      <c r="E7826"/>
      <c r="F7826"/>
      <c r="G7826"/>
      <c r="H7826"/>
      <c r="I7826"/>
      <c r="J7826"/>
      <c r="K7826" s="19"/>
    </row>
    <row r="7831" spans="1:11" ht="14.45" customHeight="1" x14ac:dyDescent="0.2">
      <c r="K7831" s="57"/>
    </row>
    <row r="7832" spans="1:11" ht="14.45" customHeight="1" x14ac:dyDescent="0.2">
      <c r="K7832" s="58"/>
    </row>
    <row r="7833" spans="1:11" ht="14.45" customHeight="1" x14ac:dyDescent="0.2">
      <c r="K7833" s="58"/>
    </row>
    <row r="7835" spans="1:11" ht="14.45" customHeight="1" x14ac:dyDescent="0.2">
      <c r="K7835" s="61"/>
    </row>
    <row r="7836" spans="1:11" ht="14.45" customHeight="1" x14ac:dyDescent="0.2">
      <c r="K7836" s="61"/>
    </row>
    <row r="7837" spans="1:11" s="59" customFormat="1" ht="14.45" customHeight="1" x14ac:dyDescent="0.25">
      <c r="A7837"/>
      <c r="B7837"/>
      <c r="C7837"/>
      <c r="D7837"/>
      <c r="E7837"/>
      <c r="F7837"/>
      <c r="G7837"/>
      <c r="H7837"/>
      <c r="I7837"/>
      <c r="J7837"/>
    </row>
    <row r="7838" spans="1:11" s="59" customFormat="1" ht="14.45" customHeight="1" x14ac:dyDescent="0.25">
      <c r="A7838"/>
      <c r="B7838"/>
      <c r="C7838"/>
      <c r="D7838"/>
      <c r="E7838"/>
      <c r="F7838"/>
      <c r="G7838"/>
      <c r="H7838"/>
      <c r="I7838"/>
      <c r="J7838"/>
    </row>
    <row r="7840" spans="1:11" ht="14.45" customHeight="1" x14ac:dyDescent="0.2">
      <c r="K7840" s="68"/>
    </row>
    <row r="7841" spans="1:11" ht="14.45" customHeight="1" x14ac:dyDescent="0.2">
      <c r="K7841" s="68"/>
    </row>
    <row r="7842" spans="1:11" ht="14.45" customHeight="1" x14ac:dyDescent="0.2">
      <c r="K7842" s="68"/>
    </row>
    <row r="7843" spans="1:11" ht="14.45" customHeight="1" x14ac:dyDescent="0.2">
      <c r="K7843" s="17"/>
    </row>
    <row r="7844" spans="1:11" ht="14.45" customHeight="1" x14ac:dyDescent="0.2">
      <c r="K7844" s="17"/>
    </row>
    <row r="7845" spans="1:11" ht="14.45" customHeight="1" x14ac:dyDescent="0.2">
      <c r="K7845" s="17"/>
    </row>
    <row r="7846" spans="1:11" ht="14.45" customHeight="1" x14ac:dyDescent="0.2">
      <c r="K7846" s="17"/>
    </row>
    <row r="7847" spans="1:11" ht="14.45" customHeight="1" x14ac:dyDescent="0.2">
      <c r="K7847" s="17"/>
    </row>
    <row r="7848" spans="1:11" ht="14.45" customHeight="1" x14ac:dyDescent="0.2">
      <c r="K7848" s="17"/>
    </row>
    <row r="7849" spans="1:11" ht="14.45" customHeight="1" x14ac:dyDescent="0.2">
      <c r="K7849" s="17"/>
    </row>
    <row r="7850" spans="1:11" ht="14.45" customHeight="1" x14ac:dyDescent="0.2">
      <c r="K7850" s="17"/>
    </row>
    <row r="7852" spans="1:11" s="17" customFormat="1" ht="14.45" customHeight="1" x14ac:dyDescent="0.2">
      <c r="A7852"/>
      <c r="B7852"/>
      <c r="C7852"/>
      <c r="D7852"/>
      <c r="E7852"/>
      <c r="F7852"/>
      <c r="G7852"/>
      <c r="H7852"/>
      <c r="I7852"/>
      <c r="J7852"/>
    </row>
    <row r="7853" spans="1:11" s="92" customFormat="1" ht="14.45" customHeight="1" x14ac:dyDescent="0.2">
      <c r="A7853"/>
      <c r="B7853"/>
      <c r="C7853"/>
      <c r="D7853"/>
      <c r="E7853"/>
      <c r="F7853"/>
      <c r="G7853"/>
      <c r="H7853"/>
      <c r="I7853"/>
      <c r="J7853"/>
      <c r="K7853" s="19"/>
    </row>
    <row r="7858" spans="1:11" ht="14.45" customHeight="1" x14ac:dyDescent="0.2">
      <c r="K7858" s="57"/>
    </row>
    <row r="7859" spans="1:11" ht="14.45" customHeight="1" x14ac:dyDescent="0.2">
      <c r="K7859" s="58"/>
    </row>
    <row r="7860" spans="1:11" ht="14.45" customHeight="1" x14ac:dyDescent="0.2">
      <c r="K7860" s="58"/>
    </row>
    <row r="7862" spans="1:11" ht="14.45" customHeight="1" x14ac:dyDescent="0.2">
      <c r="K7862" s="61"/>
    </row>
    <row r="7863" spans="1:11" ht="14.45" customHeight="1" x14ac:dyDescent="0.2">
      <c r="K7863" s="61"/>
    </row>
    <row r="7864" spans="1:11" s="59" customFormat="1" ht="14.45" customHeight="1" x14ac:dyDescent="0.25">
      <c r="A7864"/>
      <c r="B7864"/>
      <c r="C7864"/>
      <c r="D7864"/>
      <c r="E7864"/>
      <c r="F7864"/>
      <c r="G7864"/>
      <c r="H7864"/>
      <c r="I7864"/>
      <c r="J7864"/>
    </row>
    <row r="7865" spans="1:11" s="59" customFormat="1" ht="14.45" customHeight="1" x14ac:dyDescent="0.25">
      <c r="A7865"/>
      <c r="B7865"/>
      <c r="C7865"/>
      <c r="D7865"/>
      <c r="E7865"/>
      <c r="F7865"/>
      <c r="G7865"/>
      <c r="H7865"/>
      <c r="I7865"/>
      <c r="J7865"/>
    </row>
    <row r="7867" spans="1:11" ht="14.45" customHeight="1" x14ac:dyDescent="0.2">
      <c r="K7867" s="68"/>
    </row>
    <row r="7868" spans="1:11" ht="14.45" customHeight="1" x14ac:dyDescent="0.2">
      <c r="K7868" s="68"/>
    </row>
    <row r="7869" spans="1:11" ht="14.45" customHeight="1" x14ac:dyDescent="0.2">
      <c r="K7869" s="68"/>
    </row>
    <row r="7870" spans="1:11" ht="14.45" customHeight="1" x14ac:dyDescent="0.2">
      <c r="K7870" s="17"/>
    </row>
    <row r="7871" spans="1:11" ht="14.45" customHeight="1" x14ac:dyDescent="0.2">
      <c r="K7871" s="17"/>
    </row>
    <row r="7872" spans="1:11" ht="14.45" customHeight="1" x14ac:dyDescent="0.2">
      <c r="K7872" s="17"/>
    </row>
    <row r="7873" spans="1:11" ht="14.45" customHeight="1" x14ac:dyDescent="0.2">
      <c r="K7873" s="17"/>
    </row>
    <row r="7874" spans="1:11" ht="14.45" customHeight="1" x14ac:dyDescent="0.2">
      <c r="K7874" s="17"/>
    </row>
    <row r="7875" spans="1:11" ht="14.45" customHeight="1" x14ac:dyDescent="0.2">
      <c r="K7875" s="17"/>
    </row>
    <row r="7876" spans="1:11" ht="14.45" customHeight="1" x14ac:dyDescent="0.2">
      <c r="K7876" s="17"/>
    </row>
    <row r="7877" spans="1:11" ht="14.45" customHeight="1" x14ac:dyDescent="0.2">
      <c r="K7877" s="17"/>
    </row>
    <row r="7879" spans="1:11" s="17" customFormat="1" ht="14.45" customHeight="1" x14ac:dyDescent="0.2">
      <c r="A7879"/>
      <c r="B7879"/>
      <c r="C7879"/>
      <c r="D7879"/>
      <c r="E7879"/>
      <c r="F7879"/>
      <c r="G7879"/>
      <c r="H7879"/>
      <c r="I7879"/>
      <c r="J7879"/>
    </row>
    <row r="7880" spans="1:11" s="92" customFormat="1" ht="14.45" customHeight="1" x14ac:dyDescent="0.2">
      <c r="A7880"/>
      <c r="B7880"/>
      <c r="C7880"/>
      <c r="D7880"/>
      <c r="E7880"/>
      <c r="F7880"/>
      <c r="G7880"/>
      <c r="H7880"/>
      <c r="I7880"/>
      <c r="J7880"/>
      <c r="K7880" s="19"/>
    </row>
    <row r="7885" spans="1:11" ht="14.45" customHeight="1" x14ac:dyDescent="0.2">
      <c r="K7885" s="57"/>
    </row>
    <row r="7886" spans="1:11" ht="14.45" customHeight="1" x14ac:dyDescent="0.2">
      <c r="K7886" s="58"/>
    </row>
    <row r="7887" spans="1:11" ht="14.45" customHeight="1" x14ac:dyDescent="0.2">
      <c r="K7887" s="58"/>
    </row>
    <row r="7889" spans="1:11" ht="14.45" customHeight="1" x14ac:dyDescent="0.2">
      <c r="K7889" s="61"/>
    </row>
    <row r="7890" spans="1:11" ht="14.45" customHeight="1" x14ac:dyDescent="0.2">
      <c r="K7890" s="61"/>
    </row>
    <row r="7891" spans="1:11" s="59" customFormat="1" ht="14.45" customHeight="1" x14ac:dyDescent="0.25">
      <c r="A7891"/>
      <c r="B7891"/>
      <c r="C7891"/>
      <c r="D7891"/>
      <c r="E7891"/>
      <c r="F7891"/>
      <c r="G7891"/>
      <c r="H7891"/>
      <c r="I7891"/>
      <c r="J7891"/>
    </row>
    <row r="7892" spans="1:11" s="59" customFormat="1" ht="14.45" customHeight="1" x14ac:dyDescent="0.25">
      <c r="A7892"/>
      <c r="B7892"/>
      <c r="C7892"/>
      <c r="D7892"/>
      <c r="E7892"/>
      <c r="F7892"/>
      <c r="G7892"/>
      <c r="H7892"/>
      <c r="I7892"/>
      <c r="J7892"/>
    </row>
    <row r="7894" spans="1:11" ht="14.45" customHeight="1" x14ac:dyDescent="0.2">
      <c r="K7894" s="68"/>
    </row>
    <row r="7895" spans="1:11" ht="14.45" customHeight="1" x14ac:dyDescent="0.2">
      <c r="K7895" s="68"/>
    </row>
    <row r="7896" spans="1:11" ht="14.45" customHeight="1" x14ac:dyDescent="0.2">
      <c r="K7896" s="68"/>
    </row>
    <row r="7897" spans="1:11" ht="14.45" customHeight="1" x14ac:dyDescent="0.2">
      <c r="K7897" s="17"/>
    </row>
    <row r="7898" spans="1:11" ht="14.45" customHeight="1" x14ac:dyDescent="0.2">
      <c r="K7898" s="17"/>
    </row>
    <row r="7899" spans="1:11" ht="14.45" customHeight="1" x14ac:dyDescent="0.2">
      <c r="K7899" s="17"/>
    </row>
    <row r="7900" spans="1:11" ht="14.45" customHeight="1" x14ac:dyDescent="0.2">
      <c r="K7900" s="17"/>
    </row>
    <row r="7901" spans="1:11" ht="14.45" customHeight="1" x14ac:dyDescent="0.2">
      <c r="K7901" s="17"/>
    </row>
    <row r="7902" spans="1:11" ht="14.45" customHeight="1" x14ac:dyDescent="0.2">
      <c r="K7902" s="17"/>
    </row>
    <row r="7903" spans="1:11" ht="14.45" customHeight="1" x14ac:dyDescent="0.2">
      <c r="K7903" s="17"/>
    </row>
    <row r="7904" spans="1:11" ht="14.45" customHeight="1" x14ac:dyDescent="0.2">
      <c r="K7904" s="17"/>
    </row>
    <row r="7906" spans="1:11" s="17" customFormat="1" ht="14.45" customHeight="1" x14ac:dyDescent="0.2">
      <c r="A7906"/>
      <c r="B7906"/>
      <c r="C7906"/>
      <c r="D7906"/>
      <c r="E7906"/>
      <c r="F7906"/>
      <c r="G7906"/>
      <c r="H7906"/>
      <c r="I7906"/>
      <c r="J7906"/>
    </row>
    <row r="7907" spans="1:11" s="92" customFormat="1" ht="14.45" customHeight="1" x14ac:dyDescent="0.2">
      <c r="A7907"/>
      <c r="B7907"/>
      <c r="C7907"/>
      <c r="D7907"/>
      <c r="E7907"/>
      <c r="F7907"/>
      <c r="G7907"/>
      <c r="H7907"/>
      <c r="I7907"/>
      <c r="J7907"/>
      <c r="K7907" s="19"/>
    </row>
    <row r="7912" spans="1:11" ht="14.45" customHeight="1" x14ac:dyDescent="0.2">
      <c r="K7912" s="57"/>
    </row>
    <row r="7913" spans="1:11" ht="14.45" customHeight="1" x14ac:dyDescent="0.2">
      <c r="K7913" s="58"/>
    </row>
    <row r="7914" spans="1:11" ht="14.45" customHeight="1" x14ac:dyDescent="0.2">
      <c r="K7914" s="58"/>
    </row>
    <row r="7916" spans="1:11" ht="14.45" customHeight="1" x14ac:dyDescent="0.2">
      <c r="K7916" s="61"/>
    </row>
    <row r="7917" spans="1:11" ht="14.45" customHeight="1" x14ac:dyDescent="0.2">
      <c r="K7917" s="61"/>
    </row>
    <row r="7918" spans="1:11" s="59" customFormat="1" ht="14.45" customHeight="1" x14ac:dyDescent="0.25">
      <c r="A7918"/>
      <c r="B7918"/>
      <c r="C7918"/>
      <c r="D7918"/>
      <c r="E7918"/>
      <c r="F7918"/>
      <c r="G7918"/>
      <c r="H7918"/>
      <c r="I7918"/>
      <c r="J7918"/>
    </row>
    <row r="7919" spans="1:11" s="59" customFormat="1" ht="14.45" customHeight="1" x14ac:dyDescent="0.25">
      <c r="A7919"/>
      <c r="B7919"/>
      <c r="C7919"/>
      <c r="D7919"/>
      <c r="E7919"/>
      <c r="F7919"/>
      <c r="G7919"/>
      <c r="H7919"/>
      <c r="I7919"/>
      <c r="J7919"/>
    </row>
    <row r="7921" spans="1:11" ht="14.45" customHeight="1" x14ac:dyDescent="0.2">
      <c r="K7921" s="68"/>
    </row>
    <row r="7922" spans="1:11" ht="14.45" customHeight="1" x14ac:dyDescent="0.2">
      <c r="K7922" s="68"/>
    </row>
    <row r="7923" spans="1:11" ht="14.45" customHeight="1" x14ac:dyDescent="0.2">
      <c r="K7923" s="68"/>
    </row>
    <row r="7924" spans="1:11" ht="14.45" customHeight="1" x14ac:dyDescent="0.2">
      <c r="K7924" s="17"/>
    </row>
    <row r="7925" spans="1:11" ht="14.45" customHeight="1" x14ac:dyDescent="0.2">
      <c r="K7925" s="17"/>
    </row>
    <row r="7926" spans="1:11" ht="14.45" customHeight="1" x14ac:dyDescent="0.2">
      <c r="K7926" s="17"/>
    </row>
    <row r="7927" spans="1:11" ht="14.45" customHeight="1" x14ac:dyDescent="0.2">
      <c r="K7927" s="17"/>
    </row>
    <row r="7928" spans="1:11" ht="14.45" customHeight="1" x14ac:dyDescent="0.2">
      <c r="K7928" s="17"/>
    </row>
    <row r="7929" spans="1:11" ht="14.45" customHeight="1" x14ac:dyDescent="0.2">
      <c r="K7929" s="17"/>
    </row>
    <row r="7930" spans="1:11" ht="14.45" customHeight="1" x14ac:dyDescent="0.2">
      <c r="K7930" s="17"/>
    </row>
    <row r="7931" spans="1:11" ht="14.45" customHeight="1" x14ac:dyDescent="0.2">
      <c r="K7931" s="17"/>
    </row>
    <row r="7933" spans="1:11" s="17" customFormat="1" ht="14.45" customHeight="1" x14ac:dyDescent="0.2">
      <c r="A7933"/>
      <c r="B7933"/>
      <c r="C7933"/>
      <c r="D7933"/>
      <c r="E7933"/>
      <c r="F7933"/>
      <c r="G7933"/>
      <c r="H7933"/>
      <c r="I7933"/>
      <c r="J7933"/>
    </row>
    <row r="7934" spans="1:11" s="92" customFormat="1" ht="14.45" customHeight="1" x14ac:dyDescent="0.2">
      <c r="A7934"/>
      <c r="B7934"/>
      <c r="C7934"/>
      <c r="D7934"/>
      <c r="E7934"/>
      <c r="F7934"/>
      <c r="G7934"/>
      <c r="H7934"/>
      <c r="I7934"/>
      <c r="J7934"/>
      <c r="K7934" s="19"/>
    </row>
    <row r="7939" spans="1:11" ht="14.45" customHeight="1" x14ac:dyDescent="0.2">
      <c r="K7939" s="57"/>
    </row>
    <row r="7940" spans="1:11" ht="14.45" customHeight="1" x14ac:dyDescent="0.2">
      <c r="K7940" s="58"/>
    </row>
    <row r="7941" spans="1:11" ht="14.45" customHeight="1" x14ac:dyDescent="0.2">
      <c r="K7941" s="58"/>
    </row>
    <row r="7943" spans="1:11" ht="14.45" customHeight="1" x14ac:dyDescent="0.2">
      <c r="K7943" s="61"/>
    </row>
    <row r="7944" spans="1:11" ht="14.45" customHeight="1" x14ac:dyDescent="0.2">
      <c r="K7944" s="61"/>
    </row>
    <row r="7945" spans="1:11" s="59" customFormat="1" ht="14.45" customHeight="1" x14ac:dyDescent="0.25">
      <c r="A7945"/>
      <c r="B7945"/>
      <c r="C7945"/>
      <c r="D7945"/>
      <c r="E7945"/>
      <c r="F7945"/>
      <c r="G7945"/>
      <c r="H7945"/>
      <c r="I7945"/>
      <c r="J7945"/>
    </row>
    <row r="7946" spans="1:11" s="59" customFormat="1" ht="14.45" customHeight="1" x14ac:dyDescent="0.25">
      <c r="A7946"/>
      <c r="B7946"/>
      <c r="C7946"/>
      <c r="D7946"/>
      <c r="E7946"/>
      <c r="F7946"/>
      <c r="G7946"/>
      <c r="H7946"/>
      <c r="I7946"/>
      <c r="J7946"/>
    </row>
    <row r="7948" spans="1:11" ht="14.45" customHeight="1" x14ac:dyDescent="0.2">
      <c r="K7948" s="68"/>
    </row>
    <row r="7949" spans="1:11" ht="14.45" customHeight="1" x14ac:dyDescent="0.2">
      <c r="K7949" s="68"/>
    </row>
    <row r="7950" spans="1:11" ht="14.45" customHeight="1" x14ac:dyDescent="0.2">
      <c r="K7950" s="68"/>
    </row>
    <row r="7951" spans="1:11" ht="14.45" customHeight="1" x14ac:dyDescent="0.2">
      <c r="K7951" s="17"/>
    </row>
    <row r="7952" spans="1:11" ht="14.45" customHeight="1" x14ac:dyDescent="0.2">
      <c r="K7952" s="17"/>
    </row>
    <row r="7953" spans="1:11" ht="14.45" customHeight="1" x14ac:dyDescent="0.2">
      <c r="K7953" s="17"/>
    </row>
    <row r="7954" spans="1:11" ht="14.45" customHeight="1" x14ac:dyDescent="0.2">
      <c r="K7954" s="17"/>
    </row>
    <row r="7955" spans="1:11" ht="14.45" customHeight="1" x14ac:dyDescent="0.2">
      <c r="K7955" s="17"/>
    </row>
    <row r="7956" spans="1:11" ht="14.45" customHeight="1" x14ac:dyDescent="0.2">
      <c r="K7956" s="17"/>
    </row>
    <row r="7957" spans="1:11" ht="14.45" customHeight="1" x14ac:dyDescent="0.2">
      <c r="K7957" s="17"/>
    </row>
    <row r="7958" spans="1:11" ht="14.45" customHeight="1" x14ac:dyDescent="0.2">
      <c r="K7958" s="17"/>
    </row>
    <row r="7960" spans="1:11" s="17" customFormat="1" ht="14.45" customHeight="1" x14ac:dyDescent="0.2">
      <c r="A7960"/>
      <c r="B7960"/>
      <c r="C7960"/>
      <c r="D7960"/>
      <c r="E7960"/>
      <c r="F7960"/>
      <c r="G7960"/>
      <c r="H7960"/>
      <c r="I7960"/>
      <c r="J7960"/>
    </row>
    <row r="7961" spans="1:11" s="92" customFormat="1" ht="14.45" customHeight="1" x14ac:dyDescent="0.2">
      <c r="A7961"/>
      <c r="B7961"/>
      <c r="C7961"/>
      <c r="D7961"/>
      <c r="E7961"/>
      <c r="F7961"/>
      <c r="G7961"/>
      <c r="H7961"/>
      <c r="I7961"/>
      <c r="J7961"/>
      <c r="K7961" s="19"/>
    </row>
    <row r="7966" spans="1:11" ht="14.45" customHeight="1" x14ac:dyDescent="0.2">
      <c r="K7966" s="57"/>
    </row>
    <row r="7967" spans="1:11" ht="14.45" customHeight="1" x14ac:dyDescent="0.2">
      <c r="K7967" s="58"/>
    </row>
    <row r="7968" spans="1:11" ht="14.45" customHeight="1" x14ac:dyDescent="0.2">
      <c r="K7968" s="58"/>
    </row>
    <row r="7970" spans="1:11" ht="14.45" customHeight="1" x14ac:dyDescent="0.2">
      <c r="K7970" s="61"/>
    </row>
    <row r="7971" spans="1:11" ht="14.45" customHeight="1" x14ac:dyDescent="0.2">
      <c r="K7971" s="61"/>
    </row>
    <row r="7972" spans="1:11" s="59" customFormat="1" ht="14.45" customHeight="1" x14ac:dyDescent="0.25">
      <c r="A7972"/>
      <c r="B7972"/>
      <c r="C7972"/>
      <c r="D7972"/>
      <c r="E7972"/>
      <c r="F7972"/>
      <c r="G7972"/>
      <c r="H7972"/>
      <c r="I7972"/>
      <c r="J7972"/>
    </row>
    <row r="7973" spans="1:11" s="59" customFormat="1" ht="14.45" customHeight="1" x14ac:dyDescent="0.25">
      <c r="A7973"/>
      <c r="B7973"/>
      <c r="C7973"/>
      <c r="D7973"/>
      <c r="E7973"/>
      <c r="F7973"/>
      <c r="G7973"/>
      <c r="H7973"/>
      <c r="I7973"/>
      <c r="J7973"/>
    </row>
    <row r="7975" spans="1:11" ht="14.45" customHeight="1" x14ac:dyDescent="0.2">
      <c r="K7975" s="68"/>
    </row>
    <row r="7976" spans="1:11" ht="14.45" customHeight="1" x14ac:dyDescent="0.2">
      <c r="K7976" s="68"/>
    </row>
    <row r="7977" spans="1:11" ht="14.45" customHeight="1" x14ac:dyDescent="0.2">
      <c r="K7977" s="68"/>
    </row>
    <row r="7978" spans="1:11" ht="14.45" customHeight="1" x14ac:dyDescent="0.2">
      <c r="K7978" s="17"/>
    </row>
    <row r="7979" spans="1:11" ht="14.45" customHeight="1" x14ac:dyDescent="0.2">
      <c r="K7979" s="17"/>
    </row>
    <row r="7980" spans="1:11" ht="14.45" customHeight="1" x14ac:dyDescent="0.2">
      <c r="K7980" s="17"/>
    </row>
    <row r="7981" spans="1:11" ht="14.45" customHeight="1" x14ac:dyDescent="0.2">
      <c r="K7981" s="17"/>
    </row>
    <row r="7982" spans="1:11" ht="14.45" customHeight="1" x14ac:dyDescent="0.2">
      <c r="K7982" s="17"/>
    </row>
    <row r="7983" spans="1:11" ht="14.45" customHeight="1" x14ac:dyDescent="0.2">
      <c r="K7983" s="17"/>
    </row>
    <row r="7984" spans="1:11" ht="14.45" customHeight="1" x14ac:dyDescent="0.2">
      <c r="K7984" s="17"/>
    </row>
    <row r="7985" spans="1:11" ht="14.45" customHeight="1" x14ac:dyDescent="0.2">
      <c r="K7985" s="17"/>
    </row>
    <row r="7987" spans="1:11" s="17" customFormat="1" ht="14.45" customHeight="1" x14ac:dyDescent="0.2">
      <c r="A7987"/>
      <c r="B7987"/>
      <c r="C7987"/>
      <c r="D7987"/>
      <c r="E7987"/>
      <c r="F7987"/>
      <c r="G7987"/>
      <c r="H7987"/>
      <c r="I7987"/>
      <c r="J7987"/>
    </row>
    <row r="7988" spans="1:11" s="92" customFormat="1" ht="14.45" customHeight="1" x14ac:dyDescent="0.2">
      <c r="A7988"/>
      <c r="B7988"/>
      <c r="C7988"/>
      <c r="D7988"/>
      <c r="E7988"/>
      <c r="F7988"/>
      <c r="G7988"/>
      <c r="H7988"/>
      <c r="I7988"/>
      <c r="J7988"/>
      <c r="K7988" s="19"/>
    </row>
    <row r="7993" spans="1:11" ht="14.45" customHeight="1" x14ac:dyDescent="0.2">
      <c r="K7993" s="57"/>
    </row>
    <row r="7994" spans="1:11" ht="14.45" customHeight="1" x14ac:dyDescent="0.2">
      <c r="K7994" s="58"/>
    </row>
    <row r="7995" spans="1:11" ht="14.45" customHeight="1" x14ac:dyDescent="0.2">
      <c r="K7995" s="58"/>
    </row>
    <row r="7997" spans="1:11" ht="14.45" customHeight="1" x14ac:dyDescent="0.2">
      <c r="K7997" s="61"/>
    </row>
    <row r="7998" spans="1:11" ht="14.45" customHeight="1" x14ac:dyDescent="0.2">
      <c r="K7998" s="61"/>
    </row>
    <row r="7999" spans="1:11" s="59" customFormat="1" ht="14.45" customHeight="1" x14ac:dyDescent="0.25">
      <c r="A7999"/>
      <c r="B7999"/>
      <c r="C7999"/>
      <c r="D7999"/>
      <c r="E7999"/>
      <c r="F7999"/>
      <c r="G7999"/>
      <c r="H7999"/>
      <c r="I7999"/>
      <c r="J7999"/>
    </row>
    <row r="8000" spans="1:11" s="59" customFormat="1" ht="14.45" customHeight="1" x14ac:dyDescent="0.25">
      <c r="A8000"/>
      <c r="B8000"/>
      <c r="C8000"/>
      <c r="D8000"/>
      <c r="E8000"/>
      <c r="F8000"/>
      <c r="G8000"/>
      <c r="H8000"/>
      <c r="I8000"/>
      <c r="J8000"/>
    </row>
    <row r="8002" spans="1:11" ht="14.45" customHeight="1" x14ac:dyDescent="0.2">
      <c r="K8002" s="68"/>
    </row>
    <row r="8003" spans="1:11" ht="14.45" customHeight="1" x14ac:dyDescent="0.2">
      <c r="K8003" s="68"/>
    </row>
    <row r="8004" spans="1:11" ht="14.45" customHeight="1" x14ac:dyDescent="0.2">
      <c r="K8004" s="68"/>
    </row>
    <row r="8005" spans="1:11" ht="14.45" customHeight="1" x14ac:dyDescent="0.2">
      <c r="K8005" s="17"/>
    </row>
    <row r="8006" spans="1:11" ht="14.45" customHeight="1" x14ac:dyDescent="0.2">
      <c r="K8006" s="17"/>
    </row>
    <row r="8007" spans="1:11" ht="14.45" customHeight="1" x14ac:dyDescent="0.2">
      <c r="K8007" s="17"/>
    </row>
    <row r="8008" spans="1:11" ht="14.45" customHeight="1" x14ac:dyDescent="0.2">
      <c r="K8008" s="17"/>
    </row>
    <row r="8009" spans="1:11" ht="14.45" customHeight="1" x14ac:dyDescent="0.2">
      <c r="K8009" s="17"/>
    </row>
    <row r="8010" spans="1:11" ht="14.45" customHeight="1" x14ac:dyDescent="0.2">
      <c r="K8010" s="17"/>
    </row>
    <row r="8011" spans="1:11" ht="14.45" customHeight="1" x14ac:dyDescent="0.2">
      <c r="K8011" s="17"/>
    </row>
    <row r="8012" spans="1:11" ht="14.45" customHeight="1" x14ac:dyDescent="0.2">
      <c r="K8012" s="17"/>
    </row>
    <row r="8014" spans="1:11" s="17" customFormat="1" ht="14.45" customHeight="1" x14ac:dyDescent="0.2">
      <c r="A8014"/>
      <c r="B8014"/>
      <c r="C8014"/>
      <c r="D8014"/>
      <c r="E8014"/>
      <c r="F8014"/>
      <c r="G8014"/>
      <c r="H8014"/>
      <c r="I8014"/>
      <c r="J8014"/>
    </row>
    <row r="8015" spans="1:11" s="92" customFormat="1" ht="14.45" customHeight="1" x14ac:dyDescent="0.2">
      <c r="A8015"/>
      <c r="B8015"/>
      <c r="C8015"/>
      <c r="D8015"/>
      <c r="E8015"/>
      <c r="F8015"/>
      <c r="G8015"/>
      <c r="H8015"/>
      <c r="I8015"/>
      <c r="J8015"/>
      <c r="K8015" s="19"/>
    </row>
    <row r="8020" spans="1:11" ht="14.45" customHeight="1" x14ac:dyDescent="0.2">
      <c r="K8020" s="57"/>
    </row>
    <row r="8021" spans="1:11" ht="14.45" customHeight="1" x14ac:dyDescent="0.2">
      <c r="K8021" s="58"/>
    </row>
    <row r="8022" spans="1:11" ht="14.45" customHeight="1" x14ac:dyDescent="0.2">
      <c r="K8022" s="58"/>
    </row>
    <row r="8024" spans="1:11" ht="14.45" customHeight="1" x14ac:dyDescent="0.2">
      <c r="K8024" s="61"/>
    </row>
    <row r="8025" spans="1:11" ht="14.45" customHeight="1" x14ac:dyDescent="0.2">
      <c r="K8025" s="61"/>
    </row>
    <row r="8026" spans="1:11" s="59" customFormat="1" ht="14.45" customHeight="1" x14ac:dyDescent="0.25">
      <c r="A8026"/>
      <c r="B8026"/>
      <c r="C8026"/>
      <c r="D8026"/>
      <c r="E8026"/>
      <c r="F8026"/>
      <c r="G8026"/>
      <c r="H8026"/>
      <c r="I8026"/>
      <c r="J8026"/>
    </row>
    <row r="8027" spans="1:11" s="59" customFormat="1" ht="14.45" customHeight="1" x14ac:dyDescent="0.25">
      <c r="A8027"/>
      <c r="B8027"/>
      <c r="C8027"/>
      <c r="D8027"/>
      <c r="E8027"/>
      <c r="F8027"/>
      <c r="G8027"/>
      <c r="H8027"/>
      <c r="I8027"/>
      <c r="J8027"/>
    </row>
    <row r="8029" spans="1:11" ht="14.45" customHeight="1" x14ac:dyDescent="0.2">
      <c r="K8029" s="68"/>
    </row>
    <row r="8030" spans="1:11" ht="14.45" customHeight="1" x14ac:dyDescent="0.2">
      <c r="K8030" s="68"/>
    </row>
    <row r="8031" spans="1:11" ht="14.45" customHeight="1" x14ac:dyDescent="0.2">
      <c r="K8031" s="68"/>
    </row>
    <row r="8032" spans="1:11" ht="14.45" customHeight="1" x14ac:dyDescent="0.2">
      <c r="K8032" s="17"/>
    </row>
    <row r="8033" spans="1:11" ht="14.45" customHeight="1" x14ac:dyDescent="0.2">
      <c r="K8033" s="17"/>
    </row>
    <row r="8034" spans="1:11" ht="14.45" customHeight="1" x14ac:dyDescent="0.2">
      <c r="K8034" s="17"/>
    </row>
    <row r="8035" spans="1:11" ht="14.45" customHeight="1" x14ac:dyDescent="0.2">
      <c r="K8035" s="17"/>
    </row>
    <row r="8036" spans="1:11" ht="14.45" customHeight="1" x14ac:dyDescent="0.2">
      <c r="K8036" s="17"/>
    </row>
    <row r="8037" spans="1:11" ht="14.45" customHeight="1" x14ac:dyDescent="0.2">
      <c r="K8037" s="17"/>
    </row>
    <row r="8038" spans="1:11" ht="14.45" customHeight="1" x14ac:dyDescent="0.2">
      <c r="K8038" s="17"/>
    </row>
    <row r="8039" spans="1:11" ht="14.45" customHeight="1" x14ac:dyDescent="0.2">
      <c r="K8039" s="17"/>
    </row>
    <row r="8041" spans="1:11" s="17" customFormat="1" ht="14.45" customHeight="1" x14ac:dyDescent="0.2">
      <c r="A8041"/>
      <c r="B8041"/>
      <c r="C8041"/>
      <c r="D8041"/>
      <c r="E8041"/>
      <c r="F8041"/>
      <c r="G8041"/>
      <c r="H8041"/>
      <c r="I8041"/>
      <c r="J8041"/>
    </row>
    <row r="8042" spans="1:11" s="92" customFormat="1" ht="14.45" customHeight="1" x14ac:dyDescent="0.2">
      <c r="A8042"/>
      <c r="B8042"/>
      <c r="C8042"/>
      <c r="D8042"/>
      <c r="E8042"/>
      <c r="F8042"/>
      <c r="G8042"/>
      <c r="H8042"/>
      <c r="I8042"/>
      <c r="J8042"/>
      <c r="K8042" s="19"/>
    </row>
    <row r="8047" spans="1:11" ht="14.45" customHeight="1" x14ac:dyDescent="0.2">
      <c r="K8047" s="57"/>
    </row>
    <row r="8048" spans="1:11" ht="14.45" customHeight="1" x14ac:dyDescent="0.2">
      <c r="K8048" s="58"/>
    </row>
    <row r="8049" spans="1:11" ht="14.45" customHeight="1" x14ac:dyDescent="0.2">
      <c r="K8049" s="58"/>
    </row>
    <row r="8051" spans="1:11" ht="14.45" customHeight="1" x14ac:dyDescent="0.2">
      <c r="K8051" s="61"/>
    </row>
    <row r="8052" spans="1:11" ht="14.45" customHeight="1" x14ac:dyDescent="0.2">
      <c r="K8052" s="61"/>
    </row>
    <row r="8053" spans="1:11" s="59" customFormat="1" ht="14.45" customHeight="1" x14ac:dyDescent="0.25">
      <c r="A8053"/>
      <c r="B8053"/>
      <c r="C8053"/>
      <c r="D8053"/>
      <c r="E8053"/>
      <c r="F8053"/>
      <c r="G8053"/>
      <c r="H8053"/>
      <c r="I8053"/>
      <c r="J8053"/>
    </row>
    <row r="8054" spans="1:11" s="59" customFormat="1" ht="14.45" customHeight="1" x14ac:dyDescent="0.25">
      <c r="A8054"/>
      <c r="B8054"/>
      <c r="C8054"/>
      <c r="D8054"/>
      <c r="E8054"/>
      <c r="F8054"/>
      <c r="G8054"/>
      <c r="H8054"/>
      <c r="I8054"/>
      <c r="J8054"/>
    </row>
    <row r="8056" spans="1:11" ht="14.45" customHeight="1" x14ac:dyDescent="0.2">
      <c r="K8056" s="68"/>
    </row>
    <row r="8057" spans="1:11" ht="14.45" customHeight="1" x14ac:dyDescent="0.2">
      <c r="K8057" s="68"/>
    </row>
    <row r="8058" spans="1:11" ht="14.45" customHeight="1" x14ac:dyDescent="0.2">
      <c r="K8058" s="68"/>
    </row>
    <row r="8059" spans="1:11" ht="14.45" customHeight="1" x14ac:dyDescent="0.2">
      <c r="K8059" s="17"/>
    </row>
    <row r="8060" spans="1:11" ht="14.45" customHeight="1" x14ac:dyDescent="0.2">
      <c r="K8060" s="17"/>
    </row>
    <row r="8061" spans="1:11" ht="14.45" customHeight="1" x14ac:dyDescent="0.2">
      <c r="K8061" s="17"/>
    </row>
    <row r="8062" spans="1:11" ht="14.45" customHeight="1" x14ac:dyDescent="0.2">
      <c r="K8062" s="17"/>
    </row>
    <row r="8063" spans="1:11" ht="14.45" customHeight="1" x14ac:dyDescent="0.2">
      <c r="K8063" s="17"/>
    </row>
    <row r="8064" spans="1:11" ht="14.45" customHeight="1" x14ac:dyDescent="0.2">
      <c r="K8064" s="17"/>
    </row>
    <row r="8065" spans="1:11" ht="14.45" customHeight="1" x14ac:dyDescent="0.2">
      <c r="K8065" s="17"/>
    </row>
    <row r="8066" spans="1:11" ht="14.45" customHeight="1" x14ac:dyDescent="0.2">
      <c r="K8066" s="17"/>
    </row>
    <row r="8068" spans="1:11" s="17" customFormat="1" ht="14.45" customHeight="1" x14ac:dyDescent="0.2">
      <c r="A8068"/>
      <c r="B8068"/>
      <c r="C8068"/>
      <c r="D8068"/>
      <c r="E8068"/>
      <c r="F8068"/>
      <c r="G8068"/>
      <c r="H8068"/>
      <c r="I8068"/>
      <c r="J8068"/>
    </row>
    <row r="8069" spans="1:11" s="92" customFormat="1" ht="14.45" customHeight="1" x14ac:dyDescent="0.2">
      <c r="A8069"/>
      <c r="B8069"/>
      <c r="C8069"/>
      <c r="D8069"/>
      <c r="E8069"/>
      <c r="F8069"/>
      <c r="G8069"/>
      <c r="H8069"/>
      <c r="I8069"/>
      <c r="J8069"/>
      <c r="K8069" s="19"/>
    </row>
    <row r="8074" spans="1:11" ht="14.45" customHeight="1" x14ac:dyDescent="0.2">
      <c r="K8074" s="57"/>
    </row>
    <row r="8075" spans="1:11" ht="14.45" customHeight="1" x14ac:dyDescent="0.2">
      <c r="K8075" s="58"/>
    </row>
    <row r="8076" spans="1:11" ht="14.45" customHeight="1" x14ac:dyDescent="0.2">
      <c r="K8076" s="58"/>
    </row>
    <row r="8078" spans="1:11" ht="14.45" customHeight="1" x14ac:dyDescent="0.2">
      <c r="K8078" s="61"/>
    </row>
    <row r="8079" spans="1:11" ht="14.45" customHeight="1" x14ac:dyDescent="0.2">
      <c r="K8079" s="61"/>
    </row>
    <row r="8080" spans="1:11" s="59" customFormat="1" ht="14.45" customHeight="1" x14ac:dyDescent="0.25">
      <c r="A8080"/>
      <c r="B8080"/>
      <c r="C8080"/>
      <c r="D8080"/>
      <c r="E8080"/>
      <c r="F8080"/>
      <c r="G8080"/>
      <c r="H8080"/>
      <c r="I8080"/>
      <c r="J8080"/>
    </row>
    <row r="8081" spans="1:11" s="59" customFormat="1" ht="14.45" customHeight="1" x14ac:dyDescent="0.25">
      <c r="A8081"/>
      <c r="B8081"/>
      <c r="C8081"/>
      <c r="D8081"/>
      <c r="E8081"/>
      <c r="F8081"/>
      <c r="G8081"/>
      <c r="H8081"/>
      <c r="I8081"/>
      <c r="J8081"/>
    </row>
    <row r="8083" spans="1:11" ht="14.45" customHeight="1" x14ac:dyDescent="0.2">
      <c r="K8083" s="68"/>
    </row>
    <row r="8084" spans="1:11" ht="14.45" customHeight="1" x14ac:dyDescent="0.2">
      <c r="K8084" s="68"/>
    </row>
    <row r="8085" spans="1:11" ht="14.45" customHeight="1" x14ac:dyDescent="0.2">
      <c r="K8085" s="68"/>
    </row>
    <row r="8086" spans="1:11" ht="14.45" customHeight="1" x14ac:dyDescent="0.2">
      <c r="K8086" s="17"/>
    </row>
    <row r="8087" spans="1:11" ht="14.45" customHeight="1" x14ac:dyDescent="0.2">
      <c r="K8087" s="17"/>
    </row>
    <row r="8088" spans="1:11" ht="14.45" customHeight="1" x14ac:dyDescent="0.2">
      <c r="K8088" s="17"/>
    </row>
    <row r="8089" spans="1:11" ht="14.45" customHeight="1" x14ac:dyDescent="0.2">
      <c r="K8089" s="17"/>
    </row>
    <row r="8090" spans="1:11" ht="14.45" customHeight="1" x14ac:dyDescent="0.2">
      <c r="K8090" s="17"/>
    </row>
    <row r="8091" spans="1:11" ht="14.45" customHeight="1" x14ac:dyDescent="0.2">
      <c r="K8091" s="17"/>
    </row>
    <row r="8092" spans="1:11" ht="14.45" customHeight="1" x14ac:dyDescent="0.2">
      <c r="K8092" s="17"/>
    </row>
    <row r="8093" spans="1:11" ht="14.45" customHeight="1" x14ac:dyDescent="0.2">
      <c r="K8093" s="17"/>
    </row>
    <row r="8095" spans="1:11" s="17" customFormat="1" ht="14.45" customHeight="1" x14ac:dyDescent="0.2">
      <c r="A8095"/>
      <c r="B8095"/>
      <c r="C8095"/>
      <c r="D8095"/>
      <c r="E8095"/>
      <c r="F8095"/>
      <c r="G8095"/>
      <c r="H8095"/>
      <c r="I8095"/>
      <c r="J8095"/>
    </row>
    <row r="8096" spans="1:11" s="92" customFormat="1" ht="14.45" customHeight="1" x14ac:dyDescent="0.2">
      <c r="A8096"/>
      <c r="B8096"/>
      <c r="C8096"/>
      <c r="D8096"/>
      <c r="E8096"/>
      <c r="F8096"/>
      <c r="G8096"/>
      <c r="H8096"/>
      <c r="I8096"/>
      <c r="J8096"/>
      <c r="K8096" s="19"/>
    </row>
    <row r="8101" spans="1:11" ht="14.45" customHeight="1" x14ac:dyDescent="0.2">
      <c r="K8101" s="57"/>
    </row>
    <row r="8102" spans="1:11" ht="14.45" customHeight="1" x14ac:dyDescent="0.2">
      <c r="K8102" s="58"/>
    </row>
    <row r="8103" spans="1:11" ht="14.45" customHeight="1" x14ac:dyDescent="0.2">
      <c r="K8103" s="58"/>
    </row>
    <row r="8105" spans="1:11" ht="14.45" customHeight="1" x14ac:dyDescent="0.2">
      <c r="K8105" s="61"/>
    </row>
    <row r="8106" spans="1:11" ht="14.45" customHeight="1" x14ac:dyDescent="0.2">
      <c r="K8106" s="61"/>
    </row>
    <row r="8107" spans="1:11" s="59" customFormat="1" ht="14.45" customHeight="1" x14ac:dyDescent="0.25">
      <c r="A8107"/>
      <c r="B8107"/>
      <c r="C8107"/>
      <c r="D8107"/>
      <c r="E8107"/>
      <c r="F8107"/>
      <c r="G8107"/>
      <c r="H8107"/>
      <c r="I8107"/>
      <c r="J8107"/>
    </row>
    <row r="8108" spans="1:11" s="59" customFormat="1" ht="14.45" customHeight="1" x14ac:dyDescent="0.25">
      <c r="A8108"/>
      <c r="B8108"/>
      <c r="C8108"/>
      <c r="D8108"/>
      <c r="E8108"/>
      <c r="F8108"/>
      <c r="G8108"/>
      <c r="H8108"/>
      <c r="I8108"/>
      <c r="J8108"/>
    </row>
    <row r="8110" spans="1:11" ht="14.45" customHeight="1" x14ac:dyDescent="0.2">
      <c r="K8110" s="68"/>
    </row>
    <row r="8111" spans="1:11" ht="14.45" customHeight="1" x14ac:dyDescent="0.2">
      <c r="K8111" s="68"/>
    </row>
    <row r="8112" spans="1:11" ht="14.45" customHeight="1" x14ac:dyDescent="0.2">
      <c r="K8112" s="68"/>
    </row>
    <row r="8113" spans="1:11" ht="14.45" customHeight="1" x14ac:dyDescent="0.2">
      <c r="K8113" s="17"/>
    </row>
    <row r="8114" spans="1:11" ht="14.45" customHeight="1" x14ac:dyDescent="0.2">
      <c r="K8114" s="17"/>
    </row>
    <row r="8115" spans="1:11" ht="14.45" customHeight="1" x14ac:dyDescent="0.2">
      <c r="K8115" s="17"/>
    </row>
    <row r="8116" spans="1:11" ht="14.45" customHeight="1" x14ac:dyDescent="0.2">
      <c r="K8116" s="17"/>
    </row>
    <row r="8117" spans="1:11" ht="14.45" customHeight="1" x14ac:dyDescent="0.2">
      <c r="K8117" s="17"/>
    </row>
    <row r="8118" spans="1:11" ht="14.45" customHeight="1" x14ac:dyDescent="0.2">
      <c r="K8118" s="17"/>
    </row>
    <row r="8119" spans="1:11" ht="14.45" customHeight="1" x14ac:dyDescent="0.2">
      <c r="K8119" s="17"/>
    </row>
    <row r="8120" spans="1:11" ht="14.45" customHeight="1" x14ac:dyDescent="0.2">
      <c r="K8120" s="17"/>
    </row>
    <row r="8122" spans="1:11" s="17" customFormat="1" ht="14.45" customHeight="1" x14ac:dyDescent="0.2">
      <c r="A8122"/>
      <c r="B8122"/>
      <c r="C8122"/>
      <c r="D8122"/>
      <c r="E8122"/>
      <c r="F8122"/>
      <c r="G8122"/>
      <c r="H8122"/>
      <c r="I8122"/>
      <c r="J8122"/>
    </row>
    <row r="8123" spans="1:11" s="92" customFormat="1" ht="14.45" customHeight="1" x14ac:dyDescent="0.2">
      <c r="A8123"/>
      <c r="B8123"/>
      <c r="C8123"/>
      <c r="D8123"/>
      <c r="E8123"/>
      <c r="F8123"/>
      <c r="G8123"/>
      <c r="H8123"/>
      <c r="I8123"/>
      <c r="J8123"/>
      <c r="K8123" s="19"/>
    </row>
    <row r="8128" spans="1:11" ht="14.45" customHeight="1" x14ac:dyDescent="0.2">
      <c r="K8128" s="57"/>
    </row>
    <row r="8129" spans="1:11" ht="14.45" customHeight="1" x14ac:dyDescent="0.2">
      <c r="K8129" s="58"/>
    </row>
    <row r="8130" spans="1:11" ht="14.45" customHeight="1" x14ac:dyDescent="0.2">
      <c r="K8130" s="58"/>
    </row>
    <row r="8132" spans="1:11" ht="14.45" customHeight="1" x14ac:dyDescent="0.2">
      <c r="K8132" s="61"/>
    </row>
    <row r="8133" spans="1:11" ht="14.45" customHeight="1" x14ac:dyDescent="0.2">
      <c r="K8133" s="61"/>
    </row>
    <row r="8134" spans="1:11" s="59" customFormat="1" ht="14.45" customHeight="1" x14ac:dyDescent="0.25">
      <c r="A8134"/>
      <c r="B8134"/>
      <c r="C8134"/>
      <c r="D8134"/>
      <c r="E8134"/>
      <c r="F8134"/>
      <c r="G8134"/>
      <c r="H8134"/>
      <c r="I8134"/>
      <c r="J8134"/>
    </row>
    <row r="8135" spans="1:11" s="59" customFormat="1" ht="14.45" customHeight="1" x14ac:dyDescent="0.25">
      <c r="A8135"/>
      <c r="B8135"/>
      <c r="C8135"/>
      <c r="D8135"/>
      <c r="E8135"/>
      <c r="F8135"/>
      <c r="G8135"/>
      <c r="H8135"/>
      <c r="I8135"/>
      <c r="J8135"/>
    </row>
    <row r="8137" spans="1:11" ht="14.45" customHeight="1" x14ac:dyDescent="0.2">
      <c r="K8137" s="68"/>
    </row>
    <row r="8138" spans="1:11" ht="14.45" customHeight="1" x14ac:dyDescent="0.2">
      <c r="K8138" s="68"/>
    </row>
    <row r="8139" spans="1:11" ht="14.45" customHeight="1" x14ac:dyDescent="0.2">
      <c r="K8139" s="68"/>
    </row>
    <row r="8140" spans="1:11" ht="14.45" customHeight="1" x14ac:dyDescent="0.2">
      <c r="K8140" s="17"/>
    </row>
    <row r="8141" spans="1:11" ht="14.45" customHeight="1" x14ac:dyDescent="0.2">
      <c r="K8141" s="17"/>
    </row>
    <row r="8142" spans="1:11" ht="14.45" customHeight="1" x14ac:dyDescent="0.2">
      <c r="K8142" s="17"/>
    </row>
    <row r="8143" spans="1:11" ht="14.45" customHeight="1" x14ac:dyDescent="0.2">
      <c r="K8143" s="17"/>
    </row>
    <row r="8144" spans="1:11" ht="14.45" customHeight="1" x14ac:dyDescent="0.2">
      <c r="K8144" s="17"/>
    </row>
    <row r="8145" spans="1:11" ht="14.45" customHeight="1" x14ac:dyDescent="0.2">
      <c r="K8145" s="17"/>
    </row>
    <row r="8146" spans="1:11" ht="14.45" customHeight="1" x14ac:dyDescent="0.2">
      <c r="K8146" s="17"/>
    </row>
    <row r="8147" spans="1:11" ht="14.45" customHeight="1" x14ac:dyDescent="0.2">
      <c r="K8147" s="17"/>
    </row>
    <row r="8149" spans="1:11" s="17" customFormat="1" ht="14.45" customHeight="1" x14ac:dyDescent="0.2">
      <c r="A8149"/>
      <c r="B8149"/>
      <c r="C8149"/>
      <c r="D8149"/>
      <c r="E8149"/>
      <c r="F8149"/>
      <c r="G8149"/>
      <c r="H8149"/>
      <c r="I8149"/>
      <c r="J8149"/>
    </row>
    <row r="8150" spans="1:11" s="92" customFormat="1" ht="14.45" customHeight="1" x14ac:dyDescent="0.2">
      <c r="A8150"/>
      <c r="B8150"/>
      <c r="C8150"/>
      <c r="D8150"/>
      <c r="E8150"/>
      <c r="F8150"/>
      <c r="G8150"/>
      <c r="H8150"/>
      <c r="I8150"/>
      <c r="J8150"/>
      <c r="K8150" s="19"/>
    </row>
    <row r="8155" spans="1:11" ht="14.45" customHeight="1" x14ac:dyDescent="0.2">
      <c r="K8155" s="57"/>
    </row>
    <row r="8156" spans="1:11" ht="14.45" customHeight="1" x14ac:dyDescent="0.2">
      <c r="K8156" s="58"/>
    </row>
    <row r="8157" spans="1:11" ht="14.45" customHeight="1" x14ac:dyDescent="0.2">
      <c r="K8157" s="58"/>
    </row>
    <row r="8159" spans="1:11" ht="14.45" customHeight="1" x14ac:dyDescent="0.2">
      <c r="K8159" s="61"/>
    </row>
    <row r="8160" spans="1:11" ht="14.45" customHeight="1" x14ac:dyDescent="0.2">
      <c r="K8160" s="61"/>
    </row>
    <row r="8161" spans="1:11" s="59" customFormat="1" ht="14.45" customHeight="1" x14ac:dyDescent="0.25">
      <c r="A8161"/>
      <c r="B8161"/>
      <c r="C8161"/>
      <c r="D8161"/>
      <c r="E8161"/>
      <c r="F8161"/>
      <c r="G8161"/>
      <c r="H8161"/>
      <c r="I8161"/>
      <c r="J8161"/>
    </row>
    <row r="8162" spans="1:11" s="59" customFormat="1" ht="14.45" customHeight="1" x14ac:dyDescent="0.25">
      <c r="A8162"/>
      <c r="B8162"/>
      <c r="C8162"/>
      <c r="D8162"/>
      <c r="E8162"/>
      <c r="F8162"/>
      <c r="G8162"/>
      <c r="H8162"/>
      <c r="I8162"/>
      <c r="J8162"/>
    </row>
    <row r="8164" spans="1:11" ht="14.45" customHeight="1" x14ac:dyDescent="0.2">
      <c r="K8164" s="68"/>
    </row>
    <row r="8165" spans="1:11" ht="14.45" customHeight="1" x14ac:dyDescent="0.2">
      <c r="K8165" s="68"/>
    </row>
    <row r="8166" spans="1:11" ht="14.45" customHeight="1" x14ac:dyDescent="0.2">
      <c r="K8166" s="68"/>
    </row>
    <row r="8167" spans="1:11" ht="14.45" customHeight="1" x14ac:dyDescent="0.2">
      <c r="K8167" s="17"/>
    </row>
    <row r="8168" spans="1:11" ht="14.45" customHeight="1" x14ac:dyDescent="0.2">
      <c r="K8168" s="17"/>
    </row>
    <row r="8169" spans="1:11" ht="14.45" customHeight="1" x14ac:dyDescent="0.2">
      <c r="K8169" s="17"/>
    </row>
    <row r="8170" spans="1:11" ht="14.45" customHeight="1" x14ac:dyDescent="0.2">
      <c r="K8170" s="17"/>
    </row>
    <row r="8171" spans="1:11" ht="14.45" customHeight="1" x14ac:dyDescent="0.2">
      <c r="K8171" s="17"/>
    </row>
    <row r="8172" spans="1:11" ht="14.45" customHeight="1" x14ac:dyDescent="0.2">
      <c r="K8172" s="17"/>
    </row>
    <row r="8173" spans="1:11" ht="14.45" customHeight="1" x14ac:dyDescent="0.2">
      <c r="K8173" s="17"/>
    </row>
    <row r="8174" spans="1:11" ht="14.45" customHeight="1" x14ac:dyDescent="0.2">
      <c r="K8174" s="17"/>
    </row>
    <row r="8176" spans="1:11" s="17" customFormat="1" ht="14.45" customHeight="1" x14ac:dyDescent="0.2">
      <c r="A8176"/>
      <c r="B8176"/>
      <c r="C8176"/>
      <c r="D8176"/>
      <c r="E8176"/>
      <c r="F8176"/>
      <c r="G8176"/>
      <c r="H8176"/>
      <c r="I8176"/>
      <c r="J8176"/>
    </row>
    <row r="8177" spans="1:11" s="92" customFormat="1" ht="14.45" customHeight="1" x14ac:dyDescent="0.2">
      <c r="A8177"/>
      <c r="B8177"/>
      <c r="C8177"/>
      <c r="D8177"/>
      <c r="E8177"/>
      <c r="F8177"/>
      <c r="G8177"/>
      <c r="H8177"/>
      <c r="I8177"/>
      <c r="J8177"/>
      <c r="K8177" s="19"/>
    </row>
    <row r="8182" spans="1:11" ht="14.45" customHeight="1" x14ac:dyDescent="0.2">
      <c r="K8182" s="57"/>
    </row>
    <row r="8183" spans="1:11" ht="14.45" customHeight="1" x14ac:dyDescent="0.2">
      <c r="K8183" s="58"/>
    </row>
    <row r="8184" spans="1:11" ht="14.45" customHeight="1" x14ac:dyDescent="0.2">
      <c r="K8184" s="58"/>
    </row>
    <row r="8186" spans="1:11" ht="14.45" customHeight="1" x14ac:dyDescent="0.2">
      <c r="K8186" s="61"/>
    </row>
    <row r="8187" spans="1:11" ht="14.45" customHeight="1" x14ac:dyDescent="0.2">
      <c r="K8187" s="61"/>
    </row>
    <row r="8188" spans="1:11" s="59" customFormat="1" ht="14.45" customHeight="1" x14ac:dyDescent="0.25">
      <c r="A8188"/>
      <c r="B8188"/>
      <c r="C8188"/>
      <c r="D8188"/>
      <c r="E8188"/>
      <c r="F8188"/>
      <c r="G8188"/>
      <c r="H8188"/>
      <c r="I8188"/>
      <c r="J8188"/>
    </row>
    <row r="8189" spans="1:11" s="59" customFormat="1" ht="14.45" customHeight="1" x14ac:dyDescent="0.25">
      <c r="A8189"/>
      <c r="B8189"/>
      <c r="C8189"/>
      <c r="D8189"/>
      <c r="E8189"/>
      <c r="F8189"/>
      <c r="G8189"/>
      <c r="H8189"/>
      <c r="I8189"/>
      <c r="J8189"/>
    </row>
    <row r="8191" spans="1:11" ht="14.45" customHeight="1" x14ac:dyDescent="0.2">
      <c r="K8191" s="68"/>
    </row>
    <row r="8192" spans="1:11" ht="14.45" customHeight="1" x14ac:dyDescent="0.2">
      <c r="K8192" s="68"/>
    </row>
    <row r="8193" spans="1:11" ht="14.45" customHeight="1" x14ac:dyDescent="0.2">
      <c r="K8193" s="68"/>
    </row>
    <row r="8194" spans="1:11" ht="14.45" customHeight="1" x14ac:dyDescent="0.2">
      <c r="K8194" s="17"/>
    </row>
    <row r="8195" spans="1:11" ht="14.45" customHeight="1" x14ac:dyDescent="0.2">
      <c r="K8195" s="17"/>
    </row>
    <row r="8196" spans="1:11" ht="14.45" customHeight="1" x14ac:dyDescent="0.2">
      <c r="K8196" s="17"/>
    </row>
    <row r="8197" spans="1:11" ht="14.45" customHeight="1" x14ac:dyDescent="0.2">
      <c r="K8197" s="17"/>
    </row>
    <row r="8198" spans="1:11" ht="14.45" customHeight="1" x14ac:dyDescent="0.2">
      <c r="K8198" s="17"/>
    </row>
    <row r="8199" spans="1:11" ht="14.45" customHeight="1" x14ac:dyDescent="0.2">
      <c r="K8199" s="17"/>
    </row>
    <row r="8200" spans="1:11" ht="14.45" customHeight="1" x14ac:dyDescent="0.2">
      <c r="K8200" s="17"/>
    </row>
    <row r="8201" spans="1:11" ht="14.45" customHeight="1" x14ac:dyDescent="0.2">
      <c r="K8201" s="17"/>
    </row>
    <row r="8203" spans="1:11" s="17" customFormat="1" ht="14.45" customHeight="1" x14ac:dyDescent="0.2">
      <c r="A8203"/>
      <c r="B8203"/>
      <c r="C8203"/>
      <c r="D8203"/>
      <c r="E8203"/>
      <c r="F8203"/>
      <c r="G8203"/>
      <c r="H8203"/>
      <c r="I8203"/>
      <c r="J8203"/>
    </row>
    <row r="8204" spans="1:11" s="92" customFormat="1" ht="14.45" customHeight="1" x14ac:dyDescent="0.2">
      <c r="A8204"/>
      <c r="B8204"/>
      <c r="C8204"/>
      <c r="D8204"/>
      <c r="E8204"/>
      <c r="F8204"/>
      <c r="G8204"/>
      <c r="H8204"/>
      <c r="I8204"/>
      <c r="J8204"/>
      <c r="K8204" s="19"/>
    </row>
    <row r="8209" spans="1:11" ht="14.45" customHeight="1" x14ac:dyDescent="0.2">
      <c r="K8209" s="57"/>
    </row>
    <row r="8210" spans="1:11" ht="14.45" customHeight="1" x14ac:dyDescent="0.2">
      <c r="K8210" s="58"/>
    </row>
    <row r="8211" spans="1:11" ht="14.45" customHeight="1" x14ac:dyDescent="0.2">
      <c r="K8211" s="58"/>
    </row>
    <row r="8213" spans="1:11" ht="14.45" customHeight="1" x14ac:dyDescent="0.2">
      <c r="K8213" s="61"/>
    </row>
    <row r="8214" spans="1:11" ht="14.45" customHeight="1" x14ac:dyDescent="0.2">
      <c r="K8214" s="61"/>
    </row>
    <row r="8215" spans="1:11" s="59" customFormat="1" ht="14.45" customHeight="1" x14ac:dyDescent="0.25">
      <c r="A8215"/>
      <c r="B8215"/>
      <c r="C8215"/>
      <c r="D8215"/>
      <c r="E8215"/>
      <c r="F8215"/>
      <c r="G8215"/>
      <c r="H8215"/>
      <c r="I8215"/>
      <c r="J8215"/>
    </row>
    <row r="8216" spans="1:11" s="59" customFormat="1" ht="14.45" customHeight="1" x14ac:dyDescent="0.25">
      <c r="A8216"/>
      <c r="B8216"/>
      <c r="C8216"/>
      <c r="D8216"/>
      <c r="E8216"/>
      <c r="F8216"/>
      <c r="G8216"/>
      <c r="H8216"/>
      <c r="I8216"/>
      <c r="J8216"/>
    </row>
    <row r="8218" spans="1:11" ht="14.45" customHeight="1" x14ac:dyDescent="0.2">
      <c r="K8218" s="68"/>
    </row>
    <row r="8219" spans="1:11" ht="14.45" customHeight="1" x14ac:dyDescent="0.2">
      <c r="K8219" s="68"/>
    </row>
    <row r="8220" spans="1:11" ht="14.45" customHeight="1" x14ac:dyDescent="0.2">
      <c r="K8220" s="68"/>
    </row>
    <row r="8221" spans="1:11" ht="14.45" customHeight="1" x14ac:dyDescent="0.2">
      <c r="K8221" s="17"/>
    </row>
    <row r="8222" spans="1:11" ht="14.45" customHeight="1" x14ac:dyDescent="0.2">
      <c r="K8222" s="17"/>
    </row>
    <row r="8223" spans="1:11" ht="14.45" customHeight="1" x14ac:dyDescent="0.2">
      <c r="K8223" s="17"/>
    </row>
    <row r="8224" spans="1:11" ht="14.45" customHeight="1" x14ac:dyDescent="0.2">
      <c r="K8224" s="17"/>
    </row>
    <row r="8225" spans="1:11" ht="14.45" customHeight="1" x14ac:dyDescent="0.2">
      <c r="K8225" s="17"/>
    </row>
    <row r="8226" spans="1:11" ht="14.45" customHeight="1" x14ac:dyDescent="0.2">
      <c r="K8226" s="17"/>
    </row>
    <row r="8227" spans="1:11" ht="14.45" customHeight="1" x14ac:dyDescent="0.2">
      <c r="K8227" s="17"/>
    </row>
    <row r="8228" spans="1:11" ht="14.45" customHeight="1" x14ac:dyDescent="0.2">
      <c r="K8228" s="17"/>
    </row>
    <row r="8230" spans="1:11" s="17" customFormat="1" ht="14.45" customHeight="1" x14ac:dyDescent="0.2">
      <c r="A8230"/>
      <c r="B8230"/>
      <c r="C8230"/>
      <c r="D8230"/>
      <c r="E8230"/>
      <c r="F8230"/>
      <c r="G8230"/>
      <c r="H8230"/>
      <c r="I8230"/>
      <c r="J8230"/>
    </row>
    <row r="8231" spans="1:11" s="92" customFormat="1" ht="14.45" customHeight="1" x14ac:dyDescent="0.2">
      <c r="A8231"/>
      <c r="B8231"/>
      <c r="C8231"/>
      <c r="D8231"/>
      <c r="E8231"/>
      <c r="F8231"/>
      <c r="G8231"/>
      <c r="H8231"/>
      <c r="I8231"/>
      <c r="J8231"/>
      <c r="K8231" s="19"/>
    </row>
    <row r="8236" spans="1:11" ht="14.45" customHeight="1" x14ac:dyDescent="0.2">
      <c r="K8236" s="57"/>
    </row>
    <row r="8237" spans="1:11" ht="14.45" customHeight="1" x14ac:dyDescent="0.2">
      <c r="K8237" s="58"/>
    </row>
    <row r="8238" spans="1:11" ht="14.45" customHeight="1" x14ac:dyDescent="0.2">
      <c r="K8238" s="58"/>
    </row>
    <row r="8240" spans="1:11" ht="14.45" customHeight="1" x14ac:dyDescent="0.2">
      <c r="K8240" s="61"/>
    </row>
    <row r="8241" spans="1:11" ht="14.45" customHeight="1" x14ac:dyDescent="0.2">
      <c r="K8241" s="61"/>
    </row>
    <row r="8242" spans="1:11" s="59" customFormat="1" ht="14.45" customHeight="1" x14ac:dyDescent="0.25">
      <c r="A8242"/>
      <c r="B8242"/>
      <c r="C8242"/>
      <c r="D8242"/>
      <c r="E8242"/>
      <c r="F8242"/>
      <c r="G8242"/>
      <c r="H8242"/>
      <c r="I8242"/>
      <c r="J8242"/>
    </row>
    <row r="8243" spans="1:11" s="59" customFormat="1" ht="14.45" customHeight="1" x14ac:dyDescent="0.25">
      <c r="A8243"/>
      <c r="B8243"/>
      <c r="C8243"/>
      <c r="D8243"/>
      <c r="E8243"/>
      <c r="F8243"/>
      <c r="G8243"/>
      <c r="H8243"/>
      <c r="I8243"/>
      <c r="J8243"/>
    </row>
    <row r="8245" spans="1:11" ht="14.45" customHeight="1" x14ac:dyDescent="0.2">
      <c r="K8245" s="68"/>
    </row>
    <row r="8246" spans="1:11" ht="14.45" customHeight="1" x14ac:dyDescent="0.2">
      <c r="K8246" s="68"/>
    </row>
    <row r="8247" spans="1:11" ht="14.45" customHeight="1" x14ac:dyDescent="0.2">
      <c r="K8247" s="68"/>
    </row>
    <row r="8248" spans="1:11" ht="14.45" customHeight="1" x14ac:dyDescent="0.2">
      <c r="K8248" s="17"/>
    </row>
    <row r="8249" spans="1:11" ht="14.45" customHeight="1" x14ac:dyDescent="0.2">
      <c r="K8249" s="17"/>
    </row>
    <row r="8250" spans="1:11" ht="14.45" customHeight="1" x14ac:dyDescent="0.2">
      <c r="K8250" s="17"/>
    </row>
    <row r="8251" spans="1:11" ht="14.45" customHeight="1" x14ac:dyDescent="0.2">
      <c r="K8251" s="17"/>
    </row>
    <row r="8252" spans="1:11" ht="14.45" customHeight="1" x14ac:dyDescent="0.2">
      <c r="K8252" s="17"/>
    </row>
    <row r="8253" spans="1:11" ht="14.45" customHeight="1" x14ac:dyDescent="0.2">
      <c r="K8253" s="17"/>
    </row>
    <row r="8254" spans="1:11" ht="14.45" customHeight="1" x14ac:dyDescent="0.2">
      <c r="K8254" s="17"/>
    </row>
    <row r="8255" spans="1:11" ht="14.45" customHeight="1" x14ac:dyDescent="0.2">
      <c r="K8255" s="17"/>
    </row>
    <row r="8257" spans="1:11" s="17" customFormat="1" ht="14.45" customHeight="1" x14ac:dyDescent="0.2">
      <c r="A8257"/>
      <c r="B8257"/>
      <c r="C8257"/>
      <c r="D8257"/>
      <c r="E8257"/>
      <c r="F8257"/>
      <c r="G8257"/>
      <c r="H8257"/>
      <c r="I8257"/>
      <c r="J8257"/>
    </row>
    <row r="8258" spans="1:11" s="92" customFormat="1" ht="14.45" customHeight="1" x14ac:dyDescent="0.2">
      <c r="A8258"/>
      <c r="B8258"/>
      <c r="C8258"/>
      <c r="D8258"/>
      <c r="E8258"/>
      <c r="F8258"/>
      <c r="G8258"/>
      <c r="H8258"/>
      <c r="I8258"/>
      <c r="J8258"/>
      <c r="K8258" s="19"/>
    </row>
    <row r="8263" spans="1:11" ht="14.45" customHeight="1" x14ac:dyDescent="0.2">
      <c r="K8263" s="57"/>
    </row>
    <row r="8264" spans="1:11" ht="14.45" customHeight="1" x14ac:dyDescent="0.2">
      <c r="K8264" s="58"/>
    </row>
    <row r="8265" spans="1:11" ht="14.45" customHeight="1" x14ac:dyDescent="0.2">
      <c r="K8265" s="58"/>
    </row>
    <row r="8267" spans="1:11" ht="14.45" customHeight="1" x14ac:dyDescent="0.2">
      <c r="K8267" s="61"/>
    </row>
    <row r="8268" spans="1:11" ht="14.45" customHeight="1" x14ac:dyDescent="0.2">
      <c r="K8268" s="61"/>
    </row>
    <row r="8269" spans="1:11" s="59" customFormat="1" ht="14.45" customHeight="1" x14ac:dyDescent="0.25">
      <c r="A8269"/>
      <c r="B8269"/>
      <c r="C8269"/>
      <c r="D8269"/>
      <c r="E8269"/>
      <c r="F8269"/>
      <c r="G8269"/>
      <c r="H8269"/>
      <c r="I8269"/>
      <c r="J8269"/>
    </row>
    <row r="8270" spans="1:11" s="59" customFormat="1" ht="14.45" customHeight="1" x14ac:dyDescent="0.25">
      <c r="A8270"/>
      <c r="B8270"/>
      <c r="C8270"/>
      <c r="D8270"/>
      <c r="E8270"/>
      <c r="F8270"/>
      <c r="G8270"/>
      <c r="H8270"/>
      <c r="I8270"/>
      <c r="J8270"/>
    </row>
    <row r="8272" spans="1:11" ht="14.45" customHeight="1" x14ac:dyDescent="0.2">
      <c r="K8272" s="68"/>
    </row>
    <row r="8273" spans="1:11" ht="14.45" customHeight="1" x14ac:dyDescent="0.2">
      <c r="K8273" s="68"/>
    </row>
    <row r="8274" spans="1:11" ht="14.45" customHeight="1" x14ac:dyDescent="0.2">
      <c r="K8274" s="68"/>
    </row>
    <row r="8275" spans="1:11" ht="14.45" customHeight="1" x14ac:dyDescent="0.2">
      <c r="K8275" s="17"/>
    </row>
    <row r="8276" spans="1:11" ht="14.45" customHeight="1" x14ac:dyDescent="0.2">
      <c r="K8276" s="17"/>
    </row>
    <row r="8277" spans="1:11" ht="14.45" customHeight="1" x14ac:dyDescent="0.2">
      <c r="K8277" s="17"/>
    </row>
    <row r="8278" spans="1:11" ht="14.45" customHeight="1" x14ac:dyDescent="0.2">
      <c r="K8278" s="17"/>
    </row>
    <row r="8279" spans="1:11" ht="14.45" customHeight="1" x14ac:dyDescent="0.2">
      <c r="K8279" s="17"/>
    </row>
    <row r="8280" spans="1:11" ht="14.45" customHeight="1" x14ac:dyDescent="0.2">
      <c r="K8280" s="17"/>
    </row>
    <row r="8281" spans="1:11" ht="14.45" customHeight="1" x14ac:dyDescent="0.2">
      <c r="K8281" s="17"/>
    </row>
    <row r="8282" spans="1:11" ht="14.45" customHeight="1" x14ac:dyDescent="0.2">
      <c r="K8282" s="17"/>
    </row>
    <row r="8284" spans="1:11" s="17" customFormat="1" ht="14.45" customHeight="1" x14ac:dyDescent="0.2">
      <c r="A8284"/>
      <c r="B8284"/>
      <c r="C8284"/>
      <c r="D8284"/>
      <c r="E8284"/>
      <c r="F8284"/>
      <c r="G8284"/>
      <c r="H8284"/>
      <c r="I8284"/>
      <c r="J8284"/>
    </row>
    <row r="8285" spans="1:11" s="92" customFormat="1" ht="14.45" customHeight="1" x14ac:dyDescent="0.2">
      <c r="A8285"/>
      <c r="B8285"/>
      <c r="C8285"/>
      <c r="D8285"/>
      <c r="E8285"/>
      <c r="F8285"/>
      <c r="G8285"/>
      <c r="H8285"/>
      <c r="I8285"/>
      <c r="J8285"/>
      <c r="K8285" s="19"/>
    </row>
    <row r="8290" spans="1:11" ht="14.45" customHeight="1" x14ac:dyDescent="0.2">
      <c r="K8290" s="57"/>
    </row>
    <row r="8291" spans="1:11" ht="14.45" customHeight="1" x14ac:dyDescent="0.2">
      <c r="K8291" s="58"/>
    </row>
    <row r="8292" spans="1:11" ht="14.45" customHeight="1" x14ac:dyDescent="0.2">
      <c r="K8292" s="58"/>
    </row>
    <row r="8294" spans="1:11" ht="14.45" customHeight="1" x14ac:dyDescent="0.2">
      <c r="K8294" s="61"/>
    </row>
    <row r="8295" spans="1:11" ht="14.45" customHeight="1" x14ac:dyDescent="0.2">
      <c r="K8295" s="61"/>
    </row>
    <row r="8296" spans="1:11" s="59" customFormat="1" ht="14.45" customHeight="1" x14ac:dyDescent="0.25">
      <c r="A8296"/>
      <c r="B8296"/>
      <c r="C8296"/>
      <c r="D8296"/>
      <c r="E8296"/>
      <c r="F8296"/>
      <c r="G8296"/>
      <c r="H8296"/>
      <c r="I8296"/>
      <c r="J8296"/>
    </row>
    <row r="8297" spans="1:11" s="59" customFormat="1" ht="14.45" customHeight="1" x14ac:dyDescent="0.25">
      <c r="A8297"/>
      <c r="B8297"/>
      <c r="C8297"/>
      <c r="D8297"/>
      <c r="E8297"/>
      <c r="F8297"/>
      <c r="G8297"/>
      <c r="H8297"/>
      <c r="I8297"/>
      <c r="J8297"/>
    </row>
    <row r="8299" spans="1:11" ht="14.45" customHeight="1" x14ac:dyDescent="0.2">
      <c r="K8299" s="68"/>
    </row>
    <row r="8300" spans="1:11" ht="14.45" customHeight="1" x14ac:dyDescent="0.2">
      <c r="K8300" s="68"/>
    </row>
    <row r="8301" spans="1:11" ht="14.45" customHeight="1" x14ac:dyDescent="0.2">
      <c r="K8301" s="68"/>
    </row>
    <row r="8302" spans="1:11" ht="14.45" customHeight="1" x14ac:dyDescent="0.2">
      <c r="K8302" s="17"/>
    </row>
    <row r="8303" spans="1:11" ht="14.45" customHeight="1" x14ac:dyDescent="0.2">
      <c r="K8303" s="17"/>
    </row>
    <row r="8304" spans="1:11" ht="14.45" customHeight="1" x14ac:dyDescent="0.2">
      <c r="K8304" s="17"/>
    </row>
    <row r="8305" spans="1:11" ht="14.45" customHeight="1" x14ac:dyDescent="0.2">
      <c r="K8305" s="17"/>
    </row>
    <row r="8306" spans="1:11" ht="14.45" customHeight="1" x14ac:dyDescent="0.2">
      <c r="K8306" s="17"/>
    </row>
    <row r="8307" spans="1:11" ht="14.45" customHeight="1" x14ac:dyDescent="0.2">
      <c r="K8307" s="17"/>
    </row>
    <row r="8308" spans="1:11" ht="14.45" customHeight="1" x14ac:dyDescent="0.2">
      <c r="K8308" s="17"/>
    </row>
    <row r="8309" spans="1:11" ht="14.45" customHeight="1" x14ac:dyDescent="0.2">
      <c r="K8309" s="17"/>
    </row>
    <row r="8311" spans="1:11" s="17" customFormat="1" ht="14.45" customHeight="1" x14ac:dyDescent="0.2">
      <c r="A8311"/>
      <c r="B8311"/>
      <c r="C8311"/>
      <c r="D8311"/>
      <c r="E8311"/>
      <c r="F8311"/>
      <c r="G8311"/>
      <c r="H8311"/>
      <c r="I8311"/>
      <c r="J8311"/>
    </row>
    <row r="8312" spans="1:11" s="92" customFormat="1" ht="14.45" customHeight="1" x14ac:dyDescent="0.2">
      <c r="A8312"/>
      <c r="B8312"/>
      <c r="C8312"/>
      <c r="D8312"/>
      <c r="E8312"/>
      <c r="F8312"/>
      <c r="G8312"/>
      <c r="H8312"/>
      <c r="I8312"/>
      <c r="J8312"/>
      <c r="K8312" s="19"/>
    </row>
    <row r="8317" spans="1:11" ht="14.45" customHeight="1" x14ac:dyDescent="0.2">
      <c r="K8317" s="57"/>
    </row>
    <row r="8318" spans="1:11" ht="14.45" customHeight="1" x14ac:dyDescent="0.2">
      <c r="K8318" s="58"/>
    </row>
    <row r="8319" spans="1:11" ht="14.45" customHeight="1" x14ac:dyDescent="0.2">
      <c r="K8319" s="58"/>
    </row>
    <row r="8321" spans="1:11" ht="14.45" customHeight="1" x14ac:dyDescent="0.2">
      <c r="K8321" s="61"/>
    </row>
    <row r="8322" spans="1:11" ht="14.45" customHeight="1" x14ac:dyDescent="0.2">
      <c r="K8322" s="61"/>
    </row>
    <row r="8323" spans="1:11" s="59" customFormat="1" ht="14.45" customHeight="1" x14ac:dyDescent="0.25">
      <c r="A8323"/>
      <c r="B8323"/>
      <c r="C8323"/>
      <c r="D8323"/>
      <c r="E8323"/>
      <c r="F8323"/>
      <c r="G8323"/>
      <c r="H8323"/>
      <c r="I8323"/>
      <c r="J8323"/>
    </row>
    <row r="8324" spans="1:11" s="59" customFormat="1" ht="14.45" customHeight="1" x14ac:dyDescent="0.25">
      <c r="A8324"/>
      <c r="B8324"/>
      <c r="C8324"/>
      <c r="D8324"/>
      <c r="E8324"/>
      <c r="F8324"/>
      <c r="G8324"/>
      <c r="H8324"/>
      <c r="I8324"/>
      <c r="J8324"/>
    </row>
    <row r="8326" spans="1:11" ht="14.45" customHeight="1" x14ac:dyDescent="0.2">
      <c r="K8326" s="68"/>
    </row>
    <row r="8327" spans="1:11" ht="14.45" customHeight="1" x14ac:dyDescent="0.2">
      <c r="K8327" s="68"/>
    </row>
    <row r="8328" spans="1:11" ht="14.45" customHeight="1" x14ac:dyDescent="0.2">
      <c r="K8328" s="68"/>
    </row>
    <row r="8329" spans="1:11" ht="14.45" customHeight="1" x14ac:dyDescent="0.2">
      <c r="K8329" s="17"/>
    </row>
    <row r="8330" spans="1:11" ht="14.45" customHeight="1" x14ac:dyDescent="0.2">
      <c r="K8330" s="17"/>
    </row>
    <row r="8331" spans="1:11" ht="14.45" customHeight="1" x14ac:dyDescent="0.2">
      <c r="K8331" s="17"/>
    </row>
    <row r="8332" spans="1:11" ht="14.45" customHeight="1" x14ac:dyDescent="0.2">
      <c r="K8332" s="17"/>
    </row>
    <row r="8333" spans="1:11" ht="14.45" customHeight="1" x14ac:dyDescent="0.2">
      <c r="K8333" s="17"/>
    </row>
    <row r="8334" spans="1:11" ht="14.45" customHeight="1" x14ac:dyDescent="0.2">
      <c r="K8334" s="17"/>
    </row>
    <row r="8335" spans="1:11" ht="14.45" customHeight="1" x14ac:dyDescent="0.2">
      <c r="K8335" s="17"/>
    </row>
    <row r="8336" spans="1:11" ht="14.45" customHeight="1" x14ac:dyDescent="0.2">
      <c r="K8336" s="17"/>
    </row>
    <row r="8338" spans="1:11" s="17" customFormat="1" ht="14.45" customHeight="1" x14ac:dyDescent="0.2">
      <c r="A8338"/>
      <c r="B8338"/>
      <c r="C8338"/>
      <c r="D8338"/>
      <c r="E8338"/>
      <c r="F8338"/>
      <c r="G8338"/>
      <c r="H8338"/>
      <c r="I8338"/>
      <c r="J8338"/>
    </row>
    <row r="8339" spans="1:11" s="92" customFormat="1" ht="14.45" customHeight="1" x14ac:dyDescent="0.2">
      <c r="A8339"/>
      <c r="B8339"/>
      <c r="C8339"/>
      <c r="D8339"/>
      <c r="E8339"/>
      <c r="F8339"/>
      <c r="G8339"/>
      <c r="H8339"/>
      <c r="I8339"/>
      <c r="J8339"/>
      <c r="K8339" s="19"/>
    </row>
    <row r="8344" spans="1:11" ht="14.45" customHeight="1" x14ac:dyDescent="0.2">
      <c r="K8344" s="57"/>
    </row>
    <row r="8345" spans="1:11" ht="14.45" customHeight="1" x14ac:dyDescent="0.2">
      <c r="K8345" s="58"/>
    </row>
    <row r="8346" spans="1:11" ht="14.45" customHeight="1" x14ac:dyDescent="0.2">
      <c r="K8346" s="58"/>
    </row>
    <row r="8348" spans="1:11" ht="14.45" customHeight="1" x14ac:dyDescent="0.2">
      <c r="K8348" s="61"/>
    </row>
    <row r="8349" spans="1:11" ht="14.45" customHeight="1" x14ac:dyDescent="0.2">
      <c r="K8349" s="61"/>
    </row>
    <row r="8350" spans="1:11" s="59" customFormat="1" ht="14.45" customHeight="1" x14ac:dyDescent="0.25">
      <c r="A8350"/>
      <c r="B8350"/>
      <c r="C8350"/>
      <c r="D8350"/>
      <c r="E8350"/>
      <c r="F8350"/>
      <c r="G8350"/>
      <c r="H8350"/>
      <c r="I8350"/>
      <c r="J8350"/>
    </row>
    <row r="8351" spans="1:11" s="59" customFormat="1" ht="14.45" customHeight="1" x14ac:dyDescent="0.25">
      <c r="A8351"/>
      <c r="B8351"/>
      <c r="C8351"/>
      <c r="D8351"/>
      <c r="E8351"/>
      <c r="F8351"/>
      <c r="G8351"/>
      <c r="H8351"/>
      <c r="I8351"/>
      <c r="J8351"/>
    </row>
    <row r="8353" spans="1:11" ht="14.45" customHeight="1" x14ac:dyDescent="0.2">
      <c r="K8353" s="68"/>
    </row>
    <row r="8354" spans="1:11" ht="14.45" customHeight="1" x14ac:dyDescent="0.2">
      <c r="K8354" s="68"/>
    </row>
    <row r="8355" spans="1:11" ht="14.45" customHeight="1" x14ac:dyDescent="0.2">
      <c r="K8355" s="68"/>
    </row>
    <row r="8356" spans="1:11" ht="14.45" customHeight="1" x14ac:dyDescent="0.2">
      <c r="K8356" s="17"/>
    </row>
    <row r="8357" spans="1:11" ht="14.45" customHeight="1" x14ac:dyDescent="0.2">
      <c r="K8357" s="17"/>
    </row>
    <row r="8358" spans="1:11" ht="14.45" customHeight="1" x14ac:dyDescent="0.2">
      <c r="K8358" s="17"/>
    </row>
    <row r="8359" spans="1:11" ht="14.45" customHeight="1" x14ac:dyDescent="0.2">
      <c r="K8359" s="17"/>
    </row>
    <row r="8360" spans="1:11" ht="14.45" customHeight="1" x14ac:dyDescent="0.2">
      <c r="K8360" s="17"/>
    </row>
    <row r="8361" spans="1:11" ht="14.45" customHeight="1" x14ac:dyDescent="0.2">
      <c r="K8361" s="17"/>
    </row>
    <row r="8362" spans="1:11" ht="14.45" customHeight="1" x14ac:dyDescent="0.2">
      <c r="K8362" s="17"/>
    </row>
    <row r="8363" spans="1:11" ht="14.45" customHeight="1" x14ac:dyDescent="0.2">
      <c r="K8363" s="17"/>
    </row>
    <row r="8365" spans="1:11" s="17" customFormat="1" ht="14.45" customHeight="1" x14ac:dyDescent="0.2">
      <c r="A8365"/>
      <c r="B8365"/>
      <c r="C8365"/>
      <c r="D8365"/>
      <c r="E8365"/>
      <c r="F8365"/>
      <c r="G8365"/>
      <c r="H8365"/>
      <c r="I8365"/>
      <c r="J8365"/>
    </row>
    <row r="8366" spans="1:11" s="92" customFormat="1" ht="14.45" customHeight="1" x14ac:dyDescent="0.2">
      <c r="A8366"/>
      <c r="B8366"/>
      <c r="C8366"/>
      <c r="D8366"/>
      <c r="E8366"/>
      <c r="F8366"/>
      <c r="G8366"/>
      <c r="H8366"/>
      <c r="I8366"/>
      <c r="J8366"/>
      <c r="K8366" s="19"/>
    </row>
    <row r="8371" spans="1:11" ht="14.45" customHeight="1" x14ac:dyDescent="0.2">
      <c r="K8371" s="57"/>
    </row>
    <row r="8372" spans="1:11" ht="14.45" customHeight="1" x14ac:dyDescent="0.2">
      <c r="K8372" s="58"/>
    </row>
    <row r="8373" spans="1:11" ht="14.45" customHeight="1" x14ac:dyDescent="0.2">
      <c r="K8373" s="58"/>
    </row>
    <row r="8375" spans="1:11" ht="14.45" customHeight="1" x14ac:dyDescent="0.2">
      <c r="K8375" s="61"/>
    </row>
    <row r="8376" spans="1:11" ht="14.45" customHeight="1" x14ac:dyDescent="0.2">
      <c r="K8376" s="61"/>
    </row>
    <row r="8377" spans="1:11" s="59" customFormat="1" ht="14.45" customHeight="1" x14ac:dyDescent="0.25">
      <c r="A8377"/>
      <c r="B8377"/>
      <c r="C8377"/>
      <c r="D8377"/>
      <c r="E8377"/>
      <c r="F8377"/>
      <c r="G8377"/>
      <c r="H8377"/>
      <c r="I8377"/>
      <c r="J8377"/>
    </row>
    <row r="8378" spans="1:11" s="59" customFormat="1" ht="14.45" customHeight="1" x14ac:dyDescent="0.25">
      <c r="A8378"/>
      <c r="B8378"/>
      <c r="C8378"/>
      <c r="D8378"/>
      <c r="E8378"/>
      <c r="F8378"/>
      <c r="G8378"/>
      <c r="H8378"/>
      <c r="I8378"/>
      <c r="J8378"/>
    </row>
    <row r="8380" spans="1:11" ht="14.45" customHeight="1" x14ac:dyDescent="0.2">
      <c r="K8380" s="68"/>
    </row>
    <row r="8381" spans="1:11" ht="14.45" customHeight="1" x14ac:dyDescent="0.2">
      <c r="K8381" s="68"/>
    </row>
    <row r="8382" spans="1:11" ht="14.45" customHeight="1" x14ac:dyDescent="0.2">
      <c r="K8382" s="68"/>
    </row>
    <row r="8383" spans="1:11" ht="14.45" customHeight="1" x14ac:dyDescent="0.2">
      <c r="K8383" s="17"/>
    </row>
    <row r="8384" spans="1:11" ht="14.45" customHeight="1" x14ac:dyDescent="0.2">
      <c r="K8384" s="17"/>
    </row>
    <row r="8385" spans="1:11" ht="14.45" customHeight="1" x14ac:dyDescent="0.2">
      <c r="K8385" s="17"/>
    </row>
    <row r="8386" spans="1:11" ht="14.45" customHeight="1" x14ac:dyDescent="0.2">
      <c r="K8386" s="17"/>
    </row>
    <row r="8387" spans="1:11" ht="14.45" customHeight="1" x14ac:dyDescent="0.2">
      <c r="K8387" s="17"/>
    </row>
    <row r="8388" spans="1:11" ht="14.45" customHeight="1" x14ac:dyDescent="0.2">
      <c r="K8388" s="17"/>
    </row>
    <row r="8389" spans="1:11" ht="14.45" customHeight="1" x14ac:dyDescent="0.2">
      <c r="K8389" s="17"/>
    </row>
    <row r="8390" spans="1:11" ht="14.45" customHeight="1" x14ac:dyDescent="0.2">
      <c r="K8390" s="17"/>
    </row>
    <row r="8392" spans="1:11" s="17" customFormat="1" ht="14.45" customHeight="1" x14ac:dyDescent="0.2">
      <c r="A8392"/>
      <c r="B8392"/>
      <c r="C8392"/>
      <c r="D8392"/>
      <c r="E8392"/>
      <c r="F8392"/>
      <c r="G8392"/>
      <c r="H8392"/>
      <c r="I8392"/>
      <c r="J8392"/>
    </row>
    <row r="8393" spans="1:11" s="92" customFormat="1" ht="14.45" customHeight="1" x14ac:dyDescent="0.2">
      <c r="A8393"/>
      <c r="B8393"/>
      <c r="C8393"/>
      <c r="D8393"/>
      <c r="E8393"/>
      <c r="F8393"/>
      <c r="G8393"/>
      <c r="H8393"/>
      <c r="I8393"/>
      <c r="J8393"/>
      <c r="K8393" s="19"/>
    </row>
    <row r="8398" spans="1:11" ht="14.45" customHeight="1" x14ac:dyDescent="0.2">
      <c r="K8398" s="57"/>
    </row>
    <row r="8399" spans="1:11" ht="14.45" customHeight="1" x14ac:dyDescent="0.2">
      <c r="K8399" s="58"/>
    </row>
    <row r="8400" spans="1:11" ht="14.45" customHeight="1" x14ac:dyDescent="0.2">
      <c r="K8400" s="58"/>
    </row>
    <row r="8402" spans="1:11" ht="14.45" customHeight="1" x14ac:dyDescent="0.2">
      <c r="K8402" s="61"/>
    </row>
    <row r="8403" spans="1:11" ht="14.45" customHeight="1" x14ac:dyDescent="0.2">
      <c r="K8403" s="61"/>
    </row>
    <row r="8404" spans="1:11" s="59" customFormat="1" ht="14.45" customHeight="1" x14ac:dyDescent="0.25">
      <c r="A8404"/>
      <c r="B8404"/>
      <c r="C8404"/>
      <c r="D8404"/>
      <c r="E8404"/>
      <c r="F8404"/>
      <c r="G8404"/>
      <c r="H8404"/>
      <c r="I8404"/>
      <c r="J8404"/>
    </row>
    <row r="8405" spans="1:11" s="59" customFormat="1" ht="14.45" customHeight="1" x14ac:dyDescent="0.25">
      <c r="A8405"/>
      <c r="B8405"/>
      <c r="C8405"/>
      <c r="D8405"/>
      <c r="E8405"/>
      <c r="F8405"/>
      <c r="G8405"/>
      <c r="H8405"/>
      <c r="I8405"/>
      <c r="J8405"/>
    </row>
    <row r="8407" spans="1:11" ht="14.45" customHeight="1" x14ac:dyDescent="0.2">
      <c r="K8407" s="68"/>
    </row>
    <row r="8408" spans="1:11" ht="14.45" customHeight="1" x14ac:dyDescent="0.2">
      <c r="K8408" s="68"/>
    </row>
    <row r="8409" spans="1:11" ht="14.45" customHeight="1" x14ac:dyDescent="0.2">
      <c r="K8409" s="68"/>
    </row>
    <row r="8410" spans="1:11" ht="14.45" customHeight="1" x14ac:dyDescent="0.2">
      <c r="K8410" s="17"/>
    </row>
    <row r="8411" spans="1:11" ht="14.45" customHeight="1" x14ac:dyDescent="0.2">
      <c r="K8411" s="17"/>
    </row>
    <row r="8412" spans="1:11" ht="14.45" customHeight="1" x14ac:dyDescent="0.2">
      <c r="K8412" s="17"/>
    </row>
    <row r="8413" spans="1:11" ht="14.45" customHeight="1" x14ac:dyDescent="0.2">
      <c r="K8413" s="17"/>
    </row>
    <row r="8414" spans="1:11" ht="14.45" customHeight="1" x14ac:dyDescent="0.2">
      <c r="K8414" s="17"/>
    </row>
    <row r="8415" spans="1:11" ht="14.45" customHeight="1" x14ac:dyDescent="0.2">
      <c r="K8415" s="17"/>
    </row>
    <row r="8416" spans="1:11" ht="14.45" customHeight="1" x14ac:dyDescent="0.2">
      <c r="K8416" s="17"/>
    </row>
    <row r="8417" spans="1:11" ht="14.45" customHeight="1" x14ac:dyDescent="0.2">
      <c r="K8417" s="17"/>
    </row>
    <row r="8419" spans="1:11" s="17" customFormat="1" ht="14.45" customHeight="1" x14ac:dyDescent="0.2">
      <c r="A8419"/>
      <c r="B8419"/>
      <c r="C8419"/>
      <c r="D8419"/>
      <c r="E8419"/>
      <c r="F8419"/>
      <c r="G8419"/>
      <c r="H8419"/>
      <c r="I8419"/>
      <c r="J8419"/>
    </row>
    <row r="8420" spans="1:11" s="92" customFormat="1" ht="14.45" customHeight="1" x14ac:dyDescent="0.2">
      <c r="A8420"/>
      <c r="B8420"/>
      <c r="C8420"/>
      <c r="D8420"/>
      <c r="E8420"/>
      <c r="F8420"/>
      <c r="G8420"/>
      <c r="H8420"/>
      <c r="I8420"/>
      <c r="J8420"/>
      <c r="K8420" s="19"/>
    </row>
    <row r="8433" spans="1:10" s="96" customFormat="1" ht="14.45" customHeight="1" x14ac:dyDescent="0.2">
      <c r="A8433"/>
      <c r="B8433"/>
      <c r="C8433"/>
      <c r="D8433"/>
      <c r="E8433"/>
      <c r="F8433"/>
      <c r="G8433"/>
      <c r="H8433"/>
      <c r="I8433"/>
      <c r="J8433"/>
    </row>
    <row r="8439" spans="1:10" s="58" customFormat="1" ht="14.45" customHeight="1" x14ac:dyDescent="0.2">
      <c r="A8439"/>
      <c r="B8439"/>
      <c r="C8439"/>
      <c r="D8439"/>
      <c r="E8439"/>
      <c r="F8439"/>
      <c r="G8439"/>
      <c r="H8439"/>
      <c r="I8439"/>
      <c r="J8439"/>
    </row>
    <row r="8440" spans="1:10" s="58" customFormat="1" ht="14.45" customHeight="1" x14ac:dyDescent="0.2">
      <c r="A8440"/>
      <c r="B8440"/>
      <c r="C8440"/>
      <c r="D8440"/>
      <c r="E8440"/>
      <c r="F8440"/>
      <c r="G8440"/>
      <c r="H8440"/>
      <c r="I8440"/>
      <c r="J8440"/>
    </row>
    <row r="8460" spans="1:10" s="96" customFormat="1" ht="14.45" customHeight="1" x14ac:dyDescent="0.2">
      <c r="A8460"/>
      <c r="B8460"/>
      <c r="C8460"/>
      <c r="D8460"/>
      <c r="E8460"/>
      <c r="F8460"/>
      <c r="G8460"/>
      <c r="H8460"/>
      <c r="I8460"/>
      <c r="J8460"/>
    </row>
    <row r="8466" spans="1:10" s="58" customFormat="1" ht="14.45" customHeight="1" x14ac:dyDescent="0.2">
      <c r="A8466"/>
      <c r="B8466"/>
      <c r="C8466"/>
      <c r="D8466"/>
      <c r="E8466"/>
      <c r="F8466"/>
      <c r="G8466"/>
      <c r="H8466"/>
      <c r="I8466"/>
      <c r="J8466"/>
    </row>
    <row r="8467" spans="1:10" s="58" customFormat="1" ht="14.45" customHeight="1" x14ac:dyDescent="0.2">
      <c r="A8467"/>
      <c r="B8467"/>
      <c r="C8467"/>
      <c r="D8467"/>
      <c r="E8467"/>
      <c r="F8467"/>
      <c r="G8467"/>
      <c r="H8467"/>
      <c r="I8467"/>
      <c r="J8467"/>
    </row>
    <row r="8487" spans="1:10" s="96" customFormat="1" ht="14.45" customHeight="1" x14ac:dyDescent="0.2">
      <c r="A8487"/>
      <c r="B8487"/>
      <c r="C8487"/>
      <c r="D8487"/>
      <c r="E8487"/>
      <c r="F8487"/>
      <c r="G8487"/>
      <c r="H8487"/>
      <c r="I8487"/>
      <c r="J8487"/>
    </row>
    <row r="8493" spans="1:10" s="58" customFormat="1" ht="14.45" customHeight="1" x14ac:dyDescent="0.2">
      <c r="A8493"/>
      <c r="B8493"/>
      <c r="C8493"/>
      <c r="D8493"/>
      <c r="E8493"/>
      <c r="F8493"/>
      <c r="G8493"/>
      <c r="H8493"/>
      <c r="I8493"/>
      <c r="J8493"/>
    </row>
    <row r="8494" spans="1:10" s="58" customFormat="1" ht="14.45" customHeight="1" x14ac:dyDescent="0.2">
      <c r="A8494"/>
      <c r="B8494"/>
      <c r="C8494"/>
      <c r="D8494"/>
      <c r="E8494"/>
      <c r="F8494"/>
      <c r="G8494"/>
      <c r="H8494"/>
      <c r="I8494"/>
      <c r="J8494"/>
    </row>
    <row r="8514" spans="1:10" s="96" customFormat="1" ht="14.45" customHeight="1" x14ac:dyDescent="0.2">
      <c r="A8514"/>
      <c r="B8514"/>
      <c r="C8514"/>
      <c r="D8514"/>
      <c r="E8514"/>
      <c r="F8514"/>
      <c r="G8514"/>
      <c r="H8514"/>
      <c r="I8514"/>
      <c r="J8514"/>
    </row>
    <row r="8520" spans="1:10" s="58" customFormat="1" ht="14.45" customHeight="1" x14ac:dyDescent="0.2">
      <c r="A8520"/>
      <c r="B8520"/>
      <c r="C8520"/>
      <c r="D8520"/>
      <c r="E8520"/>
      <c r="F8520"/>
      <c r="G8520"/>
      <c r="H8520"/>
      <c r="I8520"/>
      <c r="J8520"/>
    </row>
    <row r="8521" spans="1:10" s="58" customFormat="1" ht="14.45" customHeight="1" x14ac:dyDescent="0.2">
      <c r="A8521"/>
      <c r="B8521"/>
      <c r="C8521"/>
      <c r="D8521"/>
      <c r="E8521"/>
      <c r="F8521"/>
      <c r="G8521"/>
      <c r="H8521"/>
      <c r="I8521"/>
      <c r="J8521"/>
    </row>
    <row r="8541" spans="1:10" s="96" customFormat="1" ht="14.45" customHeight="1" x14ac:dyDescent="0.2">
      <c r="A8541"/>
      <c r="B8541"/>
      <c r="C8541"/>
      <c r="D8541"/>
      <c r="E8541"/>
      <c r="F8541"/>
      <c r="G8541"/>
      <c r="H8541"/>
      <c r="I8541"/>
      <c r="J8541"/>
    </row>
    <row r="8547" spans="1:10" s="58" customFormat="1" ht="14.45" customHeight="1" x14ac:dyDescent="0.2">
      <c r="A8547"/>
      <c r="B8547"/>
      <c r="C8547"/>
      <c r="D8547"/>
      <c r="E8547"/>
      <c r="F8547"/>
      <c r="G8547"/>
      <c r="H8547"/>
      <c r="I8547"/>
      <c r="J8547"/>
    </row>
    <row r="8548" spans="1:10" s="58" customFormat="1" ht="14.45" customHeight="1" x14ac:dyDescent="0.2">
      <c r="A8548"/>
      <c r="B8548"/>
      <c r="C8548"/>
      <c r="D8548"/>
      <c r="E8548"/>
      <c r="F8548"/>
      <c r="G8548"/>
      <c r="H8548"/>
      <c r="I8548"/>
      <c r="J8548"/>
    </row>
    <row r="8568" spans="1:10" s="96" customFormat="1" ht="14.45" customHeight="1" x14ac:dyDescent="0.2">
      <c r="A8568"/>
      <c r="B8568"/>
      <c r="C8568"/>
      <c r="D8568"/>
      <c r="E8568"/>
      <c r="F8568"/>
      <c r="G8568"/>
      <c r="H8568"/>
      <c r="I8568"/>
      <c r="J8568"/>
    </row>
    <row r="8574" spans="1:10" s="58" customFormat="1" ht="14.45" customHeight="1" x14ac:dyDescent="0.2">
      <c r="A8574"/>
      <c r="B8574"/>
      <c r="C8574"/>
      <c r="D8574"/>
      <c r="E8574"/>
      <c r="F8574"/>
      <c r="G8574"/>
      <c r="H8574"/>
      <c r="I8574"/>
      <c r="J8574"/>
    </row>
    <row r="8575" spans="1:10" s="58" customFormat="1" ht="14.45" customHeight="1" x14ac:dyDescent="0.2">
      <c r="A8575"/>
      <c r="B8575"/>
      <c r="C8575"/>
      <c r="D8575"/>
      <c r="E8575"/>
      <c r="F8575"/>
      <c r="G8575"/>
      <c r="H8575"/>
      <c r="I8575"/>
      <c r="J8575"/>
    </row>
    <row r="8595" spans="1:10" s="96" customFormat="1" ht="14.45" customHeight="1" x14ac:dyDescent="0.2">
      <c r="A8595"/>
      <c r="B8595"/>
      <c r="C8595"/>
      <c r="D8595"/>
      <c r="E8595"/>
      <c r="F8595"/>
      <c r="G8595"/>
      <c r="H8595"/>
      <c r="I8595"/>
      <c r="J8595"/>
    </row>
    <row r="8601" spans="1:10" s="58" customFormat="1" ht="14.45" customHeight="1" x14ac:dyDescent="0.2">
      <c r="A8601"/>
      <c r="B8601"/>
      <c r="C8601"/>
      <c r="D8601"/>
      <c r="E8601"/>
      <c r="F8601"/>
      <c r="G8601"/>
      <c r="H8601"/>
      <c r="I8601"/>
      <c r="J8601"/>
    </row>
    <row r="8602" spans="1:10" s="58" customFormat="1" ht="14.45" customHeight="1" x14ac:dyDescent="0.2">
      <c r="A8602"/>
      <c r="B8602"/>
      <c r="C8602"/>
      <c r="D8602"/>
      <c r="E8602"/>
      <c r="F8602"/>
      <c r="G8602"/>
      <c r="H8602"/>
      <c r="I8602"/>
      <c r="J8602"/>
    </row>
    <row r="8622" spans="1:10" s="96" customFormat="1" ht="14.45" customHeight="1" x14ac:dyDescent="0.2">
      <c r="A8622"/>
      <c r="B8622"/>
      <c r="C8622"/>
      <c r="D8622"/>
      <c r="E8622"/>
      <c r="F8622"/>
      <c r="G8622"/>
      <c r="H8622"/>
      <c r="I8622"/>
      <c r="J8622"/>
    </row>
    <row r="8628" spans="1:10" s="58" customFormat="1" ht="14.45" customHeight="1" x14ac:dyDescent="0.2">
      <c r="A8628"/>
      <c r="B8628"/>
      <c r="C8628"/>
      <c r="D8628"/>
      <c r="E8628"/>
      <c r="F8628"/>
      <c r="G8628"/>
      <c r="H8628"/>
      <c r="I8628"/>
      <c r="J8628"/>
    </row>
    <row r="8629" spans="1:10" s="58" customFormat="1" ht="14.45" customHeight="1" x14ac:dyDescent="0.2">
      <c r="A8629"/>
      <c r="B8629"/>
      <c r="C8629"/>
      <c r="D8629"/>
      <c r="E8629"/>
      <c r="F8629"/>
      <c r="G8629"/>
      <c r="H8629"/>
      <c r="I8629"/>
      <c r="J8629"/>
    </row>
    <row r="8649" spans="1:10" s="96" customFormat="1" ht="14.45" customHeight="1" x14ac:dyDescent="0.2">
      <c r="A8649"/>
      <c r="B8649"/>
      <c r="C8649"/>
      <c r="D8649"/>
      <c r="E8649"/>
      <c r="F8649"/>
      <c r="G8649"/>
      <c r="H8649"/>
      <c r="I8649"/>
      <c r="J8649"/>
    </row>
    <row r="8655" spans="1:10" s="58" customFormat="1" ht="14.45" customHeight="1" x14ac:dyDescent="0.2">
      <c r="A8655"/>
      <c r="B8655"/>
      <c r="C8655"/>
      <c r="D8655"/>
      <c r="E8655"/>
      <c r="F8655"/>
      <c r="G8655"/>
      <c r="H8655"/>
      <c r="I8655"/>
      <c r="J8655"/>
    </row>
    <row r="8656" spans="1:10" s="58" customFormat="1" ht="14.45" customHeight="1" x14ac:dyDescent="0.2">
      <c r="A8656"/>
      <c r="B8656"/>
      <c r="C8656"/>
      <c r="D8656"/>
      <c r="E8656"/>
      <c r="F8656"/>
      <c r="G8656"/>
      <c r="H8656"/>
      <c r="I8656"/>
      <c r="J8656"/>
    </row>
    <row r="8676" spans="1:10" s="96" customFormat="1" ht="14.45" customHeight="1" x14ac:dyDescent="0.2">
      <c r="A8676"/>
      <c r="B8676"/>
      <c r="C8676"/>
      <c r="D8676"/>
      <c r="E8676"/>
      <c r="F8676"/>
      <c r="G8676"/>
      <c r="H8676"/>
      <c r="I8676"/>
      <c r="J8676"/>
    </row>
    <row r="8682" spans="1:10" s="58" customFormat="1" ht="14.45" customHeight="1" x14ac:dyDescent="0.2">
      <c r="A8682"/>
      <c r="B8682"/>
      <c r="C8682"/>
      <c r="D8682"/>
      <c r="E8682"/>
      <c r="F8682"/>
      <c r="G8682"/>
      <c r="H8682"/>
      <c r="I8682"/>
      <c r="J8682"/>
    </row>
    <row r="8683" spans="1:10" s="58" customFormat="1" ht="14.45" customHeight="1" x14ac:dyDescent="0.2">
      <c r="A8683"/>
      <c r="B8683"/>
      <c r="C8683"/>
      <c r="D8683"/>
      <c r="E8683"/>
      <c r="F8683"/>
      <c r="G8683"/>
      <c r="H8683"/>
      <c r="I8683"/>
      <c r="J8683"/>
    </row>
    <row r="8703" spans="1:10" s="96" customFormat="1" ht="14.45" customHeight="1" x14ac:dyDescent="0.2">
      <c r="A8703"/>
      <c r="B8703"/>
      <c r="C8703"/>
      <c r="D8703"/>
      <c r="E8703"/>
      <c r="F8703"/>
      <c r="G8703"/>
      <c r="H8703"/>
      <c r="I8703"/>
      <c r="J8703"/>
    </row>
    <row r="8709" spans="1:10" s="58" customFormat="1" ht="14.45" customHeight="1" x14ac:dyDescent="0.2">
      <c r="A8709"/>
      <c r="B8709"/>
      <c r="C8709"/>
      <c r="D8709"/>
      <c r="E8709"/>
      <c r="F8709"/>
      <c r="G8709"/>
      <c r="H8709"/>
      <c r="I8709"/>
      <c r="J8709"/>
    </row>
    <row r="8710" spans="1:10" s="58" customFormat="1" ht="14.45" customHeight="1" x14ac:dyDescent="0.2">
      <c r="A8710"/>
      <c r="B8710"/>
      <c r="C8710"/>
      <c r="D8710"/>
      <c r="E8710"/>
      <c r="F8710"/>
      <c r="G8710"/>
      <c r="H8710"/>
      <c r="I8710"/>
      <c r="J8710"/>
    </row>
    <row r="8730" spans="1:10" s="96" customFormat="1" ht="14.45" customHeight="1" x14ac:dyDescent="0.2">
      <c r="A8730"/>
      <c r="B8730"/>
      <c r="C8730"/>
      <c r="D8730"/>
      <c r="E8730"/>
      <c r="F8730"/>
      <c r="G8730"/>
      <c r="H8730"/>
      <c r="I8730"/>
      <c r="J8730"/>
    </row>
    <row r="8736" spans="1:10" s="58" customFormat="1" ht="14.45" customHeight="1" x14ac:dyDescent="0.2">
      <c r="A8736"/>
      <c r="B8736"/>
      <c r="C8736"/>
      <c r="D8736"/>
      <c r="E8736"/>
      <c r="F8736"/>
      <c r="G8736"/>
      <c r="H8736"/>
      <c r="I8736"/>
      <c r="J8736"/>
    </row>
    <row r="8737" spans="1:10" s="58" customFormat="1" ht="14.45" customHeight="1" x14ac:dyDescent="0.2">
      <c r="A8737"/>
      <c r="B8737"/>
      <c r="C8737"/>
      <c r="D8737"/>
      <c r="E8737"/>
      <c r="F8737"/>
      <c r="G8737"/>
      <c r="H8737"/>
      <c r="I8737"/>
      <c r="J8737"/>
    </row>
    <row r="8757" spans="1:10" s="96" customFormat="1" ht="14.45" customHeight="1" x14ac:dyDescent="0.2">
      <c r="A8757"/>
      <c r="B8757"/>
      <c r="C8757"/>
      <c r="D8757"/>
      <c r="E8757"/>
      <c r="F8757"/>
      <c r="G8757"/>
      <c r="H8757"/>
      <c r="I8757"/>
      <c r="J8757"/>
    </row>
    <row r="8763" spans="1:10" s="58" customFormat="1" ht="14.45" customHeight="1" x14ac:dyDescent="0.2">
      <c r="A8763"/>
      <c r="B8763"/>
      <c r="C8763"/>
      <c r="D8763"/>
      <c r="E8763"/>
      <c r="F8763"/>
      <c r="G8763"/>
      <c r="H8763"/>
      <c r="I8763"/>
      <c r="J8763"/>
    </row>
    <row r="8764" spans="1:10" s="58" customFormat="1" ht="14.45" customHeight="1" x14ac:dyDescent="0.2">
      <c r="A8764"/>
      <c r="B8764"/>
      <c r="C8764"/>
      <c r="D8764"/>
      <c r="E8764"/>
      <c r="F8764"/>
      <c r="G8764"/>
      <c r="H8764"/>
      <c r="I8764"/>
      <c r="J8764"/>
    </row>
    <row r="8784" spans="1:10" s="96" customFormat="1" ht="14.45" customHeight="1" x14ac:dyDescent="0.2">
      <c r="A8784"/>
      <c r="B8784"/>
      <c r="C8784"/>
      <c r="D8784"/>
      <c r="E8784"/>
      <c r="F8784"/>
      <c r="G8784"/>
      <c r="H8784"/>
      <c r="I8784"/>
      <c r="J8784"/>
    </row>
    <row r="8790" spans="1:10" s="58" customFormat="1" ht="14.45" customHeight="1" x14ac:dyDescent="0.2">
      <c r="A8790"/>
      <c r="B8790"/>
      <c r="C8790"/>
      <c r="D8790"/>
      <c r="E8790"/>
      <c r="F8790"/>
      <c r="G8790"/>
      <c r="H8790"/>
      <c r="I8790"/>
      <c r="J8790"/>
    </row>
    <row r="8791" spans="1:10" s="58" customFormat="1" ht="14.45" customHeight="1" x14ac:dyDescent="0.2">
      <c r="A8791"/>
      <c r="B8791"/>
      <c r="C8791"/>
      <c r="D8791"/>
      <c r="E8791"/>
      <c r="F8791"/>
      <c r="G8791"/>
      <c r="H8791"/>
      <c r="I8791"/>
      <c r="J8791"/>
    </row>
    <row r="8811" spans="1:10" s="96" customFormat="1" ht="14.45" customHeight="1" x14ac:dyDescent="0.2">
      <c r="A8811"/>
      <c r="B8811"/>
      <c r="C8811"/>
      <c r="D8811"/>
      <c r="E8811"/>
      <c r="F8811"/>
      <c r="G8811"/>
      <c r="H8811"/>
      <c r="I8811"/>
      <c r="J8811"/>
    </row>
    <row r="8817" spans="1:10" s="58" customFormat="1" ht="14.45" customHeight="1" x14ac:dyDescent="0.2">
      <c r="A8817"/>
      <c r="B8817"/>
      <c r="C8817"/>
      <c r="D8817"/>
      <c r="E8817"/>
      <c r="F8817"/>
      <c r="G8817"/>
      <c r="H8817"/>
      <c r="I8817"/>
      <c r="J8817"/>
    </row>
    <row r="8818" spans="1:10" s="58" customFormat="1" ht="14.45" customHeight="1" x14ac:dyDescent="0.2">
      <c r="A8818"/>
      <c r="B8818"/>
      <c r="C8818"/>
      <c r="D8818"/>
      <c r="E8818"/>
      <c r="F8818"/>
      <c r="G8818"/>
      <c r="H8818"/>
      <c r="I8818"/>
      <c r="J8818"/>
    </row>
    <row r="8838" spans="1:10" s="96" customFormat="1" ht="14.45" customHeight="1" x14ac:dyDescent="0.2">
      <c r="A8838"/>
      <c r="B8838"/>
      <c r="C8838"/>
      <c r="D8838"/>
      <c r="E8838"/>
      <c r="F8838"/>
      <c r="G8838"/>
      <c r="H8838"/>
      <c r="I8838"/>
      <c r="J8838"/>
    </row>
    <row r="8844" spans="1:10" s="58" customFormat="1" ht="14.45" customHeight="1" x14ac:dyDescent="0.2">
      <c r="A8844"/>
      <c r="B8844"/>
      <c r="C8844"/>
      <c r="D8844"/>
      <c r="E8844"/>
      <c r="F8844"/>
      <c r="G8844"/>
      <c r="H8844"/>
      <c r="I8844"/>
      <c r="J8844"/>
    </row>
    <row r="8845" spans="1:10" s="58" customFormat="1" ht="14.45" customHeight="1" x14ac:dyDescent="0.2">
      <c r="A8845"/>
      <c r="B8845"/>
      <c r="C8845"/>
      <c r="D8845"/>
      <c r="E8845"/>
      <c r="F8845"/>
      <c r="G8845"/>
      <c r="H8845"/>
      <c r="I8845"/>
      <c r="J8845"/>
    </row>
    <row r="8865" spans="1:10" s="96" customFormat="1" ht="14.45" customHeight="1" x14ac:dyDescent="0.2">
      <c r="A8865"/>
      <c r="B8865"/>
      <c r="C8865"/>
      <c r="D8865"/>
      <c r="E8865"/>
      <c r="F8865"/>
      <c r="G8865"/>
      <c r="H8865"/>
      <c r="I8865"/>
      <c r="J8865"/>
    </row>
    <row r="8871" spans="1:10" s="58" customFormat="1" ht="14.45" customHeight="1" x14ac:dyDescent="0.2">
      <c r="A8871"/>
      <c r="B8871"/>
      <c r="C8871"/>
      <c r="D8871"/>
      <c r="E8871"/>
      <c r="F8871"/>
      <c r="G8871"/>
      <c r="H8871"/>
      <c r="I8871"/>
      <c r="J8871"/>
    </row>
    <row r="8872" spans="1:10" s="58" customFormat="1" ht="14.45" customHeight="1" x14ac:dyDescent="0.2">
      <c r="A8872"/>
      <c r="B8872"/>
      <c r="C8872"/>
      <c r="D8872"/>
      <c r="E8872"/>
      <c r="F8872"/>
      <c r="G8872"/>
      <c r="H8872"/>
      <c r="I8872"/>
      <c r="J8872"/>
    </row>
    <row r="8892" spans="1:10" s="96" customFormat="1" ht="14.45" customHeight="1" x14ac:dyDescent="0.2">
      <c r="A8892"/>
      <c r="B8892"/>
      <c r="C8892"/>
      <c r="D8892"/>
      <c r="E8892"/>
      <c r="F8892"/>
      <c r="G8892"/>
      <c r="H8892"/>
      <c r="I8892"/>
      <c r="J8892"/>
    </row>
    <row r="8898" spans="1:10" s="58" customFormat="1" ht="14.45" customHeight="1" x14ac:dyDescent="0.2">
      <c r="A8898"/>
      <c r="B8898"/>
      <c r="C8898"/>
      <c r="D8898"/>
      <c r="E8898"/>
      <c r="F8898"/>
      <c r="G8898"/>
      <c r="H8898"/>
      <c r="I8898"/>
      <c r="J8898"/>
    </row>
    <row r="8899" spans="1:10" s="58" customFormat="1" ht="14.45" customHeight="1" x14ac:dyDescent="0.2">
      <c r="A8899"/>
      <c r="B8899"/>
      <c r="C8899"/>
      <c r="D8899"/>
      <c r="E8899"/>
      <c r="F8899"/>
      <c r="G8899"/>
      <c r="H8899"/>
      <c r="I8899"/>
      <c r="J8899"/>
    </row>
    <row r="8919" spans="1:10" s="96" customFormat="1" ht="14.45" customHeight="1" x14ac:dyDescent="0.2">
      <c r="A8919"/>
      <c r="B8919"/>
      <c r="C8919"/>
      <c r="D8919"/>
      <c r="E8919"/>
      <c r="F8919"/>
      <c r="G8919"/>
      <c r="H8919"/>
      <c r="I8919"/>
      <c r="J8919"/>
    </row>
    <row r="8925" spans="1:10" s="58" customFormat="1" ht="14.45" customHeight="1" x14ac:dyDescent="0.2">
      <c r="A8925"/>
      <c r="B8925"/>
      <c r="C8925"/>
      <c r="D8925"/>
      <c r="E8925"/>
      <c r="F8925"/>
      <c r="G8925"/>
      <c r="H8925"/>
      <c r="I8925"/>
      <c r="J8925"/>
    </row>
    <row r="8926" spans="1:10" s="58" customFormat="1" ht="14.45" customHeight="1" x14ac:dyDescent="0.2">
      <c r="A8926"/>
      <c r="B8926"/>
      <c r="C8926"/>
      <c r="D8926"/>
      <c r="E8926"/>
      <c r="F8926"/>
      <c r="G8926"/>
      <c r="H8926"/>
      <c r="I8926"/>
      <c r="J8926"/>
    </row>
    <row r="8946" spans="1:10" s="96" customFormat="1" ht="14.45" customHeight="1" x14ac:dyDescent="0.2">
      <c r="A8946"/>
      <c r="B8946"/>
      <c r="C8946"/>
      <c r="D8946"/>
      <c r="E8946"/>
      <c r="F8946"/>
      <c r="G8946"/>
      <c r="H8946"/>
      <c r="I8946"/>
      <c r="J8946"/>
    </row>
    <row r="8952" spans="1:10" s="58" customFormat="1" ht="14.45" customHeight="1" x14ac:dyDescent="0.2">
      <c r="A8952"/>
      <c r="B8952"/>
      <c r="C8952"/>
      <c r="D8952"/>
      <c r="E8952"/>
      <c r="F8952"/>
      <c r="G8952"/>
      <c r="H8952"/>
      <c r="I8952"/>
      <c r="J8952"/>
    </row>
    <row r="8953" spans="1:10" s="58" customFormat="1" ht="14.45" customHeight="1" x14ac:dyDescent="0.2">
      <c r="A8953"/>
      <c r="B8953"/>
      <c r="C8953"/>
      <c r="D8953"/>
      <c r="E8953"/>
      <c r="F8953"/>
      <c r="G8953"/>
      <c r="H8953"/>
      <c r="I8953"/>
      <c r="J8953"/>
    </row>
    <row r="8973" spans="1:10" s="96" customFormat="1" ht="14.45" customHeight="1" x14ac:dyDescent="0.2">
      <c r="A8973"/>
      <c r="B8973"/>
      <c r="C8973"/>
      <c r="D8973"/>
      <c r="E8973"/>
      <c r="F8973"/>
      <c r="G8973"/>
      <c r="H8973"/>
      <c r="I8973"/>
      <c r="J8973"/>
    </row>
    <row r="8979" spans="1:10" s="58" customFormat="1" ht="14.45" customHeight="1" x14ac:dyDescent="0.2">
      <c r="A8979"/>
      <c r="B8979"/>
      <c r="C8979"/>
      <c r="D8979"/>
      <c r="E8979"/>
      <c r="F8979"/>
      <c r="G8979"/>
      <c r="H8979"/>
      <c r="I8979"/>
      <c r="J8979"/>
    </row>
    <row r="8980" spans="1:10" s="58" customFormat="1" ht="14.45" customHeight="1" x14ac:dyDescent="0.2">
      <c r="A8980"/>
      <c r="B8980"/>
      <c r="C8980"/>
      <c r="D8980"/>
      <c r="E8980"/>
      <c r="F8980"/>
      <c r="G8980"/>
      <c r="H8980"/>
      <c r="I8980"/>
      <c r="J8980"/>
    </row>
    <row r="9000" spans="1:10" s="96" customFormat="1" ht="14.45" customHeight="1" x14ac:dyDescent="0.2">
      <c r="A9000"/>
      <c r="B9000"/>
      <c r="C9000"/>
      <c r="D9000"/>
      <c r="E9000"/>
      <c r="F9000"/>
      <c r="G9000"/>
      <c r="H9000"/>
      <c r="I9000"/>
      <c r="J9000"/>
    </row>
    <row r="9006" spans="1:10" s="58" customFormat="1" ht="14.45" customHeight="1" x14ac:dyDescent="0.2">
      <c r="A9006"/>
      <c r="B9006"/>
      <c r="C9006"/>
      <c r="D9006"/>
      <c r="E9006"/>
      <c r="F9006"/>
      <c r="G9006"/>
      <c r="H9006"/>
      <c r="I9006"/>
      <c r="J9006"/>
    </row>
    <row r="9007" spans="1:10" s="58" customFormat="1" ht="14.45" customHeight="1" x14ac:dyDescent="0.2">
      <c r="A9007"/>
      <c r="B9007"/>
      <c r="C9007"/>
      <c r="D9007"/>
      <c r="E9007"/>
      <c r="F9007"/>
      <c r="G9007"/>
      <c r="H9007"/>
      <c r="I9007"/>
      <c r="J9007"/>
    </row>
    <row r="9027" spans="1:10" s="96" customFormat="1" ht="14.45" customHeight="1" x14ac:dyDescent="0.2">
      <c r="A9027"/>
      <c r="B9027"/>
      <c r="C9027"/>
      <c r="D9027"/>
      <c r="E9027"/>
      <c r="F9027"/>
      <c r="G9027"/>
      <c r="H9027"/>
      <c r="I9027"/>
      <c r="J9027"/>
    </row>
    <row r="9033" spans="1:10" s="58" customFormat="1" ht="14.45" customHeight="1" x14ac:dyDescent="0.2">
      <c r="A9033"/>
      <c r="B9033"/>
      <c r="C9033"/>
      <c r="D9033"/>
      <c r="E9033"/>
      <c r="F9033"/>
      <c r="G9033"/>
      <c r="H9033"/>
      <c r="I9033"/>
      <c r="J9033"/>
    </row>
    <row r="9034" spans="1:10" s="58" customFormat="1" ht="14.45" customHeight="1" x14ac:dyDescent="0.2">
      <c r="A9034"/>
      <c r="B9034"/>
      <c r="C9034"/>
      <c r="D9034"/>
      <c r="E9034"/>
      <c r="F9034"/>
      <c r="G9034"/>
      <c r="H9034"/>
      <c r="I9034"/>
      <c r="J9034"/>
    </row>
    <row r="9054" spans="1:10" s="96" customFormat="1" ht="14.45" customHeight="1" x14ac:dyDescent="0.2">
      <c r="A9054"/>
      <c r="B9054"/>
      <c r="C9054"/>
      <c r="D9054"/>
      <c r="E9054"/>
      <c r="F9054"/>
      <c r="G9054"/>
      <c r="H9054"/>
      <c r="I9054"/>
      <c r="J9054"/>
    </row>
    <row r="9060" spans="1:10" s="58" customFormat="1" ht="14.45" customHeight="1" x14ac:dyDescent="0.2">
      <c r="A9060"/>
      <c r="B9060"/>
      <c r="C9060"/>
      <c r="D9060"/>
      <c r="E9060"/>
      <c r="F9060"/>
      <c r="G9060"/>
      <c r="H9060"/>
      <c r="I9060"/>
      <c r="J9060"/>
    </row>
    <row r="9061" spans="1:10" s="58" customFormat="1" ht="14.45" customHeight="1" x14ac:dyDescent="0.2">
      <c r="A9061"/>
      <c r="B9061"/>
      <c r="C9061"/>
      <c r="D9061"/>
      <c r="E9061"/>
      <c r="F9061"/>
      <c r="G9061"/>
      <c r="H9061"/>
      <c r="I9061"/>
      <c r="J9061"/>
    </row>
    <row r="9081" spans="1:10" s="96" customFormat="1" ht="14.45" customHeight="1" x14ac:dyDescent="0.2">
      <c r="A9081"/>
      <c r="B9081"/>
      <c r="C9081"/>
      <c r="D9081"/>
      <c r="E9081"/>
      <c r="F9081"/>
      <c r="G9081"/>
      <c r="H9081"/>
      <c r="I9081"/>
      <c r="J9081"/>
    </row>
    <row r="9087" spans="1:10" s="58" customFormat="1" ht="14.45" customHeight="1" x14ac:dyDescent="0.2">
      <c r="A9087"/>
      <c r="B9087"/>
      <c r="C9087"/>
      <c r="D9087"/>
      <c r="E9087"/>
      <c r="F9087"/>
      <c r="G9087"/>
      <c r="H9087"/>
      <c r="I9087"/>
      <c r="J9087"/>
    </row>
    <row r="9088" spans="1:10" s="58" customFormat="1" ht="14.45" customHeight="1" x14ac:dyDescent="0.2">
      <c r="A9088"/>
      <c r="B9088"/>
      <c r="C9088"/>
      <c r="D9088"/>
      <c r="E9088"/>
      <c r="F9088"/>
      <c r="G9088"/>
      <c r="H9088"/>
      <c r="I9088"/>
      <c r="J9088"/>
    </row>
    <row r="9108" spans="1:10" s="96" customFormat="1" ht="14.45" customHeight="1" x14ac:dyDescent="0.2">
      <c r="A9108"/>
      <c r="B9108"/>
      <c r="C9108"/>
      <c r="D9108"/>
      <c r="E9108"/>
      <c r="F9108"/>
      <c r="G9108"/>
      <c r="H9108"/>
      <c r="I9108"/>
      <c r="J9108"/>
    </row>
    <row r="9114" spans="1:10" s="58" customFormat="1" ht="14.45" customHeight="1" x14ac:dyDescent="0.2">
      <c r="A9114"/>
      <c r="B9114"/>
      <c r="C9114"/>
      <c r="D9114"/>
      <c r="E9114"/>
      <c r="F9114"/>
      <c r="G9114"/>
      <c r="H9114"/>
      <c r="I9114"/>
      <c r="J9114"/>
    </row>
    <row r="9115" spans="1:10" s="58" customFormat="1" ht="14.45" customHeight="1" x14ac:dyDescent="0.2">
      <c r="A9115"/>
      <c r="B9115"/>
      <c r="C9115"/>
      <c r="D9115"/>
      <c r="E9115"/>
      <c r="F9115"/>
      <c r="G9115"/>
      <c r="H9115"/>
      <c r="I9115"/>
      <c r="J9115"/>
    </row>
    <row r="9135" spans="1:10" s="96" customFormat="1" ht="14.45" customHeight="1" x14ac:dyDescent="0.2">
      <c r="A9135"/>
      <c r="B9135"/>
      <c r="C9135"/>
      <c r="D9135"/>
      <c r="E9135"/>
      <c r="F9135"/>
      <c r="G9135"/>
      <c r="H9135"/>
      <c r="I9135"/>
      <c r="J9135"/>
    </row>
    <row r="9141" spans="1:10" s="58" customFormat="1" ht="14.45" customHeight="1" x14ac:dyDescent="0.2">
      <c r="A9141"/>
      <c r="B9141"/>
      <c r="C9141"/>
      <c r="D9141"/>
      <c r="E9141"/>
      <c r="F9141"/>
      <c r="G9141"/>
      <c r="H9141"/>
      <c r="I9141"/>
      <c r="J9141"/>
    </row>
    <row r="9142" spans="1:10" s="58" customFormat="1" ht="14.45" customHeight="1" x14ac:dyDescent="0.2">
      <c r="A9142"/>
      <c r="B9142"/>
      <c r="C9142"/>
      <c r="D9142"/>
      <c r="E9142"/>
      <c r="F9142"/>
      <c r="G9142"/>
      <c r="H9142"/>
      <c r="I9142"/>
      <c r="J9142"/>
    </row>
    <row r="9162" spans="1:10" s="96" customFormat="1" ht="14.45" customHeight="1" x14ac:dyDescent="0.2">
      <c r="A9162"/>
      <c r="B9162"/>
      <c r="C9162"/>
      <c r="D9162"/>
      <c r="E9162"/>
      <c r="F9162"/>
      <c r="G9162"/>
      <c r="H9162"/>
      <c r="I9162"/>
      <c r="J9162"/>
    </row>
    <row r="9168" spans="1:10" s="58" customFormat="1" ht="14.45" customHeight="1" x14ac:dyDescent="0.2">
      <c r="A9168"/>
      <c r="B9168"/>
      <c r="C9168"/>
      <c r="D9168"/>
      <c r="E9168"/>
      <c r="F9168"/>
      <c r="G9168"/>
      <c r="H9168"/>
      <c r="I9168"/>
      <c r="J9168"/>
    </row>
    <row r="9169" spans="1:10" s="58" customFormat="1" ht="14.45" customHeight="1" x14ac:dyDescent="0.2">
      <c r="A9169"/>
      <c r="B9169"/>
      <c r="C9169"/>
      <c r="D9169"/>
      <c r="E9169"/>
      <c r="F9169"/>
      <c r="G9169"/>
      <c r="H9169"/>
      <c r="I9169"/>
      <c r="J9169"/>
    </row>
    <row r="9189" spans="1:10" s="96" customFormat="1" ht="14.45" customHeight="1" x14ac:dyDescent="0.2">
      <c r="A9189"/>
      <c r="B9189"/>
      <c r="C9189"/>
      <c r="D9189"/>
      <c r="E9189"/>
      <c r="F9189"/>
      <c r="G9189"/>
      <c r="H9189"/>
      <c r="I9189"/>
      <c r="J9189"/>
    </row>
    <row r="9195" spans="1:10" s="58" customFormat="1" ht="14.45" customHeight="1" x14ac:dyDescent="0.2">
      <c r="A9195"/>
      <c r="B9195"/>
      <c r="C9195"/>
      <c r="D9195"/>
      <c r="E9195"/>
      <c r="F9195"/>
      <c r="G9195"/>
      <c r="H9195"/>
      <c r="I9195"/>
      <c r="J9195"/>
    </row>
    <row r="9196" spans="1:10" s="58" customFormat="1" ht="14.45" customHeight="1" x14ac:dyDescent="0.2">
      <c r="A9196"/>
      <c r="B9196"/>
      <c r="C9196"/>
      <c r="D9196"/>
      <c r="E9196"/>
      <c r="F9196"/>
      <c r="G9196"/>
      <c r="H9196"/>
      <c r="I9196"/>
      <c r="J9196"/>
    </row>
    <row r="9216" spans="1:10" s="96" customFormat="1" ht="14.45" customHeight="1" x14ac:dyDescent="0.2">
      <c r="A9216"/>
      <c r="B9216"/>
      <c r="C9216"/>
      <c r="D9216"/>
      <c r="E9216"/>
      <c r="F9216"/>
      <c r="G9216"/>
      <c r="H9216"/>
      <c r="I9216"/>
      <c r="J9216"/>
    </row>
    <row r="9222" spans="1:10" s="58" customFormat="1" ht="14.45" customHeight="1" x14ac:dyDescent="0.2">
      <c r="A9222"/>
      <c r="B9222"/>
      <c r="C9222"/>
      <c r="D9222"/>
      <c r="E9222"/>
      <c r="F9222"/>
      <c r="G9222"/>
      <c r="H9222"/>
      <c r="I9222"/>
      <c r="J9222"/>
    </row>
    <row r="9223" spans="1:10" s="58" customFormat="1" ht="14.45" customHeight="1" x14ac:dyDescent="0.2">
      <c r="A9223"/>
      <c r="B9223"/>
      <c r="C9223"/>
      <c r="D9223"/>
      <c r="E9223"/>
      <c r="F9223"/>
      <c r="G9223"/>
      <c r="H9223"/>
      <c r="I9223"/>
      <c r="J9223"/>
    </row>
    <row r="9243" spans="1:10" s="96" customFormat="1" ht="14.45" customHeight="1" x14ac:dyDescent="0.2">
      <c r="A9243"/>
      <c r="B9243"/>
      <c r="C9243"/>
      <c r="D9243"/>
      <c r="E9243"/>
      <c r="F9243"/>
      <c r="G9243"/>
      <c r="H9243"/>
      <c r="I9243"/>
      <c r="J9243"/>
    </row>
    <row r="9249" spans="1:10" s="58" customFormat="1" ht="14.45" customHeight="1" x14ac:dyDescent="0.2">
      <c r="A9249"/>
      <c r="B9249"/>
      <c r="C9249"/>
      <c r="D9249"/>
      <c r="E9249"/>
      <c r="F9249"/>
      <c r="G9249"/>
      <c r="H9249"/>
      <c r="I9249"/>
      <c r="J9249"/>
    </row>
    <row r="9250" spans="1:10" s="58" customFormat="1" ht="14.45" customHeight="1" x14ac:dyDescent="0.2">
      <c r="A9250"/>
      <c r="B9250"/>
      <c r="C9250"/>
      <c r="D9250"/>
      <c r="E9250"/>
      <c r="F9250"/>
      <c r="G9250"/>
      <c r="H9250"/>
      <c r="I9250"/>
      <c r="J9250"/>
    </row>
    <row r="9270" spans="1:10" s="96" customFormat="1" ht="14.45" customHeight="1" x14ac:dyDescent="0.2">
      <c r="A9270"/>
      <c r="B9270"/>
      <c r="C9270"/>
      <c r="D9270"/>
      <c r="E9270"/>
      <c r="F9270"/>
      <c r="G9270"/>
      <c r="H9270"/>
      <c r="I9270"/>
      <c r="J9270"/>
    </row>
    <row r="9276" spans="1:10" s="58" customFormat="1" ht="14.45" customHeight="1" x14ac:dyDescent="0.2">
      <c r="A9276"/>
      <c r="B9276"/>
      <c r="C9276"/>
      <c r="D9276"/>
      <c r="E9276"/>
      <c r="F9276"/>
      <c r="G9276"/>
      <c r="H9276"/>
      <c r="I9276"/>
      <c r="J9276"/>
    </row>
    <row r="9277" spans="1:10" s="58" customFormat="1" ht="14.45" customHeight="1" x14ac:dyDescent="0.2">
      <c r="A9277"/>
      <c r="B9277"/>
      <c r="C9277"/>
      <c r="D9277"/>
      <c r="E9277"/>
      <c r="F9277"/>
      <c r="G9277"/>
      <c r="H9277"/>
      <c r="I9277"/>
      <c r="J9277"/>
    </row>
    <row r="9297" spans="1:10" s="96" customFormat="1" ht="14.45" customHeight="1" x14ac:dyDescent="0.2">
      <c r="A9297"/>
      <c r="B9297"/>
      <c r="C9297"/>
      <c r="D9297"/>
      <c r="E9297"/>
      <c r="F9297"/>
      <c r="G9297"/>
      <c r="H9297"/>
      <c r="I9297"/>
      <c r="J9297"/>
    </row>
    <row r="9303" spans="1:10" s="58" customFormat="1" ht="14.45" customHeight="1" x14ac:dyDescent="0.2">
      <c r="A9303"/>
      <c r="B9303"/>
      <c r="C9303"/>
      <c r="D9303"/>
      <c r="E9303"/>
      <c r="F9303"/>
      <c r="G9303"/>
      <c r="H9303"/>
      <c r="I9303"/>
      <c r="J9303"/>
    </row>
    <row r="9304" spans="1:10" s="58" customFormat="1" ht="14.45" customHeight="1" x14ac:dyDescent="0.2">
      <c r="A9304"/>
      <c r="B9304"/>
      <c r="C9304"/>
      <c r="D9304"/>
      <c r="E9304"/>
      <c r="F9304"/>
      <c r="G9304"/>
      <c r="H9304"/>
      <c r="I9304"/>
      <c r="J9304"/>
    </row>
    <row r="9324" spans="1:10" s="96" customFormat="1" ht="14.45" customHeight="1" x14ac:dyDescent="0.2">
      <c r="A9324"/>
      <c r="B9324"/>
      <c r="C9324"/>
      <c r="D9324"/>
      <c r="E9324"/>
      <c r="F9324"/>
      <c r="G9324"/>
      <c r="H9324"/>
      <c r="I9324"/>
      <c r="J9324"/>
    </row>
    <row r="9330" spans="1:10" s="58" customFormat="1" ht="14.45" customHeight="1" x14ac:dyDescent="0.2">
      <c r="A9330"/>
      <c r="B9330"/>
      <c r="C9330"/>
      <c r="D9330"/>
      <c r="E9330"/>
      <c r="F9330"/>
      <c r="G9330"/>
      <c r="H9330"/>
      <c r="I9330"/>
      <c r="J9330"/>
    </row>
    <row r="9331" spans="1:10" s="58" customFormat="1" ht="14.45" customHeight="1" x14ac:dyDescent="0.2">
      <c r="A9331"/>
      <c r="B9331"/>
      <c r="C9331"/>
      <c r="D9331"/>
      <c r="E9331"/>
      <c r="F9331"/>
      <c r="G9331"/>
      <c r="H9331"/>
      <c r="I9331"/>
      <c r="J9331"/>
    </row>
    <row r="9351" spans="1:10" s="96" customFormat="1" ht="14.45" customHeight="1" x14ac:dyDescent="0.2">
      <c r="A9351"/>
      <c r="B9351"/>
      <c r="C9351"/>
      <c r="D9351"/>
      <c r="E9351"/>
      <c r="F9351"/>
      <c r="G9351"/>
      <c r="H9351"/>
      <c r="I9351"/>
      <c r="J9351"/>
    </row>
    <row r="9357" spans="1:10" s="58" customFormat="1" ht="14.45" customHeight="1" x14ac:dyDescent="0.2">
      <c r="A9357"/>
      <c r="B9357"/>
      <c r="C9357"/>
      <c r="D9357"/>
      <c r="E9357"/>
      <c r="F9357"/>
      <c r="G9357"/>
      <c r="H9357"/>
      <c r="I9357"/>
      <c r="J9357"/>
    </row>
    <row r="9358" spans="1:10" s="58" customFormat="1" ht="14.45" customHeight="1" x14ac:dyDescent="0.2">
      <c r="A9358"/>
      <c r="B9358"/>
      <c r="C9358"/>
      <c r="D9358"/>
      <c r="E9358"/>
      <c r="F9358"/>
      <c r="G9358"/>
      <c r="H9358"/>
      <c r="I9358"/>
      <c r="J9358"/>
    </row>
    <row r="9378" spans="1:10" s="96" customFormat="1" ht="14.45" customHeight="1" x14ac:dyDescent="0.2">
      <c r="A9378"/>
      <c r="B9378"/>
      <c r="C9378"/>
      <c r="D9378"/>
      <c r="E9378"/>
      <c r="F9378"/>
      <c r="G9378"/>
      <c r="H9378"/>
      <c r="I9378"/>
      <c r="J9378"/>
    </row>
    <row r="9384" spans="1:10" s="58" customFormat="1" ht="14.45" customHeight="1" x14ac:dyDescent="0.2">
      <c r="A9384"/>
      <c r="B9384"/>
      <c r="C9384"/>
      <c r="D9384"/>
      <c r="E9384"/>
      <c r="F9384"/>
      <c r="G9384"/>
      <c r="H9384"/>
      <c r="I9384"/>
      <c r="J9384"/>
    </row>
    <row r="9385" spans="1:10" s="58" customFormat="1" ht="14.45" customHeight="1" x14ac:dyDescent="0.2">
      <c r="A9385"/>
      <c r="B9385"/>
      <c r="C9385"/>
      <c r="D9385"/>
      <c r="E9385"/>
      <c r="F9385"/>
      <c r="G9385"/>
      <c r="H9385"/>
      <c r="I9385"/>
      <c r="J9385"/>
    </row>
    <row r="9405" spans="1:10" s="96" customFormat="1" ht="14.45" customHeight="1" x14ac:dyDescent="0.2">
      <c r="A9405"/>
      <c r="B9405"/>
      <c r="C9405"/>
      <c r="D9405"/>
      <c r="E9405"/>
      <c r="F9405"/>
      <c r="G9405"/>
      <c r="H9405"/>
      <c r="I9405"/>
      <c r="J9405"/>
    </row>
    <row r="9411" spans="1:10" s="58" customFormat="1" ht="14.45" customHeight="1" x14ac:dyDescent="0.2">
      <c r="A9411"/>
      <c r="B9411"/>
      <c r="C9411"/>
      <c r="D9411"/>
      <c r="E9411"/>
      <c r="F9411"/>
      <c r="G9411"/>
      <c r="H9411"/>
      <c r="I9411"/>
      <c r="J9411"/>
    </row>
    <row r="9412" spans="1:10" s="58" customFormat="1" ht="14.45" customHeight="1" x14ac:dyDescent="0.2">
      <c r="A9412"/>
      <c r="B9412"/>
      <c r="C9412"/>
      <c r="D9412"/>
      <c r="E9412"/>
      <c r="F9412"/>
      <c r="G9412"/>
      <c r="H9412"/>
      <c r="I9412"/>
      <c r="J9412"/>
    </row>
    <row r="9432" spans="1:10" s="96" customFormat="1" ht="14.45" customHeight="1" x14ac:dyDescent="0.2">
      <c r="A9432"/>
      <c r="B9432"/>
      <c r="C9432"/>
      <c r="D9432"/>
      <c r="E9432"/>
      <c r="F9432"/>
      <c r="G9432"/>
      <c r="H9432"/>
      <c r="I9432"/>
      <c r="J9432"/>
    </row>
    <row r="9438" spans="1:10" s="58" customFormat="1" ht="14.45" customHeight="1" x14ac:dyDescent="0.2">
      <c r="A9438"/>
      <c r="B9438"/>
      <c r="C9438"/>
      <c r="D9438"/>
      <c r="E9438"/>
      <c r="F9438"/>
      <c r="G9438"/>
      <c r="H9438"/>
      <c r="I9438"/>
      <c r="J9438"/>
    </row>
    <row r="9439" spans="1:10" s="58" customFormat="1" ht="14.45" customHeight="1" x14ac:dyDescent="0.2">
      <c r="A9439"/>
      <c r="B9439"/>
      <c r="C9439"/>
      <c r="D9439"/>
      <c r="E9439"/>
      <c r="F9439"/>
      <c r="G9439"/>
      <c r="H9439"/>
      <c r="I9439"/>
      <c r="J9439"/>
    </row>
    <row r="9459" spans="1:10" s="96" customFormat="1" ht="14.45" customHeight="1" x14ac:dyDescent="0.2">
      <c r="A9459"/>
      <c r="B9459"/>
      <c r="C9459"/>
      <c r="D9459"/>
      <c r="E9459"/>
      <c r="F9459"/>
      <c r="G9459"/>
      <c r="H9459"/>
      <c r="I9459"/>
      <c r="J9459"/>
    </row>
    <row r="9465" spans="1:10" s="58" customFormat="1" ht="14.45" customHeight="1" x14ac:dyDescent="0.2">
      <c r="A9465"/>
      <c r="B9465"/>
      <c r="C9465"/>
      <c r="D9465"/>
      <c r="E9465"/>
      <c r="F9465"/>
      <c r="G9465"/>
      <c r="H9465"/>
      <c r="I9465"/>
      <c r="J9465"/>
    </row>
    <row r="9466" spans="1:10" s="58" customFormat="1" ht="14.45" customHeight="1" x14ac:dyDescent="0.2">
      <c r="A9466"/>
      <c r="B9466"/>
      <c r="C9466"/>
      <c r="D9466"/>
      <c r="E9466"/>
      <c r="F9466"/>
      <c r="G9466"/>
      <c r="H9466"/>
      <c r="I9466"/>
      <c r="J9466"/>
    </row>
    <row r="9486" spans="1:10" s="96" customFormat="1" ht="14.45" customHeight="1" x14ac:dyDescent="0.2">
      <c r="A9486"/>
      <c r="B9486"/>
      <c r="C9486"/>
      <c r="D9486"/>
      <c r="E9486"/>
      <c r="F9486"/>
      <c r="G9486"/>
      <c r="H9486"/>
      <c r="I9486"/>
      <c r="J9486"/>
    </row>
  </sheetData>
  <mergeCells count="24">
    <mergeCell ref="A27:E27"/>
    <mergeCell ref="H27:I27"/>
    <mergeCell ref="G10:G12"/>
    <mergeCell ref="H10:H12"/>
    <mergeCell ref="H22:I22"/>
    <mergeCell ref="A19:H19"/>
    <mergeCell ref="D10:D12"/>
    <mergeCell ref="A1:E1"/>
    <mergeCell ref="F1:I1"/>
    <mergeCell ref="A3:E3"/>
    <mergeCell ref="A10:A12"/>
    <mergeCell ref="B10:B12"/>
    <mergeCell ref="C10:C12"/>
    <mergeCell ref="I10:I12"/>
    <mergeCell ref="A2:E2"/>
    <mergeCell ref="A7:H7"/>
    <mergeCell ref="F10:F12"/>
    <mergeCell ref="F2:I2"/>
    <mergeCell ref="A5:I5"/>
    <mergeCell ref="A21:E21"/>
    <mergeCell ref="A22:E22"/>
    <mergeCell ref="E10:E12"/>
    <mergeCell ref="I13:I14"/>
    <mergeCell ref="H21:I21"/>
  </mergeCells>
  <phoneticPr fontId="3" type="noConversion"/>
  <printOptions horizontalCentered="1"/>
  <pageMargins left="0.2" right="0.2" top="0.25" bottom="0.25" header="0" footer="0"/>
  <pageSetup paperSize="1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886A-E149-41FE-BC3C-DDAA9985BE8D}">
  <sheetPr codeName="Sheet3" filterMode="1">
    <tabColor rgb="FFC00000"/>
  </sheetPr>
  <dimension ref="A1:Y240"/>
  <sheetViews>
    <sheetView tabSelected="1" zoomScaleNormal="10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O235" sqref="O235"/>
    </sheetView>
  </sheetViews>
  <sheetFormatPr defaultRowHeight="15.75" x14ac:dyDescent="0.2"/>
  <cols>
    <col min="1" max="1" width="9.7109375" style="164" customWidth="1"/>
    <col min="2" max="2" width="38.7109375" style="165" customWidth="1"/>
    <col min="3" max="3" width="27" style="166" customWidth="1"/>
    <col min="4" max="4" width="25.85546875" style="166" customWidth="1"/>
    <col min="5" max="5" width="3.140625" style="167" hidden="1" customWidth="1"/>
    <col min="6" max="6" width="20.42578125" style="168" customWidth="1"/>
    <col min="7" max="7" width="14" style="169" customWidth="1"/>
    <col min="8" max="8" width="24.42578125" style="170" customWidth="1"/>
    <col min="9" max="9" width="3.140625" style="170" hidden="1" customWidth="1"/>
    <col min="10" max="10" width="12.42578125" style="171" hidden="1" customWidth="1"/>
    <col min="11" max="11" width="11" style="172" customWidth="1"/>
    <col min="12" max="12" width="9" style="173" hidden="1" customWidth="1"/>
    <col min="13" max="13" width="7.42578125" style="174" hidden="1" customWidth="1"/>
    <col min="14" max="14" width="6.140625" style="170" hidden="1" customWidth="1"/>
    <col min="15" max="15" width="10.5703125" style="175" customWidth="1"/>
    <col min="16" max="16" width="10.42578125" style="176" customWidth="1"/>
    <col min="17" max="17" width="7.140625" style="170" customWidth="1"/>
    <col min="18" max="18" width="10.85546875" style="176" hidden="1" customWidth="1"/>
    <col min="19" max="19" width="7.42578125" style="167" hidden="1" customWidth="1"/>
    <col min="20" max="20" width="9.7109375" style="176" customWidth="1"/>
    <col min="21" max="21" width="16.28515625" style="177" customWidth="1"/>
    <col min="22" max="22" width="18" style="167" customWidth="1"/>
    <col min="23" max="23" width="21.85546875" style="178" hidden="1" customWidth="1"/>
    <col min="24" max="24" width="15.28515625" style="167" customWidth="1"/>
    <col min="25" max="25" width="9.140625" style="167"/>
    <col min="26" max="16384" width="9.140625" style="23"/>
  </cols>
  <sheetData>
    <row r="1" spans="1:25" ht="23.25" customHeight="1" x14ac:dyDescent="0.2">
      <c r="A1" s="230" t="s">
        <v>1613</v>
      </c>
      <c r="B1" s="231"/>
      <c r="C1" s="231"/>
      <c r="D1" s="231"/>
      <c r="E1" s="231"/>
      <c r="F1" s="231"/>
      <c r="G1" s="283"/>
      <c r="H1" s="231"/>
      <c r="I1" s="231"/>
      <c r="J1" s="231"/>
      <c r="K1" s="231"/>
      <c r="L1" s="232"/>
      <c r="M1" s="231"/>
      <c r="N1" s="233"/>
      <c r="O1" s="234"/>
      <c r="P1" s="234"/>
      <c r="Q1" s="231"/>
      <c r="R1" s="234"/>
      <c r="S1" s="231"/>
      <c r="T1" s="234"/>
      <c r="U1" s="231"/>
      <c r="V1" s="231"/>
      <c r="W1" s="231"/>
    </row>
    <row r="2" spans="1:25" ht="23.25" customHeight="1" x14ac:dyDescent="0.2">
      <c r="A2" s="235"/>
      <c r="B2" s="236"/>
      <c r="C2" s="236"/>
      <c r="D2" s="236"/>
      <c r="E2" s="236"/>
      <c r="F2" s="236"/>
      <c r="G2" s="284"/>
      <c r="H2" s="236"/>
      <c r="I2" s="236"/>
      <c r="J2" s="236"/>
      <c r="K2" s="236"/>
      <c r="L2" s="237"/>
      <c r="M2" s="236"/>
      <c r="N2" s="238"/>
      <c r="O2" s="239"/>
      <c r="P2" s="239"/>
      <c r="Q2" s="236"/>
      <c r="R2" s="239"/>
      <c r="S2" s="236"/>
      <c r="T2" s="239"/>
      <c r="U2" s="236"/>
      <c r="V2" s="236"/>
      <c r="W2" s="236"/>
    </row>
    <row r="3" spans="1:25" s="37" customFormat="1" ht="116.25" customHeight="1" x14ac:dyDescent="0.2">
      <c r="A3" s="461" t="s">
        <v>272</v>
      </c>
      <c r="B3" s="407" t="s">
        <v>280</v>
      </c>
      <c r="C3" s="391" t="s">
        <v>469</v>
      </c>
      <c r="D3" s="391" t="s">
        <v>281</v>
      </c>
      <c r="E3" s="489" t="s">
        <v>282</v>
      </c>
      <c r="F3" s="391" t="s">
        <v>468</v>
      </c>
      <c r="G3" s="462" t="s">
        <v>283</v>
      </c>
      <c r="H3" s="391" t="s">
        <v>1206</v>
      </c>
      <c r="I3" s="490" t="s">
        <v>1210</v>
      </c>
      <c r="J3" s="466" t="s">
        <v>271</v>
      </c>
      <c r="K3" s="462" t="s">
        <v>270</v>
      </c>
      <c r="L3" s="490" t="s">
        <v>269</v>
      </c>
      <c r="M3" s="181" t="s">
        <v>284</v>
      </c>
      <c r="N3" s="465" t="s">
        <v>528</v>
      </c>
      <c r="O3" s="463" t="s">
        <v>268</v>
      </c>
      <c r="P3" s="463" t="s">
        <v>267</v>
      </c>
      <c r="Q3" s="391" t="s">
        <v>266</v>
      </c>
      <c r="R3" s="491" t="s">
        <v>265</v>
      </c>
      <c r="S3" s="465" t="s">
        <v>264</v>
      </c>
      <c r="T3" s="463" t="s">
        <v>263</v>
      </c>
      <c r="U3" s="451" t="s">
        <v>28</v>
      </c>
      <c r="V3" s="391" t="s">
        <v>262</v>
      </c>
      <c r="W3" s="490" t="s">
        <v>1119</v>
      </c>
      <c r="X3" s="240"/>
      <c r="Y3" s="240"/>
    </row>
    <row r="4" spans="1:25" s="38" customFormat="1" hidden="1" x14ac:dyDescent="0.2">
      <c r="A4" s="534">
        <v>-1</v>
      </c>
      <c r="B4" s="534">
        <v>-2</v>
      </c>
      <c r="C4" s="534">
        <v>-3</v>
      </c>
      <c r="D4" s="534">
        <v>-4</v>
      </c>
      <c r="E4" s="188">
        <v>-5</v>
      </c>
      <c r="F4" s="534">
        <v>-6</v>
      </c>
      <c r="G4" s="535">
        <v>-7</v>
      </c>
      <c r="H4" s="534">
        <v>-8</v>
      </c>
      <c r="I4" s="188">
        <v>-9</v>
      </c>
      <c r="J4" s="188">
        <v>-10</v>
      </c>
      <c r="K4" s="534">
        <v>-11</v>
      </c>
      <c r="L4" s="188">
        <v>-12</v>
      </c>
      <c r="M4" s="188">
        <v>-13</v>
      </c>
      <c r="N4" s="188">
        <v>-14</v>
      </c>
      <c r="O4" s="536">
        <v>-15</v>
      </c>
      <c r="P4" s="537">
        <v>-15</v>
      </c>
      <c r="Q4" s="534">
        <v>-17</v>
      </c>
      <c r="R4" s="189">
        <v>-18</v>
      </c>
      <c r="S4" s="188">
        <v>-19</v>
      </c>
      <c r="T4" s="534">
        <v>-20</v>
      </c>
      <c r="U4" s="534">
        <v>-21</v>
      </c>
      <c r="V4" s="534">
        <v>-22</v>
      </c>
      <c r="W4" s="190">
        <v>-23</v>
      </c>
      <c r="X4" s="241"/>
      <c r="Y4" s="241"/>
    </row>
    <row r="5" spans="1:25" s="126" customFormat="1" ht="31.5" hidden="1" x14ac:dyDescent="0.25">
      <c r="A5" s="371">
        <v>1</v>
      </c>
      <c r="B5" s="372" t="s">
        <v>1041</v>
      </c>
      <c r="C5" s="372" t="s">
        <v>1247</v>
      </c>
      <c r="D5" s="373" t="s">
        <v>1435</v>
      </c>
      <c r="E5" s="374"/>
      <c r="F5" s="375" t="s">
        <v>958</v>
      </c>
      <c r="G5" s="376" t="s">
        <v>968</v>
      </c>
      <c r="H5" s="374" t="s">
        <v>56</v>
      </c>
      <c r="I5" s="374"/>
      <c r="J5" s="377">
        <v>1711</v>
      </c>
      <c r="K5" s="378" t="s">
        <v>334</v>
      </c>
      <c r="L5" s="379" t="s">
        <v>1036</v>
      </c>
      <c r="M5" s="380" t="s">
        <v>680</v>
      </c>
      <c r="N5" s="374">
        <v>1</v>
      </c>
      <c r="O5" s="381"/>
      <c r="P5" s="381"/>
      <c r="Q5" s="379">
        <v>1</v>
      </c>
      <c r="R5" s="382">
        <f t="shared" ref="R5:R30" si="0">(O5-P5)*Q5</f>
        <v>0</v>
      </c>
      <c r="S5" s="383">
        <v>0</v>
      </c>
      <c r="T5" s="383">
        <f t="shared" ref="T5:T30" si="1">IF((R5-S5)&gt;0,(R5-S5),0)</f>
        <v>0</v>
      </c>
      <c r="U5" s="383">
        <v>4169</v>
      </c>
      <c r="V5" s="384">
        <f>T5*U5</f>
        <v>0</v>
      </c>
      <c r="W5" s="124" t="s">
        <v>1122</v>
      </c>
    </row>
    <row r="6" spans="1:25" s="55" customFormat="1" ht="54.75" customHeight="1" x14ac:dyDescent="0.25">
      <c r="A6" s="385">
        <v>2</v>
      </c>
      <c r="B6" s="386" t="s">
        <v>1038</v>
      </c>
      <c r="C6" s="386" t="s">
        <v>1247</v>
      </c>
      <c r="D6" s="386" t="s">
        <v>1437</v>
      </c>
      <c r="E6" s="492" t="s">
        <v>1524</v>
      </c>
      <c r="F6" s="386" t="s">
        <v>853</v>
      </c>
      <c r="G6" s="388" t="s">
        <v>855</v>
      </c>
      <c r="H6" s="389" t="s">
        <v>56</v>
      </c>
      <c r="I6" s="493"/>
      <c r="J6" s="467">
        <v>3206</v>
      </c>
      <c r="K6" s="390" t="s">
        <v>334</v>
      </c>
      <c r="L6" s="493" t="s">
        <v>1036</v>
      </c>
      <c r="M6" s="391" t="s">
        <v>680</v>
      </c>
      <c r="N6" s="468">
        <v>1</v>
      </c>
      <c r="O6" s="392">
        <v>5814</v>
      </c>
      <c r="P6" s="392">
        <v>5788</v>
      </c>
      <c r="Q6" s="389">
        <v>1</v>
      </c>
      <c r="R6" s="494">
        <f t="shared" si="0"/>
        <v>26</v>
      </c>
      <c r="S6" s="469">
        <v>0</v>
      </c>
      <c r="T6" s="394">
        <f t="shared" si="1"/>
        <v>26</v>
      </c>
      <c r="U6" s="394">
        <v>4169</v>
      </c>
      <c r="V6" s="404">
        <f t="shared" ref="V6:V13" si="2">T6*U6</f>
        <v>108394</v>
      </c>
      <c r="W6" s="495" t="s">
        <v>1122</v>
      </c>
    </row>
    <row r="7" spans="1:25" s="55" customFormat="1" ht="31.5" hidden="1" x14ac:dyDescent="0.25">
      <c r="A7" s="538">
        <v>3</v>
      </c>
      <c r="B7" s="539" t="s">
        <v>1133</v>
      </c>
      <c r="C7" s="539" t="s">
        <v>533</v>
      </c>
      <c r="D7" s="540" t="s">
        <v>625</v>
      </c>
      <c r="E7" s="396"/>
      <c r="F7" s="541" t="s">
        <v>1024</v>
      </c>
      <c r="G7" s="542" t="s">
        <v>626</v>
      </c>
      <c r="H7" s="543" t="s">
        <v>1207</v>
      </c>
      <c r="I7" s="396"/>
      <c r="J7" s="399">
        <v>7771</v>
      </c>
      <c r="K7" s="544" t="s">
        <v>334</v>
      </c>
      <c r="L7" s="396" t="s">
        <v>1037</v>
      </c>
      <c r="M7" s="400" t="s">
        <v>680</v>
      </c>
      <c r="N7" s="396">
        <v>2</v>
      </c>
      <c r="O7" s="545">
        <v>28105</v>
      </c>
      <c r="P7" s="545">
        <v>28105</v>
      </c>
      <c r="Q7" s="546">
        <v>1</v>
      </c>
      <c r="R7" s="393">
        <f t="shared" si="0"/>
        <v>0</v>
      </c>
      <c r="S7" s="394">
        <v>0</v>
      </c>
      <c r="T7" s="547">
        <f t="shared" si="1"/>
        <v>0</v>
      </c>
      <c r="U7" s="547">
        <v>3505</v>
      </c>
      <c r="V7" s="548">
        <f t="shared" si="2"/>
        <v>0</v>
      </c>
      <c r="W7" s="39" t="s">
        <v>1123</v>
      </c>
    </row>
    <row r="8" spans="1:25" s="55" customFormat="1" ht="31.5" x14ac:dyDescent="0.25">
      <c r="A8" s="385">
        <v>4</v>
      </c>
      <c r="B8" s="386" t="s">
        <v>1003</v>
      </c>
      <c r="C8" s="386" t="s">
        <v>1247</v>
      </c>
      <c r="D8" s="386" t="s">
        <v>1436</v>
      </c>
      <c r="E8" s="496"/>
      <c r="F8" s="402" t="s">
        <v>823</v>
      </c>
      <c r="G8" s="433" t="s">
        <v>824</v>
      </c>
      <c r="H8" s="389" t="s">
        <v>56</v>
      </c>
      <c r="I8" s="493"/>
      <c r="J8" s="467">
        <v>5440</v>
      </c>
      <c r="K8" s="390" t="s">
        <v>314</v>
      </c>
      <c r="L8" s="493" t="s">
        <v>1036</v>
      </c>
      <c r="M8" s="400" t="s">
        <v>680</v>
      </c>
      <c r="N8" s="468">
        <v>2</v>
      </c>
      <c r="O8" s="392">
        <v>143496</v>
      </c>
      <c r="P8" s="392">
        <v>140187</v>
      </c>
      <c r="Q8" s="389">
        <v>1</v>
      </c>
      <c r="R8" s="494">
        <f t="shared" si="0"/>
        <v>3309</v>
      </c>
      <c r="S8" s="469">
        <v>0</v>
      </c>
      <c r="T8" s="394">
        <f t="shared" si="1"/>
        <v>3309</v>
      </c>
      <c r="U8" s="394">
        <v>4169</v>
      </c>
      <c r="V8" s="404">
        <f t="shared" si="2"/>
        <v>13795221</v>
      </c>
      <c r="W8" s="495" t="s">
        <v>1122</v>
      </c>
    </row>
    <row r="9" spans="1:25" s="55" customFormat="1" ht="42" customHeight="1" x14ac:dyDescent="0.25">
      <c r="A9" s="385">
        <v>5</v>
      </c>
      <c r="B9" s="386" t="s">
        <v>1038</v>
      </c>
      <c r="C9" s="386" t="s">
        <v>1247</v>
      </c>
      <c r="D9" s="386" t="s">
        <v>1438</v>
      </c>
      <c r="E9" s="492" t="s">
        <v>1524</v>
      </c>
      <c r="F9" s="386" t="s">
        <v>853</v>
      </c>
      <c r="G9" s="388" t="s">
        <v>855</v>
      </c>
      <c r="H9" s="389" t="s">
        <v>56</v>
      </c>
      <c r="I9" s="493"/>
      <c r="J9" s="467">
        <v>4220</v>
      </c>
      <c r="K9" s="390" t="s">
        <v>314</v>
      </c>
      <c r="L9" s="493" t="s">
        <v>1036</v>
      </c>
      <c r="M9" s="391" t="s">
        <v>680</v>
      </c>
      <c r="N9" s="468">
        <v>3</v>
      </c>
      <c r="O9" s="392">
        <v>188215</v>
      </c>
      <c r="P9" s="392">
        <v>184610</v>
      </c>
      <c r="Q9" s="389">
        <v>1</v>
      </c>
      <c r="R9" s="494">
        <f t="shared" si="0"/>
        <v>3605</v>
      </c>
      <c r="S9" s="469">
        <v>0</v>
      </c>
      <c r="T9" s="394">
        <f t="shared" si="1"/>
        <v>3605</v>
      </c>
      <c r="U9" s="394">
        <v>4169</v>
      </c>
      <c r="V9" s="404">
        <f t="shared" si="2"/>
        <v>15029245</v>
      </c>
      <c r="W9" s="495" t="s">
        <v>1122</v>
      </c>
    </row>
    <row r="10" spans="1:25" s="135" customFormat="1" ht="35.25" customHeight="1" x14ac:dyDescent="0.25">
      <c r="A10" s="385">
        <v>6</v>
      </c>
      <c r="B10" s="386" t="s">
        <v>1492</v>
      </c>
      <c r="C10" s="386" t="s">
        <v>1247</v>
      </c>
      <c r="D10" s="386" t="s">
        <v>1491</v>
      </c>
      <c r="E10" s="497" t="s">
        <v>1524</v>
      </c>
      <c r="F10" s="397" t="s">
        <v>853</v>
      </c>
      <c r="G10" s="388" t="s">
        <v>855</v>
      </c>
      <c r="H10" s="389" t="s">
        <v>56</v>
      </c>
      <c r="I10" s="493"/>
      <c r="J10" s="470">
        <v>8737</v>
      </c>
      <c r="K10" s="390" t="s">
        <v>314</v>
      </c>
      <c r="L10" s="493" t="s">
        <v>1036</v>
      </c>
      <c r="M10" s="400" t="s">
        <v>680</v>
      </c>
      <c r="N10" s="468">
        <v>3</v>
      </c>
      <c r="O10" s="392">
        <v>31025</v>
      </c>
      <c r="P10" s="392">
        <v>29211</v>
      </c>
      <c r="Q10" s="389">
        <v>1</v>
      </c>
      <c r="R10" s="494">
        <f>(O10-P10)*Q10</f>
        <v>1814</v>
      </c>
      <c r="S10" s="469">
        <v>0</v>
      </c>
      <c r="T10" s="394">
        <f>IF((R10-S10)&gt;0,(R10-S10),0)</f>
        <v>1814</v>
      </c>
      <c r="U10" s="394">
        <v>4169</v>
      </c>
      <c r="V10" s="404">
        <f t="shared" si="2"/>
        <v>7562566</v>
      </c>
      <c r="W10" s="495" t="s">
        <v>1122</v>
      </c>
    </row>
    <row r="11" spans="1:25" s="135" customFormat="1" ht="31.5" x14ac:dyDescent="0.25">
      <c r="A11" s="385">
        <v>7</v>
      </c>
      <c r="B11" s="386" t="s">
        <v>1235</v>
      </c>
      <c r="C11" s="386" t="s">
        <v>1247</v>
      </c>
      <c r="D11" s="386" t="s">
        <v>1047</v>
      </c>
      <c r="E11" s="497"/>
      <c r="F11" s="397" t="s">
        <v>857</v>
      </c>
      <c r="G11" s="388" t="s">
        <v>858</v>
      </c>
      <c r="H11" s="389" t="s">
        <v>1274</v>
      </c>
      <c r="I11" s="493"/>
      <c r="J11" s="470" t="s">
        <v>436</v>
      </c>
      <c r="K11" s="390" t="s">
        <v>314</v>
      </c>
      <c r="L11" s="493" t="s">
        <v>342</v>
      </c>
      <c r="M11" s="400" t="s">
        <v>332</v>
      </c>
      <c r="N11" s="468">
        <v>4</v>
      </c>
      <c r="O11" s="392">
        <v>439092</v>
      </c>
      <c r="P11" s="392">
        <v>436148</v>
      </c>
      <c r="Q11" s="389">
        <v>1</v>
      </c>
      <c r="R11" s="494">
        <f t="shared" si="0"/>
        <v>2944</v>
      </c>
      <c r="S11" s="469">
        <v>0</v>
      </c>
      <c r="T11" s="394">
        <f t="shared" si="1"/>
        <v>2944</v>
      </c>
      <c r="U11" s="394">
        <v>4169</v>
      </c>
      <c r="V11" s="404">
        <f t="shared" si="2"/>
        <v>12273536</v>
      </c>
      <c r="W11" s="495" t="s">
        <v>1123</v>
      </c>
    </row>
    <row r="12" spans="1:25" s="135" customFormat="1" ht="31.5" x14ac:dyDescent="0.25">
      <c r="A12" s="385">
        <v>8</v>
      </c>
      <c r="B12" s="386" t="s">
        <v>1154</v>
      </c>
      <c r="C12" s="386" t="s">
        <v>1247</v>
      </c>
      <c r="D12" s="386" t="s">
        <v>1047</v>
      </c>
      <c r="E12" s="497">
        <v>38240993</v>
      </c>
      <c r="F12" s="397" t="s">
        <v>888</v>
      </c>
      <c r="G12" s="398" t="s">
        <v>889</v>
      </c>
      <c r="H12" s="389" t="s">
        <v>1274</v>
      </c>
      <c r="I12" s="493"/>
      <c r="J12" s="470">
        <v>2174</v>
      </c>
      <c r="K12" s="390" t="s">
        <v>334</v>
      </c>
      <c r="L12" s="493" t="s">
        <v>352</v>
      </c>
      <c r="M12" s="400" t="s">
        <v>332</v>
      </c>
      <c r="N12" s="468">
        <v>5</v>
      </c>
      <c r="O12" s="392">
        <v>83158</v>
      </c>
      <c r="P12" s="392">
        <v>82313</v>
      </c>
      <c r="Q12" s="389">
        <v>1</v>
      </c>
      <c r="R12" s="494">
        <f t="shared" si="0"/>
        <v>845</v>
      </c>
      <c r="S12" s="469">
        <v>0</v>
      </c>
      <c r="T12" s="394">
        <f t="shared" si="1"/>
        <v>845</v>
      </c>
      <c r="U12" s="394">
        <v>4169</v>
      </c>
      <c r="V12" s="404">
        <f t="shared" si="2"/>
        <v>3522805</v>
      </c>
      <c r="W12" s="495" t="s">
        <v>1123</v>
      </c>
    </row>
    <row r="13" spans="1:25" s="135" customFormat="1" x14ac:dyDescent="0.25">
      <c r="A13" s="385">
        <v>9</v>
      </c>
      <c r="B13" s="386" t="s">
        <v>1381</v>
      </c>
      <c r="C13" s="386" t="s">
        <v>1247</v>
      </c>
      <c r="D13" s="386" t="s">
        <v>1084</v>
      </c>
      <c r="E13" s="492"/>
      <c r="F13" s="397" t="s">
        <v>1493</v>
      </c>
      <c r="G13" s="388" t="s">
        <v>1382</v>
      </c>
      <c r="H13" s="389" t="s">
        <v>1274</v>
      </c>
      <c r="I13" s="493"/>
      <c r="J13" s="470">
        <v>1738</v>
      </c>
      <c r="K13" s="390" t="s">
        <v>334</v>
      </c>
      <c r="L13" s="493" t="s">
        <v>1040</v>
      </c>
      <c r="M13" s="400" t="s">
        <v>332</v>
      </c>
      <c r="N13" s="468">
        <v>6</v>
      </c>
      <c r="O13" s="392">
        <v>7342</v>
      </c>
      <c r="P13" s="392">
        <v>3511</v>
      </c>
      <c r="Q13" s="389">
        <v>1</v>
      </c>
      <c r="R13" s="494">
        <f>(O13-P13)*Q13</f>
        <v>3831</v>
      </c>
      <c r="S13" s="469">
        <v>0</v>
      </c>
      <c r="T13" s="394">
        <f>IF((R13-S13)&gt;0,(R13-S13),0)</f>
        <v>3831</v>
      </c>
      <c r="U13" s="394">
        <v>4169</v>
      </c>
      <c r="V13" s="404">
        <f t="shared" si="2"/>
        <v>15971439</v>
      </c>
      <c r="W13" s="495" t="s">
        <v>1123</v>
      </c>
    </row>
    <row r="14" spans="1:25" s="135" customFormat="1" x14ac:dyDescent="0.25">
      <c r="A14" s="385">
        <v>10</v>
      </c>
      <c r="B14" s="386" t="s">
        <v>1488</v>
      </c>
      <c r="C14" s="386" t="s">
        <v>1247</v>
      </c>
      <c r="D14" s="386" t="s">
        <v>1084</v>
      </c>
      <c r="E14" s="492"/>
      <c r="F14" s="397" t="s">
        <v>1489</v>
      </c>
      <c r="G14" s="388" t="s">
        <v>1490</v>
      </c>
      <c r="H14" s="389" t="s">
        <v>1274</v>
      </c>
      <c r="I14" s="493"/>
      <c r="J14" s="470">
        <v>2709</v>
      </c>
      <c r="K14" s="390" t="s">
        <v>314</v>
      </c>
      <c r="L14" s="493" t="s">
        <v>1040</v>
      </c>
      <c r="M14" s="400" t="s">
        <v>332</v>
      </c>
      <c r="N14" s="468">
        <v>6</v>
      </c>
      <c r="O14" s="392">
        <v>22029</v>
      </c>
      <c r="P14" s="392">
        <v>19132</v>
      </c>
      <c r="Q14" s="389">
        <v>1</v>
      </c>
      <c r="R14" s="494">
        <f t="shared" si="0"/>
        <v>2897</v>
      </c>
      <c r="S14" s="469">
        <v>0</v>
      </c>
      <c r="T14" s="394">
        <f t="shared" si="1"/>
        <v>2897</v>
      </c>
      <c r="U14" s="394">
        <v>4169</v>
      </c>
      <c r="V14" s="404">
        <f t="shared" ref="V14:V30" si="3">T14*U14</f>
        <v>12077593</v>
      </c>
      <c r="W14" s="495" t="s">
        <v>1123</v>
      </c>
    </row>
    <row r="15" spans="1:25" s="135" customFormat="1" ht="31.5" x14ac:dyDescent="0.25">
      <c r="A15" s="385">
        <v>11</v>
      </c>
      <c r="B15" s="386" t="s">
        <v>1480</v>
      </c>
      <c r="C15" s="386" t="s">
        <v>1247</v>
      </c>
      <c r="D15" s="386" t="s">
        <v>1047</v>
      </c>
      <c r="E15" s="497"/>
      <c r="F15" s="397" t="s">
        <v>1383</v>
      </c>
      <c r="G15" s="388" t="s">
        <v>1384</v>
      </c>
      <c r="H15" s="389" t="s">
        <v>1274</v>
      </c>
      <c r="I15" s="493"/>
      <c r="J15" s="470">
        <v>3448</v>
      </c>
      <c r="K15" s="390" t="s">
        <v>314</v>
      </c>
      <c r="L15" s="493" t="s">
        <v>352</v>
      </c>
      <c r="M15" s="400" t="s">
        <v>332</v>
      </c>
      <c r="N15" s="468">
        <v>6</v>
      </c>
      <c r="O15" s="392">
        <v>485846</v>
      </c>
      <c r="P15" s="392">
        <v>480771</v>
      </c>
      <c r="Q15" s="389">
        <v>1</v>
      </c>
      <c r="R15" s="494">
        <f t="shared" si="0"/>
        <v>5075</v>
      </c>
      <c r="S15" s="469">
        <v>0</v>
      </c>
      <c r="T15" s="394">
        <f t="shared" si="1"/>
        <v>5075</v>
      </c>
      <c r="U15" s="394">
        <v>4169</v>
      </c>
      <c r="V15" s="404">
        <f t="shared" si="3"/>
        <v>21157675</v>
      </c>
      <c r="W15" s="495" t="s">
        <v>1123</v>
      </c>
    </row>
    <row r="16" spans="1:25" s="135" customFormat="1" ht="31.5" x14ac:dyDescent="0.25">
      <c r="A16" s="385">
        <v>12</v>
      </c>
      <c r="B16" s="386" t="s">
        <v>1487</v>
      </c>
      <c r="C16" s="386" t="s">
        <v>1247</v>
      </c>
      <c r="D16" s="386" t="s">
        <v>1083</v>
      </c>
      <c r="E16" s="496"/>
      <c r="F16" s="397" t="s">
        <v>717</v>
      </c>
      <c r="G16" s="405" t="s">
        <v>718</v>
      </c>
      <c r="H16" s="389" t="s">
        <v>1274</v>
      </c>
      <c r="I16" s="493"/>
      <c r="J16" s="470">
        <v>2028</v>
      </c>
      <c r="K16" s="390" t="s">
        <v>334</v>
      </c>
      <c r="L16" s="493" t="s">
        <v>1533</v>
      </c>
      <c r="M16" s="400" t="s">
        <v>332</v>
      </c>
      <c r="N16" s="468">
        <v>7</v>
      </c>
      <c r="O16" s="392">
        <v>15509</v>
      </c>
      <c r="P16" s="392">
        <v>13898</v>
      </c>
      <c r="Q16" s="389">
        <v>1</v>
      </c>
      <c r="R16" s="494">
        <f t="shared" si="0"/>
        <v>1611</v>
      </c>
      <c r="S16" s="469">
        <v>0</v>
      </c>
      <c r="T16" s="394">
        <f t="shared" si="1"/>
        <v>1611</v>
      </c>
      <c r="U16" s="394">
        <v>4169</v>
      </c>
      <c r="V16" s="404">
        <f t="shared" si="3"/>
        <v>6716259</v>
      </c>
      <c r="W16" s="495" t="s">
        <v>1123</v>
      </c>
    </row>
    <row r="17" spans="1:23" s="135" customFormat="1" ht="39.75" customHeight="1" x14ac:dyDescent="0.25">
      <c r="A17" s="385">
        <v>13</v>
      </c>
      <c r="B17" s="386" t="s">
        <v>784</v>
      </c>
      <c r="C17" s="386" t="s">
        <v>1247</v>
      </c>
      <c r="D17" s="386" t="s">
        <v>1046</v>
      </c>
      <c r="E17" s="496" t="s">
        <v>718</v>
      </c>
      <c r="F17" s="397" t="s">
        <v>717</v>
      </c>
      <c r="G17" s="405" t="s">
        <v>718</v>
      </c>
      <c r="H17" s="389" t="s">
        <v>1274</v>
      </c>
      <c r="I17" s="493"/>
      <c r="J17" s="470">
        <v>9307</v>
      </c>
      <c r="K17" s="390" t="s">
        <v>314</v>
      </c>
      <c r="L17" s="493" t="s">
        <v>352</v>
      </c>
      <c r="M17" s="400" t="s">
        <v>332</v>
      </c>
      <c r="N17" s="468">
        <v>8</v>
      </c>
      <c r="O17" s="392">
        <v>109970</v>
      </c>
      <c r="P17" s="392">
        <v>105798</v>
      </c>
      <c r="Q17" s="389">
        <v>1</v>
      </c>
      <c r="R17" s="494">
        <f t="shared" si="0"/>
        <v>4172</v>
      </c>
      <c r="S17" s="469">
        <v>0</v>
      </c>
      <c r="T17" s="394">
        <f t="shared" si="1"/>
        <v>4172</v>
      </c>
      <c r="U17" s="394">
        <v>4169</v>
      </c>
      <c r="V17" s="404">
        <f t="shared" si="3"/>
        <v>17393068</v>
      </c>
      <c r="W17" s="495" t="s">
        <v>1123</v>
      </c>
    </row>
    <row r="18" spans="1:23" s="135" customFormat="1" x14ac:dyDescent="0.25">
      <c r="A18" s="385">
        <v>14</v>
      </c>
      <c r="B18" s="386" t="s">
        <v>1481</v>
      </c>
      <c r="C18" s="386" t="s">
        <v>1247</v>
      </c>
      <c r="D18" s="386" t="s">
        <v>1083</v>
      </c>
      <c r="E18" s="497"/>
      <c r="F18" s="397" t="s">
        <v>1171</v>
      </c>
      <c r="G18" s="388" t="s">
        <v>1172</v>
      </c>
      <c r="H18" s="389" t="s">
        <v>1274</v>
      </c>
      <c r="I18" s="493"/>
      <c r="J18" s="470">
        <v>8259</v>
      </c>
      <c r="K18" s="390" t="s">
        <v>334</v>
      </c>
      <c r="L18" s="493" t="s">
        <v>1532</v>
      </c>
      <c r="M18" s="400" t="s">
        <v>332</v>
      </c>
      <c r="N18" s="468">
        <v>8</v>
      </c>
      <c r="O18" s="392">
        <v>12634</v>
      </c>
      <c r="P18" s="392">
        <v>10219</v>
      </c>
      <c r="Q18" s="389">
        <v>1</v>
      </c>
      <c r="R18" s="494">
        <f t="shared" si="0"/>
        <v>2415</v>
      </c>
      <c r="S18" s="469">
        <v>0</v>
      </c>
      <c r="T18" s="394">
        <f t="shared" si="1"/>
        <v>2415</v>
      </c>
      <c r="U18" s="394">
        <v>4169</v>
      </c>
      <c r="V18" s="404">
        <f t="shared" si="3"/>
        <v>10068135</v>
      </c>
      <c r="W18" s="495" t="s">
        <v>1123</v>
      </c>
    </row>
    <row r="19" spans="1:23" s="135" customFormat="1" x14ac:dyDescent="0.25">
      <c r="A19" s="385">
        <v>15</v>
      </c>
      <c r="B19" s="386" t="s">
        <v>1385</v>
      </c>
      <c r="C19" s="386" t="s">
        <v>1247</v>
      </c>
      <c r="D19" s="386" t="s">
        <v>1083</v>
      </c>
      <c r="E19" s="497"/>
      <c r="F19" s="397" t="s">
        <v>1141</v>
      </c>
      <c r="G19" s="388" t="s">
        <v>411</v>
      </c>
      <c r="H19" s="389" t="s">
        <v>1274</v>
      </c>
      <c r="I19" s="493"/>
      <c r="J19" s="470">
        <v>7671</v>
      </c>
      <c r="K19" s="390" t="s">
        <v>314</v>
      </c>
      <c r="L19" s="493" t="s">
        <v>686</v>
      </c>
      <c r="M19" s="400" t="s">
        <v>332</v>
      </c>
      <c r="N19" s="468">
        <v>9</v>
      </c>
      <c r="O19" s="392">
        <v>347723</v>
      </c>
      <c r="P19" s="392">
        <v>342391</v>
      </c>
      <c r="Q19" s="389">
        <v>1</v>
      </c>
      <c r="R19" s="494">
        <f t="shared" si="0"/>
        <v>5332</v>
      </c>
      <c r="S19" s="469">
        <v>0</v>
      </c>
      <c r="T19" s="394">
        <f t="shared" si="1"/>
        <v>5332</v>
      </c>
      <c r="U19" s="394">
        <v>4169</v>
      </c>
      <c r="V19" s="404">
        <f t="shared" si="3"/>
        <v>22229108</v>
      </c>
      <c r="W19" s="495" t="s">
        <v>1123</v>
      </c>
    </row>
    <row r="20" spans="1:23" s="135" customFormat="1" ht="36.75" customHeight="1" x14ac:dyDescent="0.25">
      <c r="A20" s="385">
        <v>16</v>
      </c>
      <c r="B20" s="386" t="s">
        <v>1320</v>
      </c>
      <c r="C20" s="386" t="s">
        <v>1247</v>
      </c>
      <c r="D20" s="386" t="s">
        <v>1048</v>
      </c>
      <c r="E20" s="498" t="s">
        <v>621</v>
      </c>
      <c r="F20" s="397" t="s">
        <v>620</v>
      </c>
      <c r="G20" s="398" t="s">
        <v>621</v>
      </c>
      <c r="H20" s="389" t="s">
        <v>1274</v>
      </c>
      <c r="I20" s="493"/>
      <c r="J20" s="470" t="s">
        <v>394</v>
      </c>
      <c r="K20" s="390" t="s">
        <v>314</v>
      </c>
      <c r="L20" s="493" t="s">
        <v>393</v>
      </c>
      <c r="M20" s="400" t="s">
        <v>332</v>
      </c>
      <c r="N20" s="468">
        <v>9</v>
      </c>
      <c r="O20" s="392">
        <v>198968</v>
      </c>
      <c r="P20" s="392">
        <v>195768</v>
      </c>
      <c r="Q20" s="389">
        <v>1</v>
      </c>
      <c r="R20" s="494">
        <f t="shared" si="0"/>
        <v>3200</v>
      </c>
      <c r="S20" s="469">
        <v>0</v>
      </c>
      <c r="T20" s="394">
        <f t="shared" si="1"/>
        <v>3200</v>
      </c>
      <c r="U20" s="394">
        <v>4169</v>
      </c>
      <c r="V20" s="404">
        <f t="shared" si="3"/>
        <v>13340800</v>
      </c>
      <c r="W20" s="495" t="s">
        <v>1123</v>
      </c>
    </row>
    <row r="21" spans="1:23" s="135" customFormat="1" ht="43.5" customHeight="1" x14ac:dyDescent="0.25">
      <c r="A21" s="385">
        <v>17</v>
      </c>
      <c r="B21" s="395" t="s">
        <v>1039</v>
      </c>
      <c r="C21" s="386" t="s">
        <v>1247</v>
      </c>
      <c r="D21" s="395" t="s">
        <v>1028</v>
      </c>
      <c r="E21" s="499" t="s">
        <v>1025</v>
      </c>
      <c r="F21" s="395" t="s">
        <v>1026</v>
      </c>
      <c r="G21" s="388" t="s">
        <v>1027</v>
      </c>
      <c r="H21" s="406"/>
      <c r="I21" s="505"/>
      <c r="J21" s="470">
        <v>1778</v>
      </c>
      <c r="K21" s="390" t="s">
        <v>334</v>
      </c>
      <c r="L21" s="508" t="s">
        <v>1028</v>
      </c>
      <c r="M21" s="407" t="s">
        <v>668</v>
      </c>
      <c r="N21" s="473">
        <v>10</v>
      </c>
      <c r="O21" s="392">
        <v>89343</v>
      </c>
      <c r="P21" s="392">
        <v>88393</v>
      </c>
      <c r="Q21" s="389">
        <v>1</v>
      </c>
      <c r="R21" s="494">
        <f t="shared" si="0"/>
        <v>950</v>
      </c>
      <c r="S21" s="469">
        <v>0</v>
      </c>
      <c r="T21" s="394">
        <f t="shared" si="1"/>
        <v>950</v>
      </c>
      <c r="U21" s="394">
        <v>4169</v>
      </c>
      <c r="V21" s="404">
        <f t="shared" si="3"/>
        <v>3960550</v>
      </c>
      <c r="W21" s="495" t="s">
        <v>1123</v>
      </c>
    </row>
    <row r="22" spans="1:23" s="135" customFormat="1" ht="33" customHeight="1" x14ac:dyDescent="0.25">
      <c r="A22" s="385">
        <v>18</v>
      </c>
      <c r="B22" s="386" t="s">
        <v>1263</v>
      </c>
      <c r="C22" s="386" t="s">
        <v>1247</v>
      </c>
      <c r="D22" s="386" t="s">
        <v>1194</v>
      </c>
      <c r="E22" s="498" t="s">
        <v>621</v>
      </c>
      <c r="F22" s="397" t="s">
        <v>620</v>
      </c>
      <c r="G22" s="398" t="s">
        <v>621</v>
      </c>
      <c r="H22" s="389" t="s">
        <v>1275</v>
      </c>
      <c r="I22" s="493"/>
      <c r="J22" s="470">
        <v>4936</v>
      </c>
      <c r="K22" s="390" t="s">
        <v>314</v>
      </c>
      <c r="L22" s="493" t="s">
        <v>1321</v>
      </c>
      <c r="M22" s="400" t="s">
        <v>332</v>
      </c>
      <c r="N22" s="468">
        <v>9</v>
      </c>
      <c r="O22" s="392">
        <v>32418</v>
      </c>
      <c r="P22" s="392">
        <v>32209</v>
      </c>
      <c r="Q22" s="389">
        <v>1</v>
      </c>
      <c r="R22" s="494">
        <f t="shared" si="0"/>
        <v>209</v>
      </c>
      <c r="S22" s="469">
        <v>0</v>
      </c>
      <c r="T22" s="394">
        <f t="shared" si="1"/>
        <v>209</v>
      </c>
      <c r="U22" s="394">
        <v>4169</v>
      </c>
      <c r="V22" s="404">
        <f t="shared" si="3"/>
        <v>871321</v>
      </c>
      <c r="W22" s="495" t="s">
        <v>1123</v>
      </c>
    </row>
    <row r="23" spans="1:23" s="135" customFormat="1" ht="33.75" customHeight="1" x14ac:dyDescent="0.25">
      <c r="A23" s="385">
        <v>19</v>
      </c>
      <c r="B23" s="386" t="s">
        <v>724</v>
      </c>
      <c r="C23" s="386" t="s">
        <v>724</v>
      </c>
      <c r="D23" s="386" t="s">
        <v>727</v>
      </c>
      <c r="E23" s="500" t="s">
        <v>726</v>
      </c>
      <c r="F23" s="397" t="s">
        <v>1091</v>
      </c>
      <c r="G23" s="388" t="s">
        <v>1092</v>
      </c>
      <c r="H23" s="396" t="s">
        <v>332</v>
      </c>
      <c r="I23" s="506"/>
      <c r="J23" s="471">
        <v>1478</v>
      </c>
      <c r="K23" s="390" t="s">
        <v>314</v>
      </c>
      <c r="L23" s="506" t="s">
        <v>1160</v>
      </c>
      <c r="M23" s="391" t="s">
        <v>332</v>
      </c>
      <c r="N23" s="474">
        <v>11</v>
      </c>
      <c r="O23" s="392">
        <v>304740</v>
      </c>
      <c r="P23" s="392">
        <v>301434</v>
      </c>
      <c r="Q23" s="389">
        <v>1</v>
      </c>
      <c r="R23" s="494">
        <f t="shared" si="0"/>
        <v>3306</v>
      </c>
      <c r="S23" s="469">
        <v>0</v>
      </c>
      <c r="T23" s="394">
        <f t="shared" si="1"/>
        <v>3306</v>
      </c>
      <c r="U23" s="394">
        <v>4169</v>
      </c>
      <c r="V23" s="404">
        <f t="shared" si="3"/>
        <v>13782714</v>
      </c>
      <c r="W23" s="495" t="s">
        <v>1123</v>
      </c>
    </row>
    <row r="24" spans="1:23" s="135" customFormat="1" ht="42" customHeight="1" x14ac:dyDescent="0.25">
      <c r="A24" s="385">
        <v>20</v>
      </c>
      <c r="B24" s="386" t="s">
        <v>1305</v>
      </c>
      <c r="C24" s="386" t="s">
        <v>1306</v>
      </c>
      <c r="D24" s="386" t="s">
        <v>1035</v>
      </c>
      <c r="E24" s="492" t="s">
        <v>798</v>
      </c>
      <c r="F24" s="397" t="s">
        <v>1439</v>
      </c>
      <c r="G24" s="388" t="s">
        <v>1440</v>
      </c>
      <c r="H24" s="389" t="s">
        <v>332</v>
      </c>
      <c r="I24" s="493"/>
      <c r="J24" s="470">
        <v>90445</v>
      </c>
      <c r="K24" s="390" t="s">
        <v>314</v>
      </c>
      <c r="L24" s="493" t="s">
        <v>1040</v>
      </c>
      <c r="M24" s="400" t="s">
        <v>332</v>
      </c>
      <c r="N24" s="468">
        <v>12</v>
      </c>
      <c r="O24" s="392">
        <v>493925</v>
      </c>
      <c r="P24" s="392">
        <v>481603</v>
      </c>
      <c r="Q24" s="389">
        <v>1</v>
      </c>
      <c r="R24" s="494">
        <f t="shared" si="0"/>
        <v>12322</v>
      </c>
      <c r="S24" s="469">
        <v>0</v>
      </c>
      <c r="T24" s="394">
        <f t="shared" si="1"/>
        <v>12322</v>
      </c>
      <c r="U24" s="394">
        <v>4169</v>
      </c>
      <c r="V24" s="404">
        <f t="shared" si="3"/>
        <v>51370418</v>
      </c>
      <c r="W24" s="495" t="s">
        <v>1123</v>
      </c>
    </row>
    <row r="25" spans="1:23" s="135" customFormat="1" x14ac:dyDescent="0.25">
      <c r="A25" s="385">
        <v>21</v>
      </c>
      <c r="B25" s="386" t="s">
        <v>1396</v>
      </c>
      <c r="C25" s="386"/>
      <c r="D25" s="386" t="s">
        <v>1444</v>
      </c>
      <c r="E25" s="492"/>
      <c r="F25" s="397" t="s">
        <v>1397</v>
      </c>
      <c r="G25" s="388" t="s">
        <v>1398</v>
      </c>
      <c r="H25" s="389"/>
      <c r="I25" s="493"/>
      <c r="J25" s="470">
        <v>3307</v>
      </c>
      <c r="K25" s="390" t="s">
        <v>314</v>
      </c>
      <c r="L25" s="493" t="s">
        <v>1040</v>
      </c>
      <c r="M25" s="400" t="s">
        <v>332</v>
      </c>
      <c r="N25" s="468">
        <v>12</v>
      </c>
      <c r="O25" s="392">
        <v>79570</v>
      </c>
      <c r="P25" s="392">
        <v>74040</v>
      </c>
      <c r="Q25" s="389">
        <v>1</v>
      </c>
      <c r="R25" s="494">
        <f>(O25-P25)*Q25</f>
        <v>5530</v>
      </c>
      <c r="S25" s="469">
        <v>0</v>
      </c>
      <c r="T25" s="394">
        <f>IF((R25-S25)&gt;0,(R25-S25),0)</f>
        <v>5530</v>
      </c>
      <c r="U25" s="394">
        <v>4169</v>
      </c>
      <c r="V25" s="404">
        <f>T25*U25</f>
        <v>23054570</v>
      </c>
      <c r="W25" s="495" t="s">
        <v>1122</v>
      </c>
    </row>
    <row r="26" spans="1:23" s="135" customFormat="1" ht="32.25" customHeight="1" x14ac:dyDescent="0.25">
      <c r="A26" s="385">
        <v>22</v>
      </c>
      <c r="B26" s="386" t="s">
        <v>1290</v>
      </c>
      <c r="C26" s="386" t="s">
        <v>1285</v>
      </c>
      <c r="D26" s="386" t="s">
        <v>1291</v>
      </c>
      <c r="E26" s="501" t="s">
        <v>1292</v>
      </c>
      <c r="F26" s="397" t="s">
        <v>1287</v>
      </c>
      <c r="G26" s="388" t="s">
        <v>1288</v>
      </c>
      <c r="H26" s="389" t="s">
        <v>1286</v>
      </c>
      <c r="I26" s="507"/>
      <c r="J26" s="472" t="s">
        <v>1289</v>
      </c>
      <c r="K26" s="390" t="s">
        <v>314</v>
      </c>
      <c r="L26" s="507" t="s">
        <v>1040</v>
      </c>
      <c r="M26" s="409" t="s">
        <v>313</v>
      </c>
      <c r="N26" s="475">
        <v>12</v>
      </c>
      <c r="O26" s="392">
        <v>4438</v>
      </c>
      <c r="P26" s="392">
        <v>0</v>
      </c>
      <c r="Q26" s="389">
        <v>1</v>
      </c>
      <c r="R26" s="509">
        <f>(O26-P26)*Q26</f>
        <v>4438</v>
      </c>
      <c r="S26" s="476">
        <v>0</v>
      </c>
      <c r="T26" s="394">
        <f>IF((R26-S26)&gt;0,(R26-S26),0)</f>
        <v>4438</v>
      </c>
      <c r="U26" s="394">
        <v>4169</v>
      </c>
      <c r="V26" s="404">
        <f>T26*U26</f>
        <v>18502022</v>
      </c>
      <c r="W26" s="510" t="s">
        <v>1124</v>
      </c>
    </row>
    <row r="27" spans="1:23" s="135" customFormat="1" ht="36" customHeight="1" x14ac:dyDescent="0.25">
      <c r="A27" s="385">
        <v>23</v>
      </c>
      <c r="B27" s="386" t="s">
        <v>966</v>
      </c>
      <c r="C27" s="386" t="s">
        <v>967</v>
      </c>
      <c r="D27" s="395" t="s">
        <v>627</v>
      </c>
      <c r="E27" s="502" t="s">
        <v>1578</v>
      </c>
      <c r="F27" s="424" t="s">
        <v>1580</v>
      </c>
      <c r="G27" s="425" t="s">
        <v>1579</v>
      </c>
      <c r="H27" s="396" t="s">
        <v>1230</v>
      </c>
      <c r="I27" s="506"/>
      <c r="J27" s="471">
        <v>9045</v>
      </c>
      <c r="K27" s="390" t="s">
        <v>314</v>
      </c>
      <c r="L27" s="506" t="s">
        <v>1052</v>
      </c>
      <c r="M27" s="400" t="s">
        <v>681</v>
      </c>
      <c r="N27" s="474">
        <v>13</v>
      </c>
      <c r="O27" s="392">
        <v>201790</v>
      </c>
      <c r="P27" s="392">
        <v>198973</v>
      </c>
      <c r="Q27" s="389">
        <v>1</v>
      </c>
      <c r="R27" s="494">
        <f t="shared" si="0"/>
        <v>2817</v>
      </c>
      <c r="S27" s="469">
        <v>0</v>
      </c>
      <c r="T27" s="394">
        <f t="shared" si="1"/>
        <v>2817</v>
      </c>
      <c r="U27" s="394">
        <v>4169</v>
      </c>
      <c r="V27" s="404">
        <f t="shared" si="3"/>
        <v>11744073</v>
      </c>
      <c r="W27" s="495" t="s">
        <v>1122</v>
      </c>
    </row>
    <row r="28" spans="1:23" s="135" customFormat="1" ht="31.5" x14ac:dyDescent="0.25">
      <c r="A28" s="385">
        <v>24</v>
      </c>
      <c r="B28" s="386" t="s">
        <v>1131</v>
      </c>
      <c r="C28" s="386" t="s">
        <v>1365</v>
      </c>
      <c r="D28" s="386" t="s">
        <v>1034</v>
      </c>
      <c r="E28" s="497">
        <v>38692731</v>
      </c>
      <c r="F28" s="397" t="s">
        <v>883</v>
      </c>
      <c r="G28" s="398" t="s">
        <v>980</v>
      </c>
      <c r="H28" s="389" t="s">
        <v>1246</v>
      </c>
      <c r="I28" s="493"/>
      <c r="J28" s="470" t="s">
        <v>230</v>
      </c>
      <c r="K28" s="390" t="s">
        <v>314</v>
      </c>
      <c r="L28" s="493" t="s">
        <v>168</v>
      </c>
      <c r="M28" s="400" t="s">
        <v>227</v>
      </c>
      <c r="N28" s="468">
        <v>13</v>
      </c>
      <c r="O28" s="392">
        <v>11565</v>
      </c>
      <c r="P28" s="392">
        <v>11478</v>
      </c>
      <c r="Q28" s="389">
        <v>80</v>
      </c>
      <c r="R28" s="494">
        <f t="shared" si="0"/>
        <v>6960</v>
      </c>
      <c r="S28" s="469">
        <v>0</v>
      </c>
      <c r="T28" s="394">
        <f t="shared" si="1"/>
        <v>6960</v>
      </c>
      <c r="U28" s="394">
        <v>3505</v>
      </c>
      <c r="V28" s="404">
        <f t="shared" si="3"/>
        <v>24394800</v>
      </c>
      <c r="W28" s="495" t="s">
        <v>1122</v>
      </c>
    </row>
    <row r="29" spans="1:23" s="135" customFormat="1" ht="31.5" x14ac:dyDescent="0.25">
      <c r="A29" s="385">
        <v>25</v>
      </c>
      <c r="B29" s="386" t="s">
        <v>1142</v>
      </c>
      <c r="C29" s="386"/>
      <c r="D29" s="395" t="s">
        <v>1143</v>
      </c>
      <c r="E29" s="502"/>
      <c r="F29" s="424" t="s">
        <v>1462</v>
      </c>
      <c r="G29" s="425" t="s">
        <v>1144</v>
      </c>
      <c r="H29" s="396" t="s">
        <v>1143</v>
      </c>
      <c r="I29" s="506"/>
      <c r="J29" s="471">
        <v>7828</v>
      </c>
      <c r="K29" s="390" t="s">
        <v>314</v>
      </c>
      <c r="L29" s="506" t="s">
        <v>1145</v>
      </c>
      <c r="M29" s="400" t="s">
        <v>227</v>
      </c>
      <c r="N29" s="474">
        <v>14</v>
      </c>
      <c r="O29" s="392">
        <v>263254</v>
      </c>
      <c r="P29" s="392">
        <v>259479</v>
      </c>
      <c r="Q29" s="389">
        <v>1</v>
      </c>
      <c r="R29" s="494">
        <f t="shared" si="0"/>
        <v>3775</v>
      </c>
      <c r="S29" s="469">
        <v>0</v>
      </c>
      <c r="T29" s="394">
        <f t="shared" si="1"/>
        <v>3775</v>
      </c>
      <c r="U29" s="394">
        <v>3505</v>
      </c>
      <c r="V29" s="404">
        <f t="shared" si="3"/>
        <v>13231375</v>
      </c>
      <c r="W29" s="495" t="s">
        <v>1122</v>
      </c>
    </row>
    <row r="30" spans="1:23" s="135" customFormat="1" x14ac:dyDescent="0.25">
      <c r="A30" s="385">
        <v>26</v>
      </c>
      <c r="B30" s="386" t="s">
        <v>1525</v>
      </c>
      <c r="C30" s="386" t="s">
        <v>1247</v>
      </c>
      <c r="D30" s="386" t="s">
        <v>96</v>
      </c>
      <c r="E30" s="497"/>
      <c r="F30" s="397" t="s">
        <v>553</v>
      </c>
      <c r="G30" s="398" t="s">
        <v>928</v>
      </c>
      <c r="H30" s="389" t="s">
        <v>910</v>
      </c>
      <c r="I30" s="493"/>
      <c r="J30" s="470" t="s">
        <v>423</v>
      </c>
      <c r="K30" s="390" t="s">
        <v>334</v>
      </c>
      <c r="L30" s="493" t="s">
        <v>1100</v>
      </c>
      <c r="M30" s="400" t="s">
        <v>681</v>
      </c>
      <c r="N30" s="468">
        <v>14</v>
      </c>
      <c r="O30" s="392">
        <v>45965</v>
      </c>
      <c r="P30" s="392">
        <v>45614</v>
      </c>
      <c r="Q30" s="389">
        <v>1</v>
      </c>
      <c r="R30" s="494">
        <f t="shared" si="0"/>
        <v>351</v>
      </c>
      <c r="S30" s="469">
        <v>0</v>
      </c>
      <c r="T30" s="394">
        <f t="shared" si="1"/>
        <v>351</v>
      </c>
      <c r="U30" s="394">
        <v>4169</v>
      </c>
      <c r="V30" s="404">
        <f t="shared" si="3"/>
        <v>1463319</v>
      </c>
      <c r="W30" s="495" t="s">
        <v>1122</v>
      </c>
    </row>
    <row r="31" spans="1:23" s="135" customFormat="1" x14ac:dyDescent="0.25">
      <c r="A31" s="385">
        <v>27</v>
      </c>
      <c r="B31" s="386" t="s">
        <v>788</v>
      </c>
      <c r="C31" s="386" t="s">
        <v>537</v>
      </c>
      <c r="D31" s="386" t="s">
        <v>1451</v>
      </c>
      <c r="E31" s="497">
        <v>38684569</v>
      </c>
      <c r="F31" s="397" t="s">
        <v>386</v>
      </c>
      <c r="G31" s="398" t="s">
        <v>385</v>
      </c>
      <c r="H31" s="389" t="s">
        <v>1228</v>
      </c>
      <c r="I31" s="493"/>
      <c r="J31" s="470" t="s">
        <v>97</v>
      </c>
      <c r="K31" s="390" t="s">
        <v>314</v>
      </c>
      <c r="L31" s="493" t="s">
        <v>343</v>
      </c>
      <c r="M31" s="400" t="s">
        <v>332</v>
      </c>
      <c r="N31" s="468">
        <v>15</v>
      </c>
      <c r="O31" s="392">
        <v>327826</v>
      </c>
      <c r="P31" s="392">
        <v>322893</v>
      </c>
      <c r="Q31" s="389">
        <v>1</v>
      </c>
      <c r="R31" s="494">
        <f t="shared" ref="R31:R41" si="4">(O31-P31)*Q31</f>
        <v>4933</v>
      </c>
      <c r="S31" s="469">
        <v>0</v>
      </c>
      <c r="T31" s="394">
        <f t="shared" ref="T31:T41" si="5">IF((R31-S31)&gt;0,(R31-S31),0)</f>
        <v>4933</v>
      </c>
      <c r="U31" s="394">
        <v>4169</v>
      </c>
      <c r="V31" s="404">
        <f t="shared" ref="V31:V41" si="6">T31*U31</f>
        <v>20565677</v>
      </c>
      <c r="W31" s="495" t="s">
        <v>1124</v>
      </c>
    </row>
    <row r="32" spans="1:23" s="135" customFormat="1" x14ac:dyDescent="0.25">
      <c r="A32" s="385">
        <v>28</v>
      </c>
      <c r="B32" s="386" t="s">
        <v>788</v>
      </c>
      <c r="C32" s="386" t="s">
        <v>537</v>
      </c>
      <c r="D32" s="386" t="s">
        <v>1449</v>
      </c>
      <c r="E32" s="497">
        <v>36230568</v>
      </c>
      <c r="F32" s="397" t="s">
        <v>386</v>
      </c>
      <c r="G32" s="398" t="s">
        <v>385</v>
      </c>
      <c r="H32" s="389" t="s">
        <v>1228</v>
      </c>
      <c r="I32" s="493"/>
      <c r="J32" s="470" t="s">
        <v>99</v>
      </c>
      <c r="K32" s="390" t="s">
        <v>334</v>
      </c>
      <c r="L32" s="493" t="s">
        <v>343</v>
      </c>
      <c r="M32" s="400" t="s">
        <v>332</v>
      </c>
      <c r="N32" s="468">
        <v>15</v>
      </c>
      <c r="O32" s="392">
        <v>37244</v>
      </c>
      <c r="P32" s="392">
        <v>35879</v>
      </c>
      <c r="Q32" s="389">
        <v>1</v>
      </c>
      <c r="R32" s="494">
        <f t="shared" si="4"/>
        <v>1365</v>
      </c>
      <c r="S32" s="469">
        <v>0</v>
      </c>
      <c r="T32" s="394">
        <f t="shared" si="5"/>
        <v>1365</v>
      </c>
      <c r="U32" s="394">
        <v>4169</v>
      </c>
      <c r="V32" s="404">
        <f t="shared" si="6"/>
        <v>5690685</v>
      </c>
      <c r="W32" s="495" t="s">
        <v>1124</v>
      </c>
    </row>
    <row r="33" spans="1:23" s="135" customFormat="1" x14ac:dyDescent="0.25">
      <c r="A33" s="385">
        <v>29</v>
      </c>
      <c r="B33" s="386" t="s">
        <v>537</v>
      </c>
      <c r="C33" s="386" t="s">
        <v>537</v>
      </c>
      <c r="D33" s="386" t="s">
        <v>182</v>
      </c>
      <c r="E33" s="497">
        <v>38684569</v>
      </c>
      <c r="F33" s="397" t="s">
        <v>1457</v>
      </c>
      <c r="G33" s="398"/>
      <c r="H33" s="389" t="s">
        <v>1228</v>
      </c>
      <c r="I33" s="493"/>
      <c r="J33" s="470" t="s">
        <v>179</v>
      </c>
      <c r="K33" s="390" t="s">
        <v>314</v>
      </c>
      <c r="L33" s="493" t="s">
        <v>178</v>
      </c>
      <c r="M33" s="400" t="s">
        <v>326</v>
      </c>
      <c r="N33" s="468">
        <v>16</v>
      </c>
      <c r="O33" s="392">
        <v>145582</v>
      </c>
      <c r="P33" s="392">
        <v>144506</v>
      </c>
      <c r="Q33" s="389">
        <v>1</v>
      </c>
      <c r="R33" s="494">
        <f t="shared" si="4"/>
        <v>1076</v>
      </c>
      <c r="S33" s="469">
        <v>0</v>
      </c>
      <c r="T33" s="394">
        <f t="shared" si="5"/>
        <v>1076</v>
      </c>
      <c r="U33" s="394">
        <v>4169</v>
      </c>
      <c r="V33" s="404">
        <f t="shared" si="6"/>
        <v>4485844</v>
      </c>
      <c r="W33" s="495" t="s">
        <v>1124</v>
      </c>
    </row>
    <row r="34" spans="1:23" s="135" customFormat="1" ht="27.75" customHeight="1" x14ac:dyDescent="0.25">
      <c r="A34" s="385">
        <v>30</v>
      </c>
      <c r="B34" s="386" t="s">
        <v>962</v>
      </c>
      <c r="C34" s="386" t="s">
        <v>962</v>
      </c>
      <c r="D34" s="386" t="s">
        <v>1447</v>
      </c>
      <c r="E34" s="503" t="s">
        <v>926</v>
      </c>
      <c r="F34" s="397" t="s">
        <v>963</v>
      </c>
      <c r="G34" s="398" t="s">
        <v>926</v>
      </c>
      <c r="H34" s="389" t="s">
        <v>1228</v>
      </c>
      <c r="I34" s="493"/>
      <c r="J34" s="470">
        <v>8820</v>
      </c>
      <c r="K34" s="390" t="s">
        <v>334</v>
      </c>
      <c r="L34" s="493" t="s">
        <v>370</v>
      </c>
      <c r="M34" s="400" t="s">
        <v>332</v>
      </c>
      <c r="N34" s="468">
        <v>16</v>
      </c>
      <c r="O34" s="392">
        <v>90671</v>
      </c>
      <c r="P34" s="392">
        <v>90168</v>
      </c>
      <c r="Q34" s="389">
        <v>1</v>
      </c>
      <c r="R34" s="494">
        <f t="shared" si="4"/>
        <v>503</v>
      </c>
      <c r="S34" s="469">
        <v>0</v>
      </c>
      <c r="T34" s="394">
        <f t="shared" si="5"/>
        <v>503</v>
      </c>
      <c r="U34" s="394">
        <v>4169</v>
      </c>
      <c r="V34" s="404">
        <f t="shared" si="6"/>
        <v>2097007</v>
      </c>
      <c r="W34" s="495" t="s">
        <v>1124</v>
      </c>
    </row>
    <row r="35" spans="1:23" s="135" customFormat="1" x14ac:dyDescent="0.25">
      <c r="A35" s="385">
        <v>31</v>
      </c>
      <c r="B35" s="432" t="s">
        <v>1386</v>
      </c>
      <c r="C35" s="386" t="s">
        <v>1247</v>
      </c>
      <c r="D35" s="386" t="s">
        <v>1390</v>
      </c>
      <c r="E35" s="504"/>
      <c r="F35" s="397" t="s">
        <v>1446</v>
      </c>
      <c r="G35" s="398" t="s">
        <v>1387</v>
      </c>
      <c r="H35" s="389" t="s">
        <v>1228</v>
      </c>
      <c r="I35" s="507"/>
      <c r="J35" s="472">
        <v>9838</v>
      </c>
      <c r="K35" s="390" t="s">
        <v>314</v>
      </c>
      <c r="L35" s="507" t="s">
        <v>370</v>
      </c>
      <c r="M35" s="409" t="s">
        <v>332</v>
      </c>
      <c r="N35" s="475">
        <v>17</v>
      </c>
      <c r="O35" s="392">
        <v>131554</v>
      </c>
      <c r="P35" s="392">
        <v>129256</v>
      </c>
      <c r="Q35" s="389">
        <v>1</v>
      </c>
      <c r="R35" s="509">
        <f t="shared" si="4"/>
        <v>2298</v>
      </c>
      <c r="S35" s="476">
        <v>0</v>
      </c>
      <c r="T35" s="394">
        <f t="shared" si="5"/>
        <v>2298</v>
      </c>
      <c r="U35" s="394">
        <v>4169</v>
      </c>
      <c r="V35" s="404">
        <f t="shared" si="6"/>
        <v>9580362</v>
      </c>
      <c r="W35" s="495" t="s">
        <v>1124</v>
      </c>
    </row>
    <row r="36" spans="1:23" s="135" customFormat="1" x14ac:dyDescent="0.25">
      <c r="A36" s="385">
        <v>32</v>
      </c>
      <c r="B36" s="386" t="s">
        <v>1388</v>
      </c>
      <c r="C36" s="386" t="s">
        <v>1247</v>
      </c>
      <c r="D36" s="386" t="s">
        <v>1389</v>
      </c>
      <c r="E36" s="503"/>
      <c r="F36" s="397" t="s">
        <v>1391</v>
      </c>
      <c r="G36" s="398" t="s">
        <v>1392</v>
      </c>
      <c r="H36" s="389" t="s">
        <v>1228</v>
      </c>
      <c r="I36" s="493"/>
      <c r="J36" s="470" t="s">
        <v>3</v>
      </c>
      <c r="K36" s="390" t="s">
        <v>314</v>
      </c>
      <c r="L36" s="493" t="s">
        <v>370</v>
      </c>
      <c r="M36" s="400" t="s">
        <v>332</v>
      </c>
      <c r="N36" s="468">
        <v>17</v>
      </c>
      <c r="O36" s="392">
        <v>166292</v>
      </c>
      <c r="P36" s="392">
        <v>163786</v>
      </c>
      <c r="Q36" s="389">
        <v>1</v>
      </c>
      <c r="R36" s="494">
        <f t="shared" si="4"/>
        <v>2506</v>
      </c>
      <c r="S36" s="469">
        <v>0</v>
      </c>
      <c r="T36" s="394">
        <f t="shared" si="5"/>
        <v>2506</v>
      </c>
      <c r="U36" s="394">
        <v>4169</v>
      </c>
      <c r="V36" s="404">
        <f t="shared" si="6"/>
        <v>10447514</v>
      </c>
      <c r="W36" s="495" t="s">
        <v>1124</v>
      </c>
    </row>
    <row r="37" spans="1:23" s="135" customFormat="1" x14ac:dyDescent="0.25">
      <c r="A37" s="385">
        <v>33</v>
      </c>
      <c r="B37" s="386" t="s">
        <v>1044</v>
      </c>
      <c r="C37" s="397" t="s">
        <v>1247</v>
      </c>
      <c r="D37" s="386" t="s">
        <v>1448</v>
      </c>
      <c r="E37" s="496">
        <v>912212968</v>
      </c>
      <c r="F37" s="397" t="s">
        <v>808</v>
      </c>
      <c r="G37" s="405">
        <v>912212968</v>
      </c>
      <c r="H37" s="389" t="s">
        <v>1228</v>
      </c>
      <c r="I37" s="493"/>
      <c r="J37" s="470">
        <v>1324</v>
      </c>
      <c r="K37" s="390" t="s">
        <v>314</v>
      </c>
      <c r="L37" s="493" t="s">
        <v>370</v>
      </c>
      <c r="M37" s="400" t="s">
        <v>313</v>
      </c>
      <c r="N37" s="468">
        <v>18</v>
      </c>
      <c r="O37" s="392">
        <v>120940</v>
      </c>
      <c r="P37" s="392">
        <v>117880</v>
      </c>
      <c r="Q37" s="389">
        <v>1</v>
      </c>
      <c r="R37" s="494">
        <f t="shared" si="4"/>
        <v>3060</v>
      </c>
      <c r="S37" s="469">
        <v>0</v>
      </c>
      <c r="T37" s="394">
        <f t="shared" si="5"/>
        <v>3060</v>
      </c>
      <c r="U37" s="394">
        <v>4169</v>
      </c>
      <c r="V37" s="404">
        <f t="shared" si="6"/>
        <v>12757140</v>
      </c>
      <c r="W37" s="495" t="s">
        <v>1124</v>
      </c>
    </row>
    <row r="38" spans="1:23" s="135" customFormat="1" hidden="1" x14ac:dyDescent="0.25">
      <c r="A38" s="549">
        <v>34</v>
      </c>
      <c r="B38" s="539" t="s">
        <v>1496</v>
      </c>
      <c r="C38" s="539" t="s">
        <v>1247</v>
      </c>
      <c r="D38" s="539" t="s">
        <v>1045</v>
      </c>
      <c r="E38" s="394"/>
      <c r="F38" s="541" t="s">
        <v>105</v>
      </c>
      <c r="G38" s="542" t="s">
        <v>107</v>
      </c>
      <c r="H38" s="546" t="s">
        <v>1229</v>
      </c>
      <c r="I38" s="389"/>
      <c r="J38" s="403" t="s">
        <v>108</v>
      </c>
      <c r="K38" s="544" t="s">
        <v>334</v>
      </c>
      <c r="L38" s="389" t="s">
        <v>1323</v>
      </c>
      <c r="M38" s="400" t="s">
        <v>326</v>
      </c>
      <c r="N38" s="389">
        <v>18</v>
      </c>
      <c r="O38" s="545">
        <v>33678</v>
      </c>
      <c r="P38" s="545">
        <v>33678</v>
      </c>
      <c r="Q38" s="546">
        <v>1</v>
      </c>
      <c r="R38" s="393">
        <f t="shared" si="4"/>
        <v>0</v>
      </c>
      <c r="S38" s="394">
        <v>0</v>
      </c>
      <c r="T38" s="547">
        <f t="shared" si="5"/>
        <v>0</v>
      </c>
      <c r="U38" s="547">
        <v>4169</v>
      </c>
      <c r="V38" s="550">
        <f t="shared" si="6"/>
        <v>0</v>
      </c>
      <c r="W38" s="39" t="s">
        <v>1123</v>
      </c>
    </row>
    <row r="39" spans="1:23" s="135" customFormat="1" hidden="1" x14ac:dyDescent="0.25">
      <c r="A39" s="371">
        <v>35</v>
      </c>
      <c r="B39" s="386" t="s">
        <v>1132</v>
      </c>
      <c r="C39" s="386" t="s">
        <v>1365</v>
      </c>
      <c r="D39" s="386" t="s">
        <v>69</v>
      </c>
      <c r="E39" s="394"/>
      <c r="F39" s="397" t="s">
        <v>4</v>
      </c>
      <c r="G39" s="398" t="s">
        <v>5</v>
      </c>
      <c r="H39" s="389"/>
      <c r="I39" s="389"/>
      <c r="J39" s="403" t="s">
        <v>6</v>
      </c>
      <c r="K39" s="390" t="s">
        <v>314</v>
      </c>
      <c r="L39" s="389" t="s">
        <v>1322</v>
      </c>
      <c r="M39" s="400" t="s">
        <v>326</v>
      </c>
      <c r="N39" s="389">
        <v>19</v>
      </c>
      <c r="O39" s="392">
        <v>174029</v>
      </c>
      <c r="P39" s="392">
        <v>174029</v>
      </c>
      <c r="Q39" s="389">
        <v>1</v>
      </c>
      <c r="R39" s="393">
        <f t="shared" si="4"/>
        <v>0</v>
      </c>
      <c r="S39" s="412">
        <v>0</v>
      </c>
      <c r="T39" s="394">
        <f t="shared" si="5"/>
        <v>0</v>
      </c>
      <c r="U39" s="411">
        <v>3505</v>
      </c>
      <c r="V39" s="404">
        <f t="shared" si="6"/>
        <v>0</v>
      </c>
      <c r="W39" s="39" t="s">
        <v>1122</v>
      </c>
    </row>
    <row r="40" spans="1:23" s="135" customFormat="1" ht="31.5" x14ac:dyDescent="0.25">
      <c r="A40" s="385">
        <v>36</v>
      </c>
      <c r="B40" s="422" t="s">
        <v>1483</v>
      </c>
      <c r="C40" s="386" t="s">
        <v>1247</v>
      </c>
      <c r="D40" s="386" t="s">
        <v>175</v>
      </c>
      <c r="E40" s="497"/>
      <c r="F40" s="397" t="s">
        <v>1115</v>
      </c>
      <c r="G40" s="388" t="s">
        <v>1116</v>
      </c>
      <c r="H40" s="389" t="s">
        <v>1276</v>
      </c>
      <c r="I40" s="493"/>
      <c r="J40" s="470" t="s">
        <v>172</v>
      </c>
      <c r="K40" s="390" t="s">
        <v>314</v>
      </c>
      <c r="L40" s="493" t="s">
        <v>171</v>
      </c>
      <c r="M40" s="400" t="s">
        <v>332</v>
      </c>
      <c r="N40" s="468">
        <v>19</v>
      </c>
      <c r="O40" s="392">
        <v>575714</v>
      </c>
      <c r="P40" s="392">
        <v>572824</v>
      </c>
      <c r="Q40" s="389">
        <v>1</v>
      </c>
      <c r="R40" s="494">
        <f t="shared" si="4"/>
        <v>2890</v>
      </c>
      <c r="S40" s="478">
        <v>0</v>
      </c>
      <c r="T40" s="394">
        <f t="shared" si="5"/>
        <v>2890</v>
      </c>
      <c r="U40" s="394">
        <v>4169</v>
      </c>
      <c r="V40" s="404">
        <f t="shared" si="6"/>
        <v>12048410</v>
      </c>
      <c r="W40" s="495" t="s">
        <v>1123</v>
      </c>
    </row>
    <row r="41" spans="1:23" s="135" customFormat="1" ht="31.5" x14ac:dyDescent="0.25">
      <c r="A41" s="385">
        <v>37</v>
      </c>
      <c r="B41" s="422" t="s">
        <v>1483</v>
      </c>
      <c r="C41" s="386" t="s">
        <v>1247</v>
      </c>
      <c r="D41" s="386" t="s">
        <v>175</v>
      </c>
      <c r="E41" s="497"/>
      <c r="F41" s="397" t="s">
        <v>1115</v>
      </c>
      <c r="G41" s="388" t="s">
        <v>1116</v>
      </c>
      <c r="H41" s="389" t="s">
        <v>1276</v>
      </c>
      <c r="I41" s="493"/>
      <c r="J41" s="470" t="s">
        <v>172</v>
      </c>
      <c r="K41" s="390" t="s">
        <v>314</v>
      </c>
      <c r="L41" s="493" t="s">
        <v>171</v>
      </c>
      <c r="M41" s="400" t="s">
        <v>332</v>
      </c>
      <c r="N41" s="468">
        <v>20</v>
      </c>
      <c r="O41" s="392">
        <v>578604</v>
      </c>
      <c r="P41" s="392">
        <v>575714</v>
      </c>
      <c r="Q41" s="389">
        <v>1</v>
      </c>
      <c r="R41" s="494">
        <f t="shared" si="4"/>
        <v>2890</v>
      </c>
      <c r="S41" s="478">
        <v>0</v>
      </c>
      <c r="T41" s="394">
        <f t="shared" si="5"/>
        <v>2890</v>
      </c>
      <c r="U41" s="394">
        <v>3505</v>
      </c>
      <c r="V41" s="404">
        <f t="shared" si="6"/>
        <v>10129450</v>
      </c>
      <c r="W41" s="495" t="s">
        <v>1123</v>
      </c>
    </row>
    <row r="42" spans="1:23" s="135" customFormat="1" ht="31.5" x14ac:dyDescent="0.25">
      <c r="A42" s="385">
        <v>38</v>
      </c>
      <c r="B42" s="386" t="s">
        <v>1393</v>
      </c>
      <c r="C42" s="386" t="s">
        <v>1247</v>
      </c>
      <c r="D42" s="386" t="s">
        <v>1202</v>
      </c>
      <c r="E42" s="497"/>
      <c r="F42" s="397" t="s">
        <v>1592</v>
      </c>
      <c r="G42" s="388" t="s">
        <v>1394</v>
      </c>
      <c r="H42" s="389" t="s">
        <v>1276</v>
      </c>
      <c r="I42" s="493"/>
      <c r="J42" s="470">
        <v>3218</v>
      </c>
      <c r="K42" s="390" t="s">
        <v>334</v>
      </c>
      <c r="L42" s="493" t="s">
        <v>1203</v>
      </c>
      <c r="M42" s="400" t="s">
        <v>332</v>
      </c>
      <c r="N42" s="468">
        <v>20</v>
      </c>
      <c r="O42" s="392">
        <v>17977</v>
      </c>
      <c r="P42" s="392">
        <v>17420</v>
      </c>
      <c r="Q42" s="389">
        <v>1</v>
      </c>
      <c r="R42" s="494">
        <f t="shared" ref="R42:R47" si="7">(O42-P42)*Q42</f>
        <v>557</v>
      </c>
      <c r="S42" s="478">
        <v>0</v>
      </c>
      <c r="T42" s="394">
        <f t="shared" ref="T42:T47" si="8">IF((R42-S42)&gt;0,(R42-S42),0)</f>
        <v>557</v>
      </c>
      <c r="U42" s="394">
        <v>4169</v>
      </c>
      <c r="V42" s="404">
        <f t="shared" ref="V42:V47" si="9">T42*U42</f>
        <v>2322133</v>
      </c>
      <c r="W42" s="495" t="s">
        <v>1123</v>
      </c>
    </row>
    <row r="43" spans="1:23" s="135" customFormat="1" ht="39.75" customHeight="1" x14ac:dyDescent="0.25">
      <c r="A43" s="385">
        <v>39</v>
      </c>
      <c r="B43" s="386" t="s">
        <v>1108</v>
      </c>
      <c r="C43" s="386" t="s">
        <v>1247</v>
      </c>
      <c r="D43" s="386" t="s">
        <v>446</v>
      </c>
      <c r="E43" s="511" t="s">
        <v>1524</v>
      </c>
      <c r="F43" s="450" t="s">
        <v>1109</v>
      </c>
      <c r="G43" s="464" t="s">
        <v>855</v>
      </c>
      <c r="H43" s="389" t="s">
        <v>826</v>
      </c>
      <c r="I43" s="493"/>
      <c r="J43" s="470">
        <v>9876</v>
      </c>
      <c r="K43" s="390" t="s">
        <v>334</v>
      </c>
      <c r="L43" s="493" t="s">
        <v>1324</v>
      </c>
      <c r="M43" s="400" t="s">
        <v>344</v>
      </c>
      <c r="N43" s="468">
        <v>21</v>
      </c>
      <c r="O43" s="392">
        <v>60871</v>
      </c>
      <c r="P43" s="392">
        <v>60702</v>
      </c>
      <c r="Q43" s="389">
        <v>1</v>
      </c>
      <c r="R43" s="494">
        <f t="shared" si="7"/>
        <v>169</v>
      </c>
      <c r="S43" s="469">
        <v>0</v>
      </c>
      <c r="T43" s="394">
        <f t="shared" si="8"/>
        <v>169</v>
      </c>
      <c r="U43" s="394">
        <v>4169</v>
      </c>
      <c r="V43" s="404">
        <f t="shared" si="9"/>
        <v>704561</v>
      </c>
      <c r="W43" s="495" t="s">
        <v>1125</v>
      </c>
    </row>
    <row r="44" spans="1:23" s="135" customFormat="1" ht="31.5" x14ac:dyDescent="0.25">
      <c r="A44" s="385">
        <v>40</v>
      </c>
      <c r="B44" s="386" t="s">
        <v>951</v>
      </c>
      <c r="C44" s="386" t="s">
        <v>1247</v>
      </c>
      <c r="D44" s="386" t="s">
        <v>446</v>
      </c>
      <c r="E44" s="497">
        <v>38694529</v>
      </c>
      <c r="F44" s="397" t="s">
        <v>731</v>
      </c>
      <c r="G44" s="398" t="s">
        <v>952</v>
      </c>
      <c r="H44" s="389" t="s">
        <v>826</v>
      </c>
      <c r="I44" s="493"/>
      <c r="J44" s="470" t="s">
        <v>432</v>
      </c>
      <c r="K44" s="390" t="s">
        <v>334</v>
      </c>
      <c r="L44" s="493" t="s">
        <v>1111</v>
      </c>
      <c r="M44" s="400" t="s">
        <v>344</v>
      </c>
      <c r="N44" s="468">
        <v>21</v>
      </c>
      <c r="O44" s="392">
        <v>20459</v>
      </c>
      <c r="P44" s="392">
        <v>20260</v>
      </c>
      <c r="Q44" s="389">
        <v>1</v>
      </c>
      <c r="R44" s="494">
        <f t="shared" si="7"/>
        <v>199</v>
      </c>
      <c r="S44" s="469">
        <v>0</v>
      </c>
      <c r="T44" s="394">
        <f t="shared" si="8"/>
        <v>199</v>
      </c>
      <c r="U44" s="394">
        <v>4169</v>
      </c>
      <c r="V44" s="404">
        <f t="shared" si="9"/>
        <v>829631</v>
      </c>
      <c r="W44" s="495" t="s">
        <v>1125</v>
      </c>
    </row>
    <row r="45" spans="1:23" s="135" customFormat="1" x14ac:dyDescent="0.25">
      <c r="A45" s="385">
        <v>41</v>
      </c>
      <c r="B45" s="386" t="s">
        <v>953</v>
      </c>
      <c r="C45" s="386" t="s">
        <v>1247</v>
      </c>
      <c r="D45" s="386" t="s">
        <v>445</v>
      </c>
      <c r="E45" s="497">
        <v>38692116</v>
      </c>
      <c r="F45" s="397" t="s">
        <v>78</v>
      </c>
      <c r="G45" s="398" t="s">
        <v>415</v>
      </c>
      <c r="H45" s="389" t="s">
        <v>909</v>
      </c>
      <c r="I45" s="493"/>
      <c r="J45" s="470" t="s">
        <v>431</v>
      </c>
      <c r="K45" s="390" t="s">
        <v>334</v>
      </c>
      <c r="L45" s="493" t="s">
        <v>1110</v>
      </c>
      <c r="M45" s="400" t="s">
        <v>344</v>
      </c>
      <c r="N45" s="468">
        <v>22</v>
      </c>
      <c r="O45" s="392">
        <v>17404</v>
      </c>
      <c r="P45" s="392">
        <v>17214</v>
      </c>
      <c r="Q45" s="389">
        <v>1</v>
      </c>
      <c r="R45" s="494">
        <f t="shared" si="7"/>
        <v>190</v>
      </c>
      <c r="S45" s="469">
        <v>0</v>
      </c>
      <c r="T45" s="394">
        <f t="shared" si="8"/>
        <v>190</v>
      </c>
      <c r="U45" s="394">
        <v>4169</v>
      </c>
      <c r="V45" s="404">
        <f t="shared" si="9"/>
        <v>792110</v>
      </c>
      <c r="W45" s="495" t="s">
        <v>1125</v>
      </c>
    </row>
    <row r="46" spans="1:23" s="135" customFormat="1" x14ac:dyDescent="0.25">
      <c r="A46" s="385">
        <v>42</v>
      </c>
      <c r="B46" s="386" t="s">
        <v>672</v>
      </c>
      <c r="C46" s="386" t="s">
        <v>1247</v>
      </c>
      <c r="D46" s="386" t="s">
        <v>444</v>
      </c>
      <c r="E46" s="497"/>
      <c r="F46" s="397" t="s">
        <v>508</v>
      </c>
      <c r="G46" s="398" t="s">
        <v>509</v>
      </c>
      <c r="H46" s="389" t="s">
        <v>1211</v>
      </c>
      <c r="I46" s="493"/>
      <c r="J46" s="470">
        <v>9682</v>
      </c>
      <c r="K46" s="390" t="s">
        <v>334</v>
      </c>
      <c r="L46" s="493" t="s">
        <v>1099</v>
      </c>
      <c r="M46" s="400" t="s">
        <v>344</v>
      </c>
      <c r="N46" s="468">
        <v>22</v>
      </c>
      <c r="O46" s="392">
        <v>567</v>
      </c>
      <c r="P46" s="392">
        <v>448</v>
      </c>
      <c r="Q46" s="389">
        <v>1</v>
      </c>
      <c r="R46" s="494">
        <f t="shared" si="7"/>
        <v>119</v>
      </c>
      <c r="S46" s="469">
        <v>0</v>
      </c>
      <c r="T46" s="394">
        <f t="shared" si="8"/>
        <v>119</v>
      </c>
      <c r="U46" s="394">
        <v>4169</v>
      </c>
      <c r="V46" s="404">
        <f t="shared" si="9"/>
        <v>496111</v>
      </c>
      <c r="W46" s="495" t="s">
        <v>1125</v>
      </c>
    </row>
    <row r="47" spans="1:23" s="135" customFormat="1" ht="31.5" x14ac:dyDescent="0.25">
      <c r="A47" s="385">
        <v>43</v>
      </c>
      <c r="B47" s="386" t="s">
        <v>1118</v>
      </c>
      <c r="C47" s="386" t="s">
        <v>1247</v>
      </c>
      <c r="D47" s="386" t="s">
        <v>444</v>
      </c>
      <c r="E47" s="497"/>
      <c r="F47" s="386" t="s">
        <v>956</v>
      </c>
      <c r="G47" s="398" t="s">
        <v>957</v>
      </c>
      <c r="H47" s="389" t="s">
        <v>1211</v>
      </c>
      <c r="I47" s="493"/>
      <c r="J47" s="470" t="s">
        <v>434</v>
      </c>
      <c r="K47" s="390" t="s">
        <v>334</v>
      </c>
      <c r="L47" s="493" t="s">
        <v>388</v>
      </c>
      <c r="M47" s="400" t="s">
        <v>344</v>
      </c>
      <c r="N47" s="468">
        <v>23</v>
      </c>
      <c r="O47" s="392">
        <v>68049</v>
      </c>
      <c r="P47" s="392">
        <v>67761</v>
      </c>
      <c r="Q47" s="389">
        <v>1</v>
      </c>
      <c r="R47" s="494">
        <f t="shared" si="7"/>
        <v>288</v>
      </c>
      <c r="S47" s="469">
        <v>0</v>
      </c>
      <c r="T47" s="394">
        <f t="shared" si="8"/>
        <v>288</v>
      </c>
      <c r="U47" s="394">
        <v>4169</v>
      </c>
      <c r="V47" s="404">
        <f t="shared" si="9"/>
        <v>1200672</v>
      </c>
      <c r="W47" s="495" t="s">
        <v>1125</v>
      </c>
    </row>
    <row r="48" spans="1:23" s="135" customFormat="1" x14ac:dyDescent="0.25">
      <c r="A48" s="385">
        <v>44</v>
      </c>
      <c r="B48" s="386" t="s">
        <v>1284</v>
      </c>
      <c r="C48" s="386"/>
      <c r="D48" s="386" t="s">
        <v>1328</v>
      </c>
      <c r="E48" s="497"/>
      <c r="F48" s="397" t="s">
        <v>1534</v>
      </c>
      <c r="G48" s="388" t="s">
        <v>1535</v>
      </c>
      <c r="H48" s="389" t="s">
        <v>681</v>
      </c>
      <c r="I48" s="493"/>
      <c r="J48" s="470">
        <v>2172</v>
      </c>
      <c r="K48" s="390" t="s">
        <v>314</v>
      </c>
      <c r="L48" s="493" t="s">
        <v>1401</v>
      </c>
      <c r="M48" s="400" t="s">
        <v>681</v>
      </c>
      <c r="N48" s="468">
        <v>23</v>
      </c>
      <c r="O48" s="392">
        <v>53505</v>
      </c>
      <c r="P48" s="392">
        <v>53428</v>
      </c>
      <c r="Q48" s="389">
        <v>1</v>
      </c>
      <c r="R48" s="494">
        <f t="shared" ref="R48:R57" si="10">(O48-P48)*Q48</f>
        <v>77</v>
      </c>
      <c r="S48" s="469">
        <v>0</v>
      </c>
      <c r="T48" s="394">
        <f t="shared" ref="T48:T56" si="11">IF((R48-S48)&gt;0,(R48-S48),0)</f>
        <v>77</v>
      </c>
      <c r="U48" s="394">
        <v>3505</v>
      </c>
      <c r="V48" s="404">
        <f t="shared" ref="V48:V57" si="12">T48*U48</f>
        <v>269885</v>
      </c>
      <c r="W48" s="495" t="s">
        <v>1125</v>
      </c>
    </row>
    <row r="49" spans="1:23" s="135" customFormat="1" x14ac:dyDescent="0.25">
      <c r="A49" s="385">
        <v>45</v>
      </c>
      <c r="B49" s="386" t="s">
        <v>1284</v>
      </c>
      <c r="C49" s="386"/>
      <c r="D49" s="386" t="s">
        <v>1283</v>
      </c>
      <c r="E49" s="497"/>
      <c r="F49" s="397" t="s">
        <v>1534</v>
      </c>
      <c r="G49" s="388" t="s">
        <v>1535</v>
      </c>
      <c r="H49" s="389" t="s">
        <v>681</v>
      </c>
      <c r="I49" s="493"/>
      <c r="J49" s="470">
        <v>4103</v>
      </c>
      <c r="K49" s="390" t="s">
        <v>314</v>
      </c>
      <c r="L49" s="493" t="s">
        <v>1401</v>
      </c>
      <c r="M49" s="400" t="s">
        <v>681</v>
      </c>
      <c r="N49" s="468">
        <v>24</v>
      </c>
      <c r="O49" s="392">
        <v>283862</v>
      </c>
      <c r="P49" s="392">
        <v>283692</v>
      </c>
      <c r="Q49" s="389">
        <v>1</v>
      </c>
      <c r="R49" s="494">
        <f t="shared" si="10"/>
        <v>170</v>
      </c>
      <c r="S49" s="469">
        <v>0</v>
      </c>
      <c r="T49" s="394">
        <f t="shared" si="11"/>
        <v>170</v>
      </c>
      <c r="U49" s="394">
        <v>3505</v>
      </c>
      <c r="V49" s="404">
        <f t="shared" si="12"/>
        <v>595850</v>
      </c>
      <c r="W49" s="495" t="s">
        <v>1125</v>
      </c>
    </row>
    <row r="50" spans="1:23" s="135" customFormat="1" ht="31.5" x14ac:dyDescent="0.25">
      <c r="A50" s="385">
        <v>46</v>
      </c>
      <c r="B50" s="386" t="s">
        <v>1463</v>
      </c>
      <c r="C50" s="386"/>
      <c r="D50" s="386" t="s">
        <v>1329</v>
      </c>
      <c r="E50" s="497"/>
      <c r="F50" s="397" t="s">
        <v>1331</v>
      </c>
      <c r="G50" s="388" t="s">
        <v>1332</v>
      </c>
      <c r="H50" s="389" t="s">
        <v>681</v>
      </c>
      <c r="I50" s="493"/>
      <c r="J50" s="477" t="s">
        <v>1330</v>
      </c>
      <c r="K50" s="390" t="s">
        <v>334</v>
      </c>
      <c r="L50" s="493" t="s">
        <v>1402</v>
      </c>
      <c r="M50" s="400" t="s">
        <v>681</v>
      </c>
      <c r="N50" s="468">
        <v>24</v>
      </c>
      <c r="O50" s="392">
        <v>9446</v>
      </c>
      <c r="P50" s="392">
        <v>8866</v>
      </c>
      <c r="Q50" s="389">
        <v>1</v>
      </c>
      <c r="R50" s="494">
        <f t="shared" si="10"/>
        <v>580</v>
      </c>
      <c r="S50" s="469">
        <v>0</v>
      </c>
      <c r="T50" s="394">
        <f t="shared" si="11"/>
        <v>580</v>
      </c>
      <c r="U50" s="394">
        <v>3505</v>
      </c>
      <c r="V50" s="404">
        <f t="shared" si="12"/>
        <v>2032900</v>
      </c>
      <c r="W50" s="495" t="s">
        <v>1125</v>
      </c>
    </row>
    <row r="51" spans="1:23" s="135" customFormat="1" ht="31.5" x14ac:dyDescent="0.25">
      <c r="A51" s="385">
        <v>47</v>
      </c>
      <c r="B51" s="386" t="s">
        <v>1463</v>
      </c>
      <c r="C51" s="386"/>
      <c r="D51" s="386" t="s">
        <v>1472</v>
      </c>
      <c r="E51" s="497"/>
      <c r="F51" s="397" t="s">
        <v>1331</v>
      </c>
      <c r="G51" s="388" t="s">
        <v>1332</v>
      </c>
      <c r="H51" s="389" t="s">
        <v>681</v>
      </c>
      <c r="I51" s="493"/>
      <c r="J51" s="477">
        <v>2526</v>
      </c>
      <c r="K51" s="390" t="s">
        <v>314</v>
      </c>
      <c r="L51" s="493" t="s">
        <v>1402</v>
      </c>
      <c r="M51" s="400" t="s">
        <v>681</v>
      </c>
      <c r="N51" s="468">
        <v>25</v>
      </c>
      <c r="O51" s="392">
        <v>37554</v>
      </c>
      <c r="P51" s="392">
        <v>33915</v>
      </c>
      <c r="Q51" s="389">
        <v>1</v>
      </c>
      <c r="R51" s="494">
        <f>(O51-P51)*Q51</f>
        <v>3639</v>
      </c>
      <c r="S51" s="469">
        <v>0</v>
      </c>
      <c r="T51" s="394">
        <f>IF((R51-S51)&gt;0,(R51-S51),0)</f>
        <v>3639</v>
      </c>
      <c r="U51" s="394">
        <v>3505</v>
      </c>
      <c r="V51" s="404">
        <f>T51*U51</f>
        <v>12754695</v>
      </c>
      <c r="W51" s="495" t="s">
        <v>1125</v>
      </c>
    </row>
    <row r="52" spans="1:23" s="135" customFormat="1" x14ac:dyDescent="0.25">
      <c r="A52" s="385">
        <v>48</v>
      </c>
      <c r="B52" s="386" t="s">
        <v>1284</v>
      </c>
      <c r="C52" s="386"/>
      <c r="D52" s="386" t="s">
        <v>1470</v>
      </c>
      <c r="E52" s="497"/>
      <c r="F52" s="397" t="s">
        <v>1534</v>
      </c>
      <c r="G52" s="388" t="s">
        <v>1535</v>
      </c>
      <c r="H52" s="389" t="s">
        <v>681</v>
      </c>
      <c r="I52" s="493"/>
      <c r="J52" s="470">
        <v>4311</v>
      </c>
      <c r="K52" s="390" t="s">
        <v>314</v>
      </c>
      <c r="L52" s="493" t="s">
        <v>1403</v>
      </c>
      <c r="M52" s="400" t="s">
        <v>681</v>
      </c>
      <c r="N52" s="468">
        <v>25</v>
      </c>
      <c r="O52" s="392">
        <v>7023</v>
      </c>
      <c r="P52" s="392">
        <v>6753</v>
      </c>
      <c r="Q52" s="389">
        <v>40</v>
      </c>
      <c r="R52" s="494">
        <f t="shared" si="10"/>
        <v>10800</v>
      </c>
      <c r="S52" s="469">
        <v>0</v>
      </c>
      <c r="T52" s="394">
        <f t="shared" si="11"/>
        <v>10800</v>
      </c>
      <c r="U52" s="394">
        <v>3505</v>
      </c>
      <c r="V52" s="404">
        <f t="shared" si="12"/>
        <v>37854000</v>
      </c>
      <c r="W52" s="495" t="s">
        <v>1125</v>
      </c>
    </row>
    <row r="53" spans="1:23" s="135" customFormat="1" x14ac:dyDescent="0.25">
      <c r="A53" s="385">
        <v>49</v>
      </c>
      <c r="B53" s="386" t="s">
        <v>1505</v>
      </c>
      <c r="C53" s="386"/>
      <c r="D53" s="386" t="s">
        <v>1399</v>
      </c>
      <c r="E53" s="497"/>
      <c r="F53" s="397" t="s">
        <v>1504</v>
      </c>
      <c r="G53" s="388" t="s">
        <v>1503</v>
      </c>
      <c r="H53" s="389" t="s">
        <v>681</v>
      </c>
      <c r="I53" s="493"/>
      <c r="J53" s="470">
        <v>10004862</v>
      </c>
      <c r="K53" s="390" t="s">
        <v>314</v>
      </c>
      <c r="L53" s="493" t="s">
        <v>1513</v>
      </c>
      <c r="M53" s="400" t="s">
        <v>681</v>
      </c>
      <c r="N53" s="468">
        <v>26</v>
      </c>
      <c r="O53" s="392">
        <v>26937</v>
      </c>
      <c r="P53" s="392">
        <v>24244</v>
      </c>
      <c r="Q53" s="389">
        <v>1</v>
      </c>
      <c r="R53" s="494">
        <f t="shared" si="10"/>
        <v>2693</v>
      </c>
      <c r="S53" s="478">
        <v>0</v>
      </c>
      <c r="T53" s="394">
        <f t="shared" si="11"/>
        <v>2693</v>
      </c>
      <c r="U53" s="394">
        <v>3505</v>
      </c>
      <c r="V53" s="404">
        <f t="shared" si="12"/>
        <v>9438965</v>
      </c>
      <c r="W53" s="495" t="s">
        <v>1125</v>
      </c>
    </row>
    <row r="54" spans="1:23" s="135" customFormat="1" x14ac:dyDescent="0.25">
      <c r="A54" s="385">
        <v>50</v>
      </c>
      <c r="B54" s="386" t="s">
        <v>1506</v>
      </c>
      <c r="C54" s="386"/>
      <c r="D54" s="386" t="s">
        <v>1471</v>
      </c>
      <c r="E54" s="497"/>
      <c r="F54" s="397" t="s">
        <v>1504</v>
      </c>
      <c r="G54" s="388" t="s">
        <v>1503</v>
      </c>
      <c r="H54" s="389" t="s">
        <v>1143</v>
      </c>
      <c r="I54" s="493"/>
      <c r="J54" s="470">
        <v>4332</v>
      </c>
      <c r="K54" s="390" t="s">
        <v>314</v>
      </c>
      <c r="L54" s="493" t="s">
        <v>1473</v>
      </c>
      <c r="M54" s="400" t="s">
        <v>681</v>
      </c>
      <c r="N54" s="468">
        <v>26</v>
      </c>
      <c r="O54" s="392">
        <v>11700</v>
      </c>
      <c r="P54" s="392">
        <v>10744</v>
      </c>
      <c r="Q54" s="389">
        <v>1</v>
      </c>
      <c r="R54" s="494">
        <f>(O54-P54)*Q54</f>
        <v>956</v>
      </c>
      <c r="S54" s="478">
        <v>0</v>
      </c>
      <c r="T54" s="394">
        <f>IF((R54-S54)&gt;0,(R54-S54),0)</f>
        <v>956</v>
      </c>
      <c r="U54" s="394">
        <v>3505</v>
      </c>
      <c r="V54" s="404">
        <f>T54*U54</f>
        <v>3350780</v>
      </c>
      <c r="W54" s="495" t="s">
        <v>1122</v>
      </c>
    </row>
    <row r="55" spans="1:23" s="135" customFormat="1" ht="31.5" x14ac:dyDescent="0.25">
      <c r="A55" s="385">
        <v>51</v>
      </c>
      <c r="B55" s="386" t="s">
        <v>1591</v>
      </c>
      <c r="C55" s="386"/>
      <c r="D55" s="386" t="s">
        <v>1512</v>
      </c>
      <c r="E55" s="497"/>
      <c r="F55" s="397" t="s">
        <v>1094</v>
      </c>
      <c r="G55" s="388" t="s">
        <v>1095</v>
      </c>
      <c r="H55" s="389" t="s">
        <v>681</v>
      </c>
      <c r="I55" s="493"/>
      <c r="J55" s="470">
        <v>80529</v>
      </c>
      <c r="K55" s="390" t="s">
        <v>314</v>
      </c>
      <c r="L55" s="493" t="s">
        <v>1513</v>
      </c>
      <c r="M55" s="400" t="s">
        <v>681</v>
      </c>
      <c r="N55" s="468">
        <v>27</v>
      </c>
      <c r="O55" s="392">
        <v>28474</v>
      </c>
      <c r="P55" s="392">
        <v>21226</v>
      </c>
      <c r="Q55" s="389">
        <v>1</v>
      </c>
      <c r="R55" s="494">
        <f>(O55-P55)*Q55</f>
        <v>7248</v>
      </c>
      <c r="S55" s="478">
        <v>0</v>
      </c>
      <c r="T55" s="394">
        <f>IF((R55-S55)&gt;0,(R55-S55),0)</f>
        <v>7248</v>
      </c>
      <c r="U55" s="394">
        <v>3505</v>
      </c>
      <c r="V55" s="404">
        <f>T55*U55</f>
        <v>25404240</v>
      </c>
      <c r="W55" s="495" t="s">
        <v>1125</v>
      </c>
    </row>
    <row r="56" spans="1:23" s="135" customFormat="1" x14ac:dyDescent="0.25">
      <c r="A56" s="385">
        <v>52</v>
      </c>
      <c r="B56" s="386" t="s">
        <v>548</v>
      </c>
      <c r="C56" s="386" t="s">
        <v>1477</v>
      </c>
      <c r="D56" s="395" t="s">
        <v>1155</v>
      </c>
      <c r="E56" s="512"/>
      <c r="F56" s="397" t="s">
        <v>599</v>
      </c>
      <c r="G56" s="388" t="s">
        <v>600</v>
      </c>
      <c r="H56" s="396" t="s">
        <v>681</v>
      </c>
      <c r="I56" s="506"/>
      <c r="J56" s="471">
        <v>1793</v>
      </c>
      <c r="K56" s="390" t="s">
        <v>314</v>
      </c>
      <c r="L56" s="493" t="s">
        <v>1404</v>
      </c>
      <c r="M56" s="391" t="s">
        <v>681</v>
      </c>
      <c r="N56" s="474">
        <v>27</v>
      </c>
      <c r="O56" s="392">
        <v>164085</v>
      </c>
      <c r="P56" s="392">
        <v>163826</v>
      </c>
      <c r="Q56" s="389">
        <v>1</v>
      </c>
      <c r="R56" s="494">
        <f t="shared" si="10"/>
        <v>259</v>
      </c>
      <c r="S56" s="469">
        <v>0</v>
      </c>
      <c r="T56" s="394">
        <f t="shared" si="11"/>
        <v>259</v>
      </c>
      <c r="U56" s="394">
        <v>3505</v>
      </c>
      <c r="V56" s="404">
        <f>T56*U56</f>
        <v>907795</v>
      </c>
      <c r="W56" s="495" t="s">
        <v>1125</v>
      </c>
    </row>
    <row r="57" spans="1:23" s="135" customFormat="1" ht="31.5" hidden="1" x14ac:dyDescent="0.25">
      <c r="A57" s="538">
        <v>53</v>
      </c>
      <c r="B57" s="551" t="s">
        <v>1539</v>
      </c>
      <c r="C57" s="551"/>
      <c r="D57" s="552" t="s">
        <v>1146</v>
      </c>
      <c r="E57" s="414"/>
      <c r="F57" s="553" t="s">
        <v>599</v>
      </c>
      <c r="G57" s="554" t="s">
        <v>600</v>
      </c>
      <c r="H57" s="555"/>
      <c r="I57" s="414"/>
      <c r="J57" s="415">
        <v>9391</v>
      </c>
      <c r="K57" s="556" t="s">
        <v>314</v>
      </c>
      <c r="L57" s="408" t="s">
        <v>1147</v>
      </c>
      <c r="M57" s="416" t="s">
        <v>332</v>
      </c>
      <c r="N57" s="414">
        <v>28</v>
      </c>
      <c r="O57" s="557">
        <v>677794</v>
      </c>
      <c r="P57" s="557">
        <v>668771</v>
      </c>
      <c r="Q57" s="558">
        <v>1</v>
      </c>
      <c r="R57" s="410">
        <f t="shared" si="10"/>
        <v>9023</v>
      </c>
      <c r="S57" s="411">
        <v>0</v>
      </c>
      <c r="T57" s="559"/>
      <c r="U57" s="559"/>
      <c r="V57" s="560">
        <f t="shared" si="12"/>
        <v>0</v>
      </c>
      <c r="W57" s="253" t="s">
        <v>1123</v>
      </c>
    </row>
    <row r="58" spans="1:23" s="135" customFormat="1" ht="31.5" x14ac:dyDescent="0.25">
      <c r="A58" s="385">
        <v>54</v>
      </c>
      <c r="B58" s="386" t="s">
        <v>424</v>
      </c>
      <c r="C58" s="386" t="s">
        <v>1247</v>
      </c>
      <c r="D58" s="386" t="s">
        <v>1251</v>
      </c>
      <c r="E58" s="497"/>
      <c r="F58" s="397" t="s">
        <v>846</v>
      </c>
      <c r="G58" s="398" t="s">
        <v>847</v>
      </c>
      <c r="H58" s="389" t="s">
        <v>1245</v>
      </c>
      <c r="I58" s="493"/>
      <c r="J58" s="470">
        <v>5545</v>
      </c>
      <c r="K58" s="390" t="s">
        <v>334</v>
      </c>
      <c r="L58" s="493" t="s">
        <v>424</v>
      </c>
      <c r="M58" s="400" t="s">
        <v>227</v>
      </c>
      <c r="N58" s="468">
        <v>28</v>
      </c>
      <c r="O58" s="392">
        <v>61615</v>
      </c>
      <c r="P58" s="392">
        <v>61116</v>
      </c>
      <c r="Q58" s="389">
        <v>1</v>
      </c>
      <c r="R58" s="494">
        <f t="shared" ref="R58:R70" si="13">(O58-P58)*Q58</f>
        <v>499</v>
      </c>
      <c r="S58" s="469">
        <v>0</v>
      </c>
      <c r="T58" s="394">
        <f>IF((R58-S58)&gt;0,(R58-S58),0)</f>
        <v>499</v>
      </c>
      <c r="U58" s="394">
        <v>4169</v>
      </c>
      <c r="V58" s="404">
        <f t="shared" ref="V58:V70" si="14">T58*U58</f>
        <v>2080331</v>
      </c>
      <c r="W58" s="495" t="s">
        <v>1122</v>
      </c>
    </row>
    <row r="59" spans="1:23" s="135" customFormat="1" ht="31.5" x14ac:dyDescent="0.25">
      <c r="A59" s="385">
        <v>55</v>
      </c>
      <c r="B59" s="386" t="s">
        <v>1507</v>
      </c>
      <c r="C59" s="386" t="s">
        <v>1247</v>
      </c>
      <c r="D59" s="386" t="s">
        <v>1227</v>
      </c>
      <c r="E59" s="497"/>
      <c r="F59" s="397" t="s">
        <v>846</v>
      </c>
      <c r="G59" s="398" t="s">
        <v>847</v>
      </c>
      <c r="H59" s="389" t="s">
        <v>1227</v>
      </c>
      <c r="I59" s="493"/>
      <c r="J59" s="470">
        <v>6385</v>
      </c>
      <c r="K59" s="390" t="s">
        <v>334</v>
      </c>
      <c r="L59" s="493" t="s">
        <v>298</v>
      </c>
      <c r="M59" s="400" t="s">
        <v>315</v>
      </c>
      <c r="N59" s="468">
        <v>29</v>
      </c>
      <c r="O59" s="392">
        <v>36108</v>
      </c>
      <c r="P59" s="392">
        <v>35859</v>
      </c>
      <c r="Q59" s="389">
        <v>1</v>
      </c>
      <c r="R59" s="494">
        <f t="shared" si="13"/>
        <v>249</v>
      </c>
      <c r="S59" s="469">
        <v>0</v>
      </c>
      <c r="T59" s="394">
        <f>IF((R59-S59)&gt;0,(R59-S59),0)</f>
        <v>249</v>
      </c>
      <c r="U59" s="394">
        <v>4169</v>
      </c>
      <c r="V59" s="404">
        <f t="shared" si="14"/>
        <v>1038081</v>
      </c>
      <c r="W59" s="495" t="s">
        <v>1124</v>
      </c>
    </row>
    <row r="60" spans="1:23" s="135" customFormat="1" ht="31.5" x14ac:dyDescent="0.25">
      <c r="A60" s="385">
        <v>56</v>
      </c>
      <c r="B60" s="386" t="s">
        <v>1311</v>
      </c>
      <c r="C60" s="386" t="s">
        <v>1311</v>
      </c>
      <c r="D60" s="386" t="s">
        <v>1312</v>
      </c>
      <c r="E60" s="497">
        <v>38693782</v>
      </c>
      <c r="F60" s="397" t="s">
        <v>1107</v>
      </c>
      <c r="G60" s="388" t="s">
        <v>1313</v>
      </c>
      <c r="H60" s="389" t="s">
        <v>1208</v>
      </c>
      <c r="I60" s="493"/>
      <c r="J60" s="477" t="s">
        <v>1314</v>
      </c>
      <c r="K60" s="390" t="s">
        <v>314</v>
      </c>
      <c r="L60" s="493" t="s">
        <v>1315</v>
      </c>
      <c r="M60" s="400" t="s">
        <v>1208</v>
      </c>
      <c r="N60" s="468">
        <v>31</v>
      </c>
      <c r="O60" s="392">
        <v>147008</v>
      </c>
      <c r="P60" s="392">
        <v>142343</v>
      </c>
      <c r="Q60" s="389">
        <v>1</v>
      </c>
      <c r="R60" s="494">
        <f t="shared" si="13"/>
        <v>4665</v>
      </c>
      <c r="S60" s="469">
        <v>0</v>
      </c>
      <c r="T60" s="394">
        <f t="shared" ref="T60:T70" si="15">IF((R60-S60)&gt;0,(R60-S60),0)</f>
        <v>4665</v>
      </c>
      <c r="U60" s="394">
        <v>3505</v>
      </c>
      <c r="V60" s="404">
        <f t="shared" si="14"/>
        <v>16350825</v>
      </c>
      <c r="W60" s="495" t="s">
        <v>1122</v>
      </c>
    </row>
    <row r="61" spans="1:23" s="135" customFormat="1" ht="31.5" x14ac:dyDescent="0.25">
      <c r="A61" s="385">
        <v>57</v>
      </c>
      <c r="B61" s="386" t="s">
        <v>1311</v>
      </c>
      <c r="C61" s="386" t="s">
        <v>1311</v>
      </c>
      <c r="D61" s="386" t="s">
        <v>1177</v>
      </c>
      <c r="E61" s="497">
        <v>38693782</v>
      </c>
      <c r="F61" s="397" t="s">
        <v>1107</v>
      </c>
      <c r="G61" s="388" t="s">
        <v>1313</v>
      </c>
      <c r="H61" s="389" t="s">
        <v>1208</v>
      </c>
      <c r="I61" s="493"/>
      <c r="J61" s="477">
        <v>1624</v>
      </c>
      <c r="K61" s="390" t="s">
        <v>314</v>
      </c>
      <c r="L61" s="493" t="s">
        <v>1160</v>
      </c>
      <c r="M61" s="400" t="s">
        <v>1208</v>
      </c>
      <c r="N61" s="468">
        <v>30</v>
      </c>
      <c r="O61" s="392">
        <v>18361</v>
      </c>
      <c r="P61" s="392">
        <v>17039</v>
      </c>
      <c r="Q61" s="389">
        <v>1</v>
      </c>
      <c r="R61" s="494">
        <f t="shared" si="13"/>
        <v>1322</v>
      </c>
      <c r="S61" s="469">
        <v>0</v>
      </c>
      <c r="T61" s="394">
        <f t="shared" si="15"/>
        <v>1322</v>
      </c>
      <c r="U61" s="394">
        <v>3505</v>
      </c>
      <c r="V61" s="404">
        <f t="shared" si="14"/>
        <v>4633610</v>
      </c>
      <c r="W61" s="495" t="s">
        <v>1122</v>
      </c>
    </row>
    <row r="62" spans="1:23" s="135" customFormat="1" ht="31.5" x14ac:dyDescent="0.25">
      <c r="A62" s="385">
        <v>58</v>
      </c>
      <c r="B62" s="386" t="s">
        <v>1062</v>
      </c>
      <c r="C62" s="386" t="s">
        <v>1247</v>
      </c>
      <c r="D62" s="386" t="s">
        <v>1063</v>
      </c>
      <c r="E62" s="497">
        <v>36230351</v>
      </c>
      <c r="F62" s="397" t="s">
        <v>26</v>
      </c>
      <c r="G62" s="388" t="s">
        <v>1098</v>
      </c>
      <c r="H62" s="389" t="s">
        <v>1279</v>
      </c>
      <c r="I62" s="493"/>
      <c r="J62" s="470">
        <v>4061</v>
      </c>
      <c r="K62" s="390" t="s">
        <v>314</v>
      </c>
      <c r="L62" s="493" t="s">
        <v>1080</v>
      </c>
      <c r="M62" s="400" t="s">
        <v>326</v>
      </c>
      <c r="N62" s="468">
        <v>30</v>
      </c>
      <c r="O62" s="392">
        <v>45698</v>
      </c>
      <c r="P62" s="392">
        <v>44005</v>
      </c>
      <c r="Q62" s="389">
        <v>1</v>
      </c>
      <c r="R62" s="494">
        <f t="shared" si="13"/>
        <v>1693</v>
      </c>
      <c r="S62" s="469">
        <v>0</v>
      </c>
      <c r="T62" s="394">
        <f t="shared" si="15"/>
        <v>1693</v>
      </c>
      <c r="U62" s="394">
        <v>4169</v>
      </c>
      <c r="V62" s="404">
        <f t="shared" si="14"/>
        <v>7058117</v>
      </c>
      <c r="W62" s="495" t="s">
        <v>1123</v>
      </c>
    </row>
    <row r="63" spans="1:23" s="135" customFormat="1" ht="47.25" x14ac:dyDescent="0.25">
      <c r="A63" s="385">
        <v>59</v>
      </c>
      <c r="B63" s="386" t="s">
        <v>1508</v>
      </c>
      <c r="C63" s="386" t="s">
        <v>1247</v>
      </c>
      <c r="D63" s="386" t="s">
        <v>1226</v>
      </c>
      <c r="E63" s="497"/>
      <c r="F63" s="397" t="s">
        <v>1509</v>
      </c>
      <c r="G63" s="388" t="s">
        <v>1510</v>
      </c>
      <c r="H63" s="389"/>
      <c r="I63" s="493"/>
      <c r="J63" s="470">
        <v>9504</v>
      </c>
      <c r="K63" s="390" t="s">
        <v>334</v>
      </c>
      <c r="L63" s="493" t="s">
        <v>1508</v>
      </c>
      <c r="M63" s="400" t="s">
        <v>315</v>
      </c>
      <c r="N63" s="468">
        <v>31</v>
      </c>
      <c r="O63" s="392">
        <v>40159</v>
      </c>
      <c r="P63" s="392">
        <v>39384</v>
      </c>
      <c r="Q63" s="389">
        <v>1</v>
      </c>
      <c r="R63" s="494">
        <f>(O63-P63)*Q63</f>
        <v>775</v>
      </c>
      <c r="S63" s="469">
        <v>0</v>
      </c>
      <c r="T63" s="394">
        <f>IF((R63-S63)&gt;0,(R63-S63),0)</f>
        <v>775</v>
      </c>
      <c r="U63" s="394">
        <v>4169</v>
      </c>
      <c r="V63" s="404">
        <f>T63*U63</f>
        <v>3230975</v>
      </c>
      <c r="W63" s="495"/>
    </row>
    <row r="64" spans="1:23" s="135" customFormat="1" ht="31.5" x14ac:dyDescent="0.25">
      <c r="A64" s="385">
        <v>60</v>
      </c>
      <c r="B64" s="386" t="s">
        <v>1583</v>
      </c>
      <c r="C64" s="386"/>
      <c r="D64" s="386" t="s">
        <v>1584</v>
      </c>
      <c r="E64" s="497"/>
      <c r="F64" s="397" t="s">
        <v>1585</v>
      </c>
      <c r="G64" s="388" t="s">
        <v>768</v>
      </c>
      <c r="H64" s="389" t="s">
        <v>681</v>
      </c>
      <c r="I64" s="493"/>
      <c r="J64" s="470">
        <v>5356</v>
      </c>
      <c r="K64" s="390" t="s">
        <v>314</v>
      </c>
      <c r="L64" s="493" t="s">
        <v>1586</v>
      </c>
      <c r="M64" s="400"/>
      <c r="N64" s="468">
        <v>31</v>
      </c>
      <c r="O64" s="392">
        <v>195115</v>
      </c>
      <c r="P64" s="392">
        <v>194485</v>
      </c>
      <c r="Q64" s="389">
        <v>1</v>
      </c>
      <c r="R64" s="494">
        <f>(O64-P64)*Q64</f>
        <v>630</v>
      </c>
      <c r="S64" s="469">
        <v>0</v>
      </c>
      <c r="T64" s="394">
        <f>IF((R64-S64)&gt;0,(R64-S64),0)</f>
        <v>630</v>
      </c>
      <c r="U64" s="394">
        <v>3505</v>
      </c>
      <c r="V64" s="404">
        <f>T64*U64</f>
        <v>2208150</v>
      </c>
      <c r="W64" s="495" t="s">
        <v>1125</v>
      </c>
    </row>
    <row r="65" spans="1:23" s="135" customFormat="1" ht="47.25" x14ac:dyDescent="0.25">
      <c r="A65" s="385">
        <v>61</v>
      </c>
      <c r="B65" s="386" t="s">
        <v>1420</v>
      </c>
      <c r="C65" s="386" t="s">
        <v>987</v>
      </c>
      <c r="D65" s="386" t="s">
        <v>1218</v>
      </c>
      <c r="E65" s="513"/>
      <c r="F65" s="397" t="s">
        <v>151</v>
      </c>
      <c r="G65" s="398" t="s">
        <v>150</v>
      </c>
      <c r="H65" s="396" t="s">
        <v>332</v>
      </c>
      <c r="I65" s="514"/>
      <c r="J65" s="480" t="s">
        <v>1582</v>
      </c>
      <c r="K65" s="390"/>
      <c r="L65" s="514" t="s">
        <v>1604</v>
      </c>
      <c r="M65" s="416" t="s">
        <v>332</v>
      </c>
      <c r="N65" s="479">
        <v>36</v>
      </c>
      <c r="O65" s="392">
        <v>40125</v>
      </c>
      <c r="P65" s="392">
        <v>0</v>
      </c>
      <c r="Q65" s="389">
        <v>1</v>
      </c>
      <c r="R65" s="509">
        <f>(O65-P65)*Q65</f>
        <v>40125</v>
      </c>
      <c r="S65" s="476">
        <v>0</v>
      </c>
      <c r="T65" s="394">
        <f>IF((R65-S65)&gt;0,(R65-S65),0)</f>
        <v>40125</v>
      </c>
      <c r="U65" s="394">
        <v>2655</v>
      </c>
      <c r="V65" s="404">
        <f>T65*U65</f>
        <v>106531875</v>
      </c>
      <c r="W65" s="510" t="s">
        <v>1123</v>
      </c>
    </row>
    <row r="66" spans="1:23" s="135" customFormat="1" x14ac:dyDescent="0.25">
      <c r="A66" s="385">
        <v>62</v>
      </c>
      <c r="B66" s="386" t="s">
        <v>1593</v>
      </c>
      <c r="C66" s="386" t="s">
        <v>1423</v>
      </c>
      <c r="D66" s="386" t="s">
        <v>894</v>
      </c>
      <c r="E66" s="497">
        <v>38693782</v>
      </c>
      <c r="F66" s="397" t="s">
        <v>797</v>
      </c>
      <c r="G66" s="388" t="s">
        <v>986</v>
      </c>
      <c r="H66" s="389" t="s">
        <v>1461</v>
      </c>
      <c r="I66" s="493"/>
      <c r="J66" s="470">
        <v>4593</v>
      </c>
      <c r="K66" s="390" t="s">
        <v>314</v>
      </c>
      <c r="L66" s="493" t="s">
        <v>1051</v>
      </c>
      <c r="M66" s="400" t="s">
        <v>326</v>
      </c>
      <c r="N66" s="468">
        <v>37</v>
      </c>
      <c r="O66" s="392">
        <v>147573</v>
      </c>
      <c r="P66" s="392">
        <v>145425</v>
      </c>
      <c r="Q66" s="389">
        <v>1</v>
      </c>
      <c r="R66" s="494">
        <f t="shared" si="13"/>
        <v>2148</v>
      </c>
      <c r="S66" s="469">
        <v>0</v>
      </c>
      <c r="T66" s="394">
        <f t="shared" si="15"/>
        <v>2148</v>
      </c>
      <c r="U66" s="394">
        <v>3505</v>
      </c>
      <c r="V66" s="404">
        <f t="shared" si="14"/>
        <v>7528740</v>
      </c>
      <c r="W66" s="495" t="s">
        <v>1123</v>
      </c>
    </row>
    <row r="67" spans="1:23" s="135" customFormat="1" ht="31.5" hidden="1" x14ac:dyDescent="0.25">
      <c r="A67" s="538">
        <v>63</v>
      </c>
      <c r="B67" s="539" t="s">
        <v>1424</v>
      </c>
      <c r="C67" s="539" t="s">
        <v>1423</v>
      </c>
      <c r="D67" s="539" t="s">
        <v>1303</v>
      </c>
      <c r="E67" s="394">
        <v>38693782</v>
      </c>
      <c r="F67" s="541" t="s">
        <v>797</v>
      </c>
      <c r="G67" s="561" t="s">
        <v>986</v>
      </c>
      <c r="H67" s="546" t="s">
        <v>1229</v>
      </c>
      <c r="I67" s="389"/>
      <c r="J67" s="403">
        <v>1334</v>
      </c>
      <c r="K67" s="544" t="s">
        <v>314</v>
      </c>
      <c r="L67" s="389" t="s">
        <v>1051</v>
      </c>
      <c r="M67" s="400" t="s">
        <v>56</v>
      </c>
      <c r="N67" s="389">
        <v>37</v>
      </c>
      <c r="O67" s="545"/>
      <c r="P67" s="545"/>
      <c r="Q67" s="546">
        <v>1</v>
      </c>
      <c r="R67" s="393">
        <f t="shared" si="13"/>
        <v>0</v>
      </c>
      <c r="S67" s="394">
        <v>0</v>
      </c>
      <c r="T67" s="547">
        <f t="shared" si="15"/>
        <v>0</v>
      </c>
      <c r="U67" s="559">
        <v>3505</v>
      </c>
      <c r="V67" s="550">
        <f t="shared" si="14"/>
        <v>0</v>
      </c>
      <c r="W67" s="39" t="s">
        <v>1123</v>
      </c>
    </row>
    <row r="68" spans="1:23" s="135" customFormat="1" ht="31.5" x14ac:dyDescent="0.25">
      <c r="A68" s="385">
        <v>64</v>
      </c>
      <c r="B68" s="386" t="s">
        <v>1526</v>
      </c>
      <c r="C68" s="386" t="s">
        <v>1423</v>
      </c>
      <c r="D68" s="386" t="s">
        <v>1302</v>
      </c>
      <c r="E68" s="497">
        <v>38693782</v>
      </c>
      <c r="F68" s="397" t="s">
        <v>797</v>
      </c>
      <c r="G68" s="388" t="s">
        <v>986</v>
      </c>
      <c r="H68" s="389" t="s">
        <v>681</v>
      </c>
      <c r="I68" s="493"/>
      <c r="J68" s="470">
        <v>1724</v>
      </c>
      <c r="K68" s="390" t="s">
        <v>314</v>
      </c>
      <c r="L68" s="493" t="s">
        <v>1319</v>
      </c>
      <c r="M68" s="400" t="s">
        <v>681</v>
      </c>
      <c r="N68" s="468">
        <v>37</v>
      </c>
      <c r="O68" s="392">
        <v>59462</v>
      </c>
      <c r="P68" s="392">
        <v>55265</v>
      </c>
      <c r="Q68" s="389">
        <v>1</v>
      </c>
      <c r="R68" s="494">
        <f t="shared" si="13"/>
        <v>4197</v>
      </c>
      <c r="S68" s="469">
        <v>0</v>
      </c>
      <c r="T68" s="394">
        <f t="shared" si="15"/>
        <v>4197</v>
      </c>
      <c r="U68" s="394">
        <v>3505</v>
      </c>
      <c r="V68" s="404">
        <f t="shared" si="14"/>
        <v>14710485</v>
      </c>
      <c r="W68" s="495" t="s">
        <v>1125</v>
      </c>
    </row>
    <row r="69" spans="1:23" s="135" customFormat="1" ht="31.5" x14ac:dyDescent="0.25">
      <c r="A69" s="385">
        <v>65</v>
      </c>
      <c r="B69" s="417" t="s">
        <v>1547</v>
      </c>
      <c r="C69" s="386" t="s">
        <v>1423</v>
      </c>
      <c r="D69" s="386" t="s">
        <v>1302</v>
      </c>
      <c r="E69" s="497">
        <v>38693782</v>
      </c>
      <c r="F69" s="397" t="s">
        <v>797</v>
      </c>
      <c r="G69" s="388" t="s">
        <v>986</v>
      </c>
      <c r="H69" s="389" t="s">
        <v>681</v>
      </c>
      <c r="I69" s="493"/>
      <c r="J69" s="470">
        <v>6333</v>
      </c>
      <c r="K69" s="390" t="s">
        <v>314</v>
      </c>
      <c r="L69" s="493" t="s">
        <v>1474</v>
      </c>
      <c r="M69" s="400" t="s">
        <v>681</v>
      </c>
      <c r="N69" s="468">
        <v>37</v>
      </c>
      <c r="O69" s="392">
        <v>78594</v>
      </c>
      <c r="P69" s="392">
        <v>75874</v>
      </c>
      <c r="Q69" s="389">
        <v>1</v>
      </c>
      <c r="R69" s="494">
        <f>(O69-P69)*Q69</f>
        <v>2720</v>
      </c>
      <c r="S69" s="469">
        <v>0</v>
      </c>
      <c r="T69" s="394">
        <f>IF((R69-S69)&gt;0,(R69-S69),0)</f>
        <v>2720</v>
      </c>
      <c r="U69" s="394">
        <v>3505</v>
      </c>
      <c r="V69" s="404">
        <f>T69*U69</f>
        <v>9533600</v>
      </c>
      <c r="W69" s="495" t="s">
        <v>1125</v>
      </c>
    </row>
    <row r="70" spans="1:23" s="135" customFormat="1" ht="31.5" x14ac:dyDescent="0.25">
      <c r="A70" s="385">
        <v>66</v>
      </c>
      <c r="B70" s="386" t="s">
        <v>1255</v>
      </c>
      <c r="C70" s="386" t="s">
        <v>1316</v>
      </c>
      <c r="D70" s="386" t="s">
        <v>1028</v>
      </c>
      <c r="E70" s="515"/>
      <c r="F70" s="397" t="s">
        <v>1150</v>
      </c>
      <c r="G70" s="388" t="s">
        <v>1151</v>
      </c>
      <c r="H70" s="389"/>
      <c r="I70" s="507"/>
      <c r="J70" s="472">
        <v>3833</v>
      </c>
      <c r="K70" s="390" t="s">
        <v>314</v>
      </c>
      <c r="L70" s="507" t="s">
        <v>233</v>
      </c>
      <c r="M70" s="409" t="s">
        <v>668</v>
      </c>
      <c r="N70" s="475">
        <v>37</v>
      </c>
      <c r="O70" s="392">
        <v>5696</v>
      </c>
      <c r="P70" s="392">
        <v>0</v>
      </c>
      <c r="Q70" s="389">
        <v>1</v>
      </c>
      <c r="R70" s="509">
        <f t="shared" si="13"/>
        <v>5696</v>
      </c>
      <c r="S70" s="476">
        <v>0</v>
      </c>
      <c r="T70" s="394">
        <f t="shared" si="15"/>
        <v>5696</v>
      </c>
      <c r="U70" s="394">
        <v>3505</v>
      </c>
      <c r="V70" s="404">
        <f t="shared" si="14"/>
        <v>19964480</v>
      </c>
      <c r="W70" s="510" t="s">
        <v>1123</v>
      </c>
    </row>
    <row r="71" spans="1:23" s="135" customFormat="1" x14ac:dyDescent="0.25">
      <c r="A71" s="385">
        <v>67</v>
      </c>
      <c r="B71" s="422" t="s">
        <v>1262</v>
      </c>
      <c r="C71" s="422"/>
      <c r="D71" s="422" t="s">
        <v>668</v>
      </c>
      <c r="E71" s="516">
        <v>38692942</v>
      </c>
      <c r="F71" s="440" t="s">
        <v>1468</v>
      </c>
      <c r="G71" s="425" t="s">
        <v>1469</v>
      </c>
      <c r="H71" s="426" t="s">
        <v>668</v>
      </c>
      <c r="I71" s="517"/>
      <c r="J71" s="481">
        <v>2148</v>
      </c>
      <c r="K71" s="434" t="s">
        <v>314</v>
      </c>
      <c r="L71" s="517"/>
      <c r="M71" s="418" t="s">
        <v>668</v>
      </c>
      <c r="N71" s="482">
        <v>38</v>
      </c>
      <c r="O71" s="392">
        <v>320271</v>
      </c>
      <c r="P71" s="392">
        <v>0</v>
      </c>
      <c r="Q71" s="426">
        <v>1</v>
      </c>
      <c r="R71" s="518">
        <f>O71</f>
        <v>320271</v>
      </c>
      <c r="S71" s="483">
        <v>0</v>
      </c>
      <c r="T71" s="394"/>
      <c r="U71" s="412">
        <v>2664</v>
      </c>
      <c r="V71" s="404"/>
      <c r="W71" s="519" t="s">
        <v>1123</v>
      </c>
    </row>
    <row r="72" spans="1:23" s="135" customFormat="1" ht="47.25" x14ac:dyDescent="0.25">
      <c r="A72" s="385">
        <v>68</v>
      </c>
      <c r="B72" s="395" t="s">
        <v>1325</v>
      </c>
      <c r="C72" s="386" t="s">
        <v>989</v>
      </c>
      <c r="D72" s="395" t="s">
        <v>1346</v>
      </c>
      <c r="E72" s="513"/>
      <c r="F72" s="397" t="s">
        <v>1129</v>
      </c>
      <c r="G72" s="425" t="s">
        <v>1128</v>
      </c>
      <c r="H72" s="396" t="s">
        <v>1127</v>
      </c>
      <c r="I72" s="514"/>
      <c r="J72" s="480">
        <v>7290</v>
      </c>
      <c r="K72" s="390" t="s">
        <v>314</v>
      </c>
      <c r="L72" s="514" t="s">
        <v>1159</v>
      </c>
      <c r="M72" s="416" t="s">
        <v>313</v>
      </c>
      <c r="N72" s="475">
        <v>39</v>
      </c>
      <c r="O72" s="392">
        <v>2860</v>
      </c>
      <c r="P72" s="392">
        <v>1400</v>
      </c>
      <c r="Q72" s="389">
        <v>1</v>
      </c>
      <c r="R72" s="509">
        <f>(O72-P72)*Q72</f>
        <v>1460</v>
      </c>
      <c r="S72" s="476">
        <v>0</v>
      </c>
      <c r="T72" s="393">
        <f t="shared" ref="T72:T76" si="16">IF((R72-S72)&gt;0,(R72-S72),0)</f>
        <v>1460</v>
      </c>
      <c r="U72" s="394">
        <v>3505</v>
      </c>
      <c r="V72" s="404">
        <f>T72*U72</f>
        <v>5117300</v>
      </c>
      <c r="W72" s="510" t="s">
        <v>1124</v>
      </c>
    </row>
    <row r="73" spans="1:23" s="135" customFormat="1" ht="47.25" x14ac:dyDescent="0.25">
      <c r="A73" s="385">
        <v>69</v>
      </c>
      <c r="B73" s="395" t="s">
        <v>1326</v>
      </c>
      <c r="C73" s="386" t="s">
        <v>989</v>
      </c>
      <c r="D73" s="395" t="s">
        <v>1346</v>
      </c>
      <c r="E73" s="512"/>
      <c r="F73" s="397" t="s">
        <v>1129</v>
      </c>
      <c r="G73" s="425" t="s">
        <v>1128</v>
      </c>
      <c r="H73" s="396" t="s">
        <v>1127</v>
      </c>
      <c r="I73" s="506"/>
      <c r="J73" s="471">
        <v>2002</v>
      </c>
      <c r="K73" s="390" t="s">
        <v>314</v>
      </c>
      <c r="L73" s="506" t="s">
        <v>1159</v>
      </c>
      <c r="M73" s="391" t="s">
        <v>313</v>
      </c>
      <c r="N73" s="468">
        <v>39</v>
      </c>
      <c r="O73" s="392">
        <v>240</v>
      </c>
      <c r="P73" s="392">
        <v>212</v>
      </c>
      <c r="Q73" s="389">
        <v>30</v>
      </c>
      <c r="R73" s="494">
        <f>(O73-P73)*Q73</f>
        <v>840</v>
      </c>
      <c r="S73" s="469">
        <v>0</v>
      </c>
      <c r="T73" s="393">
        <f t="shared" si="16"/>
        <v>840</v>
      </c>
      <c r="U73" s="394">
        <v>3505</v>
      </c>
      <c r="V73" s="404">
        <f>T73*U73</f>
        <v>2944200</v>
      </c>
      <c r="W73" s="495" t="s">
        <v>1124</v>
      </c>
    </row>
    <row r="74" spans="1:23" s="135" customFormat="1" ht="31.5" hidden="1" x14ac:dyDescent="0.25">
      <c r="A74" s="549">
        <v>70</v>
      </c>
      <c r="B74" s="539" t="s">
        <v>1069</v>
      </c>
      <c r="C74" s="539" t="s">
        <v>991</v>
      </c>
      <c r="D74" s="539" t="s">
        <v>1497</v>
      </c>
      <c r="E74" s="394">
        <v>38690073</v>
      </c>
      <c r="F74" s="541" t="s">
        <v>1528</v>
      </c>
      <c r="G74" s="562" t="s">
        <v>1529</v>
      </c>
      <c r="H74" s="546" t="s">
        <v>1210</v>
      </c>
      <c r="I74" s="389"/>
      <c r="J74" s="421" t="s">
        <v>1498</v>
      </c>
      <c r="K74" s="544" t="s">
        <v>314</v>
      </c>
      <c r="L74" s="389" t="s">
        <v>1499</v>
      </c>
      <c r="M74" s="400" t="s">
        <v>326</v>
      </c>
      <c r="N74" s="389">
        <v>40</v>
      </c>
      <c r="O74" s="545"/>
      <c r="P74" s="545"/>
      <c r="Q74" s="546">
        <v>1</v>
      </c>
      <c r="R74" s="393">
        <f>(O74-P74)*Q74</f>
        <v>0</v>
      </c>
      <c r="S74" s="394">
        <v>0</v>
      </c>
      <c r="T74" s="563">
        <f t="shared" si="16"/>
        <v>0</v>
      </c>
      <c r="U74" s="559">
        <v>3505</v>
      </c>
      <c r="V74" s="550">
        <f>T74*U74</f>
        <v>0</v>
      </c>
      <c r="W74" s="39" t="s">
        <v>1123</v>
      </c>
    </row>
    <row r="75" spans="1:23" s="135" customFormat="1" ht="31.5" hidden="1" x14ac:dyDescent="0.25">
      <c r="A75" s="371">
        <v>71</v>
      </c>
      <c r="B75" s="386" t="s">
        <v>1069</v>
      </c>
      <c r="C75" s="386" t="s">
        <v>991</v>
      </c>
      <c r="D75" s="386" t="s">
        <v>1264</v>
      </c>
      <c r="E75" s="394">
        <v>38692983</v>
      </c>
      <c r="F75" s="397" t="s">
        <v>1528</v>
      </c>
      <c r="G75" s="420" t="s">
        <v>1529</v>
      </c>
      <c r="H75" s="389" t="s">
        <v>1210</v>
      </c>
      <c r="I75" s="389"/>
      <c r="J75" s="403">
        <v>5428</v>
      </c>
      <c r="K75" s="390" t="s">
        <v>314</v>
      </c>
      <c r="L75" s="389" t="s">
        <v>192</v>
      </c>
      <c r="M75" s="400" t="s">
        <v>326</v>
      </c>
      <c r="N75" s="389">
        <v>40</v>
      </c>
      <c r="O75" s="392">
        <v>96911</v>
      </c>
      <c r="P75" s="392">
        <v>96911</v>
      </c>
      <c r="Q75" s="389">
        <v>1</v>
      </c>
      <c r="R75" s="393">
        <f>(O75-P75)*Q75</f>
        <v>0</v>
      </c>
      <c r="S75" s="394">
        <v>0</v>
      </c>
      <c r="T75" s="393">
        <f t="shared" si="16"/>
        <v>0</v>
      </c>
      <c r="U75" s="411">
        <v>3505</v>
      </c>
      <c r="V75" s="404">
        <f>T75*U75</f>
        <v>0</v>
      </c>
      <c r="W75" s="39" t="s">
        <v>1123</v>
      </c>
    </row>
    <row r="76" spans="1:23" s="135" customFormat="1" x14ac:dyDescent="0.25">
      <c r="A76" s="385">
        <v>72</v>
      </c>
      <c r="B76" s="386" t="s">
        <v>1069</v>
      </c>
      <c r="C76" s="386" t="s">
        <v>991</v>
      </c>
      <c r="D76" s="386" t="s">
        <v>1265</v>
      </c>
      <c r="E76" s="497">
        <v>38692983</v>
      </c>
      <c r="F76" s="397" t="s">
        <v>1528</v>
      </c>
      <c r="G76" s="420" t="s">
        <v>1529</v>
      </c>
      <c r="H76" s="389" t="s">
        <v>1210</v>
      </c>
      <c r="I76" s="493"/>
      <c r="J76" s="470">
        <v>3723</v>
      </c>
      <c r="K76" s="390" t="s">
        <v>334</v>
      </c>
      <c r="L76" s="493" t="s">
        <v>131</v>
      </c>
      <c r="M76" s="400" t="s">
        <v>326</v>
      </c>
      <c r="N76" s="468">
        <v>40</v>
      </c>
      <c r="O76" s="392">
        <v>32125</v>
      </c>
      <c r="P76" s="392">
        <v>31898</v>
      </c>
      <c r="Q76" s="389">
        <v>1</v>
      </c>
      <c r="R76" s="494">
        <f>(O76-P76)*Q76</f>
        <v>227</v>
      </c>
      <c r="S76" s="469">
        <v>0</v>
      </c>
      <c r="T76" s="393">
        <f t="shared" si="16"/>
        <v>227</v>
      </c>
      <c r="U76" s="394">
        <v>3505</v>
      </c>
      <c r="V76" s="404">
        <f>T76*U76</f>
        <v>795635</v>
      </c>
      <c r="W76" s="495" t="s">
        <v>1123</v>
      </c>
    </row>
    <row r="77" spans="1:23" s="135" customFormat="1" ht="31.5" hidden="1" x14ac:dyDescent="0.25">
      <c r="A77" s="538">
        <v>73</v>
      </c>
      <c r="B77" s="539" t="s">
        <v>1069</v>
      </c>
      <c r="C77" s="539" t="s">
        <v>991</v>
      </c>
      <c r="D77" s="539" t="s">
        <v>1269</v>
      </c>
      <c r="E77" s="394">
        <v>38692983</v>
      </c>
      <c r="F77" s="541" t="s">
        <v>1528</v>
      </c>
      <c r="G77" s="562" t="s">
        <v>1529</v>
      </c>
      <c r="H77" s="546" t="s">
        <v>1210</v>
      </c>
      <c r="I77" s="389"/>
      <c r="J77" s="403">
        <v>2273</v>
      </c>
      <c r="K77" s="544" t="s">
        <v>314</v>
      </c>
      <c r="L77" s="389" t="s">
        <v>598</v>
      </c>
      <c r="M77" s="400" t="s">
        <v>326</v>
      </c>
      <c r="N77" s="389">
        <v>40</v>
      </c>
      <c r="O77" s="545">
        <v>35037</v>
      </c>
      <c r="P77" s="545">
        <v>35037</v>
      </c>
      <c r="Q77" s="546">
        <v>1</v>
      </c>
      <c r="R77" s="393">
        <f t="shared" ref="R77:R100" si="17">(O77-P77)*Q77</f>
        <v>0</v>
      </c>
      <c r="S77" s="394">
        <v>0</v>
      </c>
      <c r="T77" s="563">
        <f t="shared" ref="T77:T100" si="18">IF((R77-S77)&gt;0,(R77-S77),0)</f>
        <v>0</v>
      </c>
      <c r="U77" s="559">
        <v>3505</v>
      </c>
      <c r="V77" s="550">
        <f t="shared" ref="V77:V100" si="19">T77*U77</f>
        <v>0</v>
      </c>
      <c r="W77" s="39" t="s">
        <v>1123</v>
      </c>
    </row>
    <row r="78" spans="1:23" s="135" customFormat="1" ht="31.5" hidden="1" x14ac:dyDescent="0.25">
      <c r="A78" s="385">
        <v>74</v>
      </c>
      <c r="B78" s="386" t="s">
        <v>1069</v>
      </c>
      <c r="C78" s="386" t="s">
        <v>991</v>
      </c>
      <c r="D78" s="386" t="s">
        <v>1270</v>
      </c>
      <c r="E78" s="394">
        <v>38692983</v>
      </c>
      <c r="F78" s="397" t="s">
        <v>1528</v>
      </c>
      <c r="G78" s="420" t="s">
        <v>1529</v>
      </c>
      <c r="H78" s="389" t="s">
        <v>1210</v>
      </c>
      <c r="I78" s="389"/>
      <c r="J78" s="403" t="s">
        <v>89</v>
      </c>
      <c r="K78" s="390" t="s">
        <v>314</v>
      </c>
      <c r="L78" s="389" t="s">
        <v>91</v>
      </c>
      <c r="M78" s="400" t="s">
        <v>326</v>
      </c>
      <c r="N78" s="389">
        <v>40</v>
      </c>
      <c r="O78" s="392">
        <v>5912</v>
      </c>
      <c r="P78" s="392">
        <v>5912</v>
      </c>
      <c r="Q78" s="389">
        <v>1</v>
      </c>
      <c r="R78" s="393">
        <f t="shared" si="17"/>
        <v>0</v>
      </c>
      <c r="S78" s="394">
        <v>0</v>
      </c>
      <c r="T78" s="393">
        <f t="shared" si="18"/>
        <v>0</v>
      </c>
      <c r="U78" s="411">
        <v>3505</v>
      </c>
      <c r="V78" s="404">
        <f t="shared" si="19"/>
        <v>0</v>
      </c>
      <c r="W78" s="39" t="s">
        <v>1123</v>
      </c>
    </row>
    <row r="79" spans="1:23" s="135" customFormat="1" hidden="1" x14ac:dyDescent="0.25">
      <c r="A79" s="371">
        <v>75</v>
      </c>
      <c r="B79" s="386" t="s">
        <v>1069</v>
      </c>
      <c r="C79" s="386" t="s">
        <v>991</v>
      </c>
      <c r="D79" s="386" t="s">
        <v>1272</v>
      </c>
      <c r="E79" s="394">
        <v>38692983</v>
      </c>
      <c r="F79" s="397" t="s">
        <v>1528</v>
      </c>
      <c r="G79" s="420" t="s">
        <v>1529</v>
      </c>
      <c r="H79" s="389" t="s">
        <v>1210</v>
      </c>
      <c r="I79" s="389"/>
      <c r="J79" s="403" t="s">
        <v>225</v>
      </c>
      <c r="K79" s="390" t="s">
        <v>334</v>
      </c>
      <c r="L79" s="389" t="s">
        <v>224</v>
      </c>
      <c r="M79" s="400" t="s">
        <v>326</v>
      </c>
      <c r="N79" s="389">
        <v>41</v>
      </c>
      <c r="O79" s="392">
        <v>5424</v>
      </c>
      <c r="P79" s="392">
        <v>5424</v>
      </c>
      <c r="Q79" s="389">
        <v>1</v>
      </c>
      <c r="R79" s="393">
        <f t="shared" si="17"/>
        <v>0</v>
      </c>
      <c r="S79" s="394">
        <v>0</v>
      </c>
      <c r="T79" s="393">
        <f t="shared" si="18"/>
        <v>0</v>
      </c>
      <c r="U79" s="411">
        <v>3505</v>
      </c>
      <c r="V79" s="404">
        <f t="shared" si="19"/>
        <v>0</v>
      </c>
      <c r="W79" s="39" t="s">
        <v>1123</v>
      </c>
    </row>
    <row r="80" spans="1:23" s="135" customFormat="1" ht="31.5" hidden="1" x14ac:dyDescent="0.25">
      <c r="A80" s="385">
        <v>76</v>
      </c>
      <c r="B80" s="386" t="s">
        <v>1069</v>
      </c>
      <c r="C80" s="386" t="s">
        <v>991</v>
      </c>
      <c r="D80" s="386" t="s">
        <v>1271</v>
      </c>
      <c r="E80" s="394">
        <v>38692983</v>
      </c>
      <c r="F80" s="397" t="s">
        <v>1528</v>
      </c>
      <c r="G80" s="420" t="s">
        <v>1529</v>
      </c>
      <c r="H80" s="389" t="s">
        <v>1210</v>
      </c>
      <c r="I80" s="389"/>
      <c r="J80" s="403">
        <v>2447</v>
      </c>
      <c r="K80" s="390" t="s">
        <v>314</v>
      </c>
      <c r="L80" s="389" t="s">
        <v>192</v>
      </c>
      <c r="M80" s="400" t="s">
        <v>326</v>
      </c>
      <c r="N80" s="389">
        <v>41</v>
      </c>
      <c r="O80" s="392">
        <v>56126</v>
      </c>
      <c r="P80" s="392">
        <v>56126</v>
      </c>
      <c r="Q80" s="389">
        <v>1</v>
      </c>
      <c r="R80" s="393">
        <f t="shared" si="17"/>
        <v>0</v>
      </c>
      <c r="S80" s="394">
        <v>0</v>
      </c>
      <c r="T80" s="393">
        <f t="shared" si="18"/>
        <v>0</v>
      </c>
      <c r="U80" s="411">
        <v>3505</v>
      </c>
      <c r="V80" s="404">
        <f t="shared" si="19"/>
        <v>0</v>
      </c>
      <c r="W80" s="39" t="s">
        <v>1123</v>
      </c>
    </row>
    <row r="81" spans="1:23" s="135" customFormat="1" hidden="1" x14ac:dyDescent="0.25">
      <c r="A81" s="371">
        <v>77</v>
      </c>
      <c r="B81" s="386" t="s">
        <v>1377</v>
      </c>
      <c r="C81" s="386" t="s">
        <v>989</v>
      </c>
      <c r="D81" s="386" t="s">
        <v>1301</v>
      </c>
      <c r="E81" s="394"/>
      <c r="F81" s="397" t="s">
        <v>1528</v>
      </c>
      <c r="G81" s="420" t="s">
        <v>1529</v>
      </c>
      <c r="H81" s="389" t="s">
        <v>1210</v>
      </c>
      <c r="I81" s="389"/>
      <c r="J81" s="403">
        <v>5191</v>
      </c>
      <c r="K81" s="390" t="s">
        <v>314</v>
      </c>
      <c r="L81" s="389" t="s">
        <v>224</v>
      </c>
      <c r="M81" s="400" t="s">
        <v>326</v>
      </c>
      <c r="N81" s="389">
        <v>41</v>
      </c>
      <c r="O81" s="392"/>
      <c r="P81" s="392"/>
      <c r="Q81" s="389">
        <v>1</v>
      </c>
      <c r="R81" s="393">
        <f>(O81-P81)*Q81</f>
        <v>0</v>
      </c>
      <c r="S81" s="394">
        <v>0</v>
      </c>
      <c r="T81" s="394">
        <f>IF((R81-S81)&gt;0,(R81-S81),0)</f>
        <v>0</v>
      </c>
      <c r="U81" s="411">
        <v>3505</v>
      </c>
      <c r="V81" s="404">
        <f>T81*U81</f>
        <v>0</v>
      </c>
      <c r="W81" s="39" t="s">
        <v>1123</v>
      </c>
    </row>
    <row r="82" spans="1:23" s="135" customFormat="1" x14ac:dyDescent="0.25">
      <c r="A82" s="385">
        <v>78</v>
      </c>
      <c r="B82" s="386" t="s">
        <v>1069</v>
      </c>
      <c r="C82" s="386" t="s">
        <v>991</v>
      </c>
      <c r="D82" s="386" t="s">
        <v>1266</v>
      </c>
      <c r="E82" s="497">
        <v>38692983</v>
      </c>
      <c r="F82" s="397" t="s">
        <v>1528</v>
      </c>
      <c r="G82" s="420" t="s">
        <v>1529</v>
      </c>
      <c r="H82" s="389" t="s">
        <v>1210</v>
      </c>
      <c r="I82" s="493"/>
      <c r="J82" s="470">
        <v>3553</v>
      </c>
      <c r="K82" s="390" t="s">
        <v>334</v>
      </c>
      <c r="L82" s="493" t="s">
        <v>1173</v>
      </c>
      <c r="M82" s="400" t="s">
        <v>326</v>
      </c>
      <c r="N82" s="468">
        <v>41</v>
      </c>
      <c r="O82" s="392">
        <v>14647</v>
      </c>
      <c r="P82" s="392">
        <v>14552</v>
      </c>
      <c r="Q82" s="389">
        <v>1</v>
      </c>
      <c r="R82" s="494">
        <f t="shared" si="17"/>
        <v>95</v>
      </c>
      <c r="S82" s="469">
        <v>0</v>
      </c>
      <c r="T82" s="393">
        <f t="shared" si="18"/>
        <v>95</v>
      </c>
      <c r="U82" s="394">
        <v>3505</v>
      </c>
      <c r="V82" s="404">
        <f t="shared" si="19"/>
        <v>332975</v>
      </c>
      <c r="W82" s="495" t="s">
        <v>1123</v>
      </c>
    </row>
    <row r="83" spans="1:23" s="135" customFormat="1" x14ac:dyDescent="0.25">
      <c r="A83" s="385">
        <v>79</v>
      </c>
      <c r="B83" s="386" t="s">
        <v>1069</v>
      </c>
      <c r="C83" s="386" t="s">
        <v>991</v>
      </c>
      <c r="D83" s="386" t="s">
        <v>1309</v>
      </c>
      <c r="E83" s="497">
        <v>38692983</v>
      </c>
      <c r="F83" s="397" t="s">
        <v>1528</v>
      </c>
      <c r="G83" s="420" t="s">
        <v>1529</v>
      </c>
      <c r="H83" s="389" t="s">
        <v>1210</v>
      </c>
      <c r="I83" s="493"/>
      <c r="J83" s="470" t="s">
        <v>223</v>
      </c>
      <c r="K83" s="390" t="s">
        <v>334</v>
      </c>
      <c r="L83" s="493" t="s">
        <v>222</v>
      </c>
      <c r="M83" s="400" t="s">
        <v>326</v>
      </c>
      <c r="N83" s="468">
        <v>41</v>
      </c>
      <c r="O83" s="392">
        <v>12325</v>
      </c>
      <c r="P83" s="392">
        <v>12221</v>
      </c>
      <c r="Q83" s="389">
        <v>1</v>
      </c>
      <c r="R83" s="494">
        <f t="shared" si="17"/>
        <v>104</v>
      </c>
      <c r="S83" s="469">
        <v>0</v>
      </c>
      <c r="T83" s="393">
        <f t="shared" si="18"/>
        <v>104</v>
      </c>
      <c r="U83" s="394">
        <v>3505</v>
      </c>
      <c r="V83" s="404">
        <f t="shared" si="19"/>
        <v>364520</v>
      </c>
      <c r="W83" s="495" t="s">
        <v>1123</v>
      </c>
    </row>
    <row r="84" spans="1:23" s="135" customFormat="1" x14ac:dyDescent="0.25">
      <c r="A84" s="385">
        <v>80</v>
      </c>
      <c r="B84" s="386" t="s">
        <v>1069</v>
      </c>
      <c r="C84" s="386" t="s">
        <v>991</v>
      </c>
      <c r="D84" s="386" t="s">
        <v>1308</v>
      </c>
      <c r="E84" s="497">
        <v>38692983</v>
      </c>
      <c r="F84" s="397" t="s">
        <v>1528</v>
      </c>
      <c r="G84" s="420" t="s">
        <v>1529</v>
      </c>
      <c r="H84" s="389" t="s">
        <v>1210</v>
      </c>
      <c r="I84" s="493"/>
      <c r="J84" s="470" t="s">
        <v>221</v>
      </c>
      <c r="K84" s="390" t="s">
        <v>334</v>
      </c>
      <c r="L84" s="493" t="s">
        <v>131</v>
      </c>
      <c r="M84" s="400" t="s">
        <v>326</v>
      </c>
      <c r="N84" s="468">
        <v>41</v>
      </c>
      <c r="O84" s="392">
        <v>16589</v>
      </c>
      <c r="P84" s="392">
        <v>16435</v>
      </c>
      <c r="Q84" s="389">
        <v>1</v>
      </c>
      <c r="R84" s="494">
        <f t="shared" si="17"/>
        <v>154</v>
      </c>
      <c r="S84" s="469">
        <v>0</v>
      </c>
      <c r="T84" s="393">
        <f t="shared" si="18"/>
        <v>154</v>
      </c>
      <c r="U84" s="394">
        <v>3505</v>
      </c>
      <c r="V84" s="404">
        <f t="shared" si="19"/>
        <v>539770</v>
      </c>
      <c r="W84" s="495" t="s">
        <v>1123</v>
      </c>
    </row>
    <row r="85" spans="1:23" s="135" customFormat="1" x14ac:dyDescent="0.25">
      <c r="A85" s="385">
        <v>81</v>
      </c>
      <c r="B85" s="386" t="s">
        <v>1090</v>
      </c>
      <c r="C85" s="386" t="s">
        <v>991</v>
      </c>
      <c r="D85" s="386" t="s">
        <v>1267</v>
      </c>
      <c r="E85" s="497">
        <v>38692983</v>
      </c>
      <c r="F85" s="397" t="s">
        <v>1528</v>
      </c>
      <c r="G85" s="420" t="s">
        <v>1529</v>
      </c>
      <c r="H85" s="389" t="s">
        <v>1210</v>
      </c>
      <c r="I85" s="493"/>
      <c r="J85" s="470" t="s">
        <v>220</v>
      </c>
      <c r="K85" s="390" t="s">
        <v>334</v>
      </c>
      <c r="L85" s="493" t="s">
        <v>131</v>
      </c>
      <c r="M85" s="400" t="s">
        <v>326</v>
      </c>
      <c r="N85" s="468">
        <v>41</v>
      </c>
      <c r="O85" s="392">
        <v>18720</v>
      </c>
      <c r="P85" s="392">
        <v>18361</v>
      </c>
      <c r="Q85" s="389">
        <v>1</v>
      </c>
      <c r="R85" s="494">
        <f t="shared" si="17"/>
        <v>359</v>
      </c>
      <c r="S85" s="469">
        <v>0</v>
      </c>
      <c r="T85" s="393">
        <f t="shared" si="18"/>
        <v>359</v>
      </c>
      <c r="U85" s="394">
        <v>3505</v>
      </c>
      <c r="V85" s="404">
        <f t="shared" si="19"/>
        <v>1258295</v>
      </c>
      <c r="W85" s="495" t="s">
        <v>1123</v>
      </c>
    </row>
    <row r="86" spans="1:23" s="135" customFormat="1" ht="31.5" hidden="1" x14ac:dyDescent="0.25">
      <c r="A86" s="549">
        <v>82</v>
      </c>
      <c r="B86" s="539" t="s">
        <v>480</v>
      </c>
      <c r="C86" s="539" t="s">
        <v>989</v>
      </c>
      <c r="D86" s="539" t="s">
        <v>191</v>
      </c>
      <c r="E86" s="394">
        <v>38680073</v>
      </c>
      <c r="F86" s="541" t="s">
        <v>190</v>
      </c>
      <c r="G86" s="542" t="s">
        <v>189</v>
      </c>
      <c r="H86" s="546" t="s">
        <v>1210</v>
      </c>
      <c r="I86" s="389"/>
      <c r="J86" s="403" t="s">
        <v>188</v>
      </c>
      <c r="K86" s="544" t="s">
        <v>314</v>
      </c>
      <c r="L86" s="389" t="s">
        <v>187</v>
      </c>
      <c r="M86" s="400" t="s">
        <v>344</v>
      </c>
      <c r="N86" s="389">
        <v>39</v>
      </c>
      <c r="O86" s="545"/>
      <c r="P86" s="545"/>
      <c r="Q86" s="546">
        <v>1</v>
      </c>
      <c r="R86" s="393">
        <f t="shared" si="17"/>
        <v>0</v>
      </c>
      <c r="S86" s="394">
        <v>0</v>
      </c>
      <c r="T86" s="563">
        <f t="shared" si="18"/>
        <v>0</v>
      </c>
      <c r="U86" s="559">
        <v>3505</v>
      </c>
      <c r="V86" s="550">
        <f t="shared" si="19"/>
        <v>0</v>
      </c>
      <c r="W86" s="39" t="s">
        <v>1123</v>
      </c>
    </row>
    <row r="87" spans="1:23" s="135" customFormat="1" ht="31.5" hidden="1" x14ac:dyDescent="0.25">
      <c r="A87" s="371">
        <v>83</v>
      </c>
      <c r="B87" s="395" t="s">
        <v>647</v>
      </c>
      <c r="C87" s="386" t="s">
        <v>989</v>
      </c>
      <c r="D87" s="395" t="s">
        <v>1070</v>
      </c>
      <c r="E87" s="396"/>
      <c r="F87" s="397" t="s">
        <v>709</v>
      </c>
      <c r="G87" s="419" t="s">
        <v>931</v>
      </c>
      <c r="H87" s="389" t="s">
        <v>1210</v>
      </c>
      <c r="I87" s="396"/>
      <c r="J87" s="399">
        <v>3085</v>
      </c>
      <c r="K87" s="390" t="s">
        <v>314</v>
      </c>
      <c r="L87" s="389" t="s">
        <v>187</v>
      </c>
      <c r="M87" s="391" t="s">
        <v>344</v>
      </c>
      <c r="N87" s="389">
        <v>39</v>
      </c>
      <c r="O87" s="392"/>
      <c r="P87" s="392"/>
      <c r="Q87" s="389">
        <v>1</v>
      </c>
      <c r="R87" s="393">
        <f t="shared" si="17"/>
        <v>0</v>
      </c>
      <c r="S87" s="394">
        <v>0</v>
      </c>
      <c r="T87" s="393">
        <f t="shared" si="18"/>
        <v>0</v>
      </c>
      <c r="U87" s="411">
        <v>3505</v>
      </c>
      <c r="V87" s="404">
        <f t="shared" si="19"/>
        <v>0</v>
      </c>
      <c r="W87" s="39" t="s">
        <v>1123</v>
      </c>
    </row>
    <row r="88" spans="1:23" s="151" customFormat="1" ht="31.5" hidden="1" x14ac:dyDescent="0.25">
      <c r="A88" s="385">
        <v>84</v>
      </c>
      <c r="B88" s="386" t="s">
        <v>1168</v>
      </c>
      <c r="C88" s="386" t="s">
        <v>991</v>
      </c>
      <c r="D88" s="386" t="s">
        <v>1268</v>
      </c>
      <c r="E88" s="394"/>
      <c r="F88" s="397" t="s">
        <v>1103</v>
      </c>
      <c r="G88" s="388" t="s">
        <v>1102</v>
      </c>
      <c r="H88" s="389" t="s">
        <v>1210</v>
      </c>
      <c r="I88" s="389"/>
      <c r="J88" s="403">
        <v>2059</v>
      </c>
      <c r="K88" s="390" t="s">
        <v>334</v>
      </c>
      <c r="L88" s="389" t="s">
        <v>192</v>
      </c>
      <c r="M88" s="400" t="s">
        <v>326</v>
      </c>
      <c r="N88" s="389">
        <v>39</v>
      </c>
      <c r="O88" s="392"/>
      <c r="P88" s="392"/>
      <c r="Q88" s="389">
        <v>1</v>
      </c>
      <c r="R88" s="393">
        <f t="shared" ref="R88:R93" si="20">(O88-P88)*Q88</f>
        <v>0</v>
      </c>
      <c r="S88" s="394">
        <v>0</v>
      </c>
      <c r="T88" s="393">
        <f t="shared" ref="T88:T93" si="21">IF((R88-S88)&gt;0,(R88-S88),0)</f>
        <v>0</v>
      </c>
      <c r="U88" s="411">
        <v>3505</v>
      </c>
      <c r="V88" s="404">
        <f t="shared" ref="V88:V93" si="22">T88*U88</f>
        <v>0</v>
      </c>
      <c r="W88" s="39" t="s">
        <v>1123</v>
      </c>
    </row>
    <row r="89" spans="1:23" s="151" customFormat="1" ht="31.5" hidden="1" x14ac:dyDescent="0.25">
      <c r="A89" s="371">
        <v>85</v>
      </c>
      <c r="B89" s="386" t="s">
        <v>1256</v>
      </c>
      <c r="C89" s="386" t="s">
        <v>991</v>
      </c>
      <c r="D89" s="386" t="s">
        <v>1257</v>
      </c>
      <c r="E89" s="401"/>
      <c r="F89" s="402" t="s">
        <v>921</v>
      </c>
      <c r="G89" s="388" t="s">
        <v>922</v>
      </c>
      <c r="H89" s="389" t="s">
        <v>1210</v>
      </c>
      <c r="I89" s="389"/>
      <c r="J89" s="403">
        <v>3834</v>
      </c>
      <c r="K89" s="390" t="s">
        <v>334</v>
      </c>
      <c r="L89" s="389" t="s">
        <v>1248</v>
      </c>
      <c r="M89" s="400" t="s">
        <v>326</v>
      </c>
      <c r="N89" s="389">
        <v>39</v>
      </c>
      <c r="O89" s="392"/>
      <c r="P89" s="392"/>
      <c r="Q89" s="389">
        <v>1</v>
      </c>
      <c r="R89" s="393">
        <f t="shared" si="20"/>
        <v>0</v>
      </c>
      <c r="S89" s="394">
        <v>0</v>
      </c>
      <c r="T89" s="393">
        <f t="shared" si="21"/>
        <v>0</v>
      </c>
      <c r="U89" s="411">
        <v>3505</v>
      </c>
      <c r="V89" s="404">
        <f t="shared" si="22"/>
        <v>0</v>
      </c>
      <c r="W89" s="39" t="s">
        <v>1123</v>
      </c>
    </row>
    <row r="90" spans="1:23" s="135" customFormat="1" x14ac:dyDescent="0.25">
      <c r="A90" s="385">
        <v>86</v>
      </c>
      <c r="B90" s="386" t="s">
        <v>1104</v>
      </c>
      <c r="C90" s="386" t="s">
        <v>991</v>
      </c>
      <c r="D90" s="386" t="s">
        <v>1333</v>
      </c>
      <c r="E90" s="496"/>
      <c r="F90" s="402" t="s">
        <v>1105</v>
      </c>
      <c r="G90" s="388" t="s">
        <v>1106</v>
      </c>
      <c r="H90" s="389" t="s">
        <v>1210</v>
      </c>
      <c r="I90" s="493"/>
      <c r="J90" s="470">
        <v>3388</v>
      </c>
      <c r="K90" s="390" t="s">
        <v>334</v>
      </c>
      <c r="L90" s="493" t="s">
        <v>131</v>
      </c>
      <c r="M90" s="400" t="s">
        <v>326</v>
      </c>
      <c r="N90" s="468">
        <v>41</v>
      </c>
      <c r="O90" s="392">
        <v>40309</v>
      </c>
      <c r="P90" s="392">
        <v>40158</v>
      </c>
      <c r="Q90" s="389">
        <v>1</v>
      </c>
      <c r="R90" s="494">
        <f t="shared" si="20"/>
        <v>151</v>
      </c>
      <c r="S90" s="469">
        <v>0</v>
      </c>
      <c r="T90" s="393">
        <f t="shared" si="21"/>
        <v>151</v>
      </c>
      <c r="U90" s="394">
        <v>3505</v>
      </c>
      <c r="V90" s="404">
        <f t="shared" si="22"/>
        <v>529255</v>
      </c>
      <c r="W90" s="495" t="s">
        <v>1123</v>
      </c>
    </row>
    <row r="91" spans="1:23" s="135" customFormat="1" ht="31.5" hidden="1" x14ac:dyDescent="0.25">
      <c r="A91" s="538">
        <v>87</v>
      </c>
      <c r="B91" s="539" t="s">
        <v>1294</v>
      </c>
      <c r="C91" s="539" t="s">
        <v>991</v>
      </c>
      <c r="D91" s="539" t="s">
        <v>1295</v>
      </c>
      <c r="E91" s="394"/>
      <c r="F91" s="541"/>
      <c r="G91" s="562"/>
      <c r="H91" s="546" t="s">
        <v>1210</v>
      </c>
      <c r="I91" s="389"/>
      <c r="J91" s="403">
        <v>2473</v>
      </c>
      <c r="K91" s="544" t="s">
        <v>314</v>
      </c>
      <c r="L91" s="389" t="s">
        <v>1273</v>
      </c>
      <c r="M91" s="400" t="s">
        <v>326</v>
      </c>
      <c r="N91" s="389">
        <v>41</v>
      </c>
      <c r="O91" s="545"/>
      <c r="P91" s="545"/>
      <c r="Q91" s="546">
        <v>1</v>
      </c>
      <c r="R91" s="393">
        <f t="shared" si="20"/>
        <v>0</v>
      </c>
      <c r="S91" s="394">
        <v>0</v>
      </c>
      <c r="T91" s="563">
        <f t="shared" si="21"/>
        <v>0</v>
      </c>
      <c r="U91" s="559">
        <v>3505</v>
      </c>
      <c r="V91" s="550">
        <f t="shared" si="22"/>
        <v>0</v>
      </c>
      <c r="W91" s="39" t="s">
        <v>1123</v>
      </c>
    </row>
    <row r="92" spans="1:23" s="135" customFormat="1" x14ac:dyDescent="0.25">
      <c r="A92" s="385">
        <v>88</v>
      </c>
      <c r="B92" s="386" t="s">
        <v>1104</v>
      </c>
      <c r="C92" s="386" t="s">
        <v>991</v>
      </c>
      <c r="D92" s="386" t="s">
        <v>1467</v>
      </c>
      <c r="E92" s="496"/>
      <c r="F92" s="402" t="s">
        <v>1105</v>
      </c>
      <c r="G92" s="388" t="s">
        <v>1106</v>
      </c>
      <c r="H92" s="389" t="s">
        <v>1210</v>
      </c>
      <c r="I92" s="493"/>
      <c r="J92" s="470">
        <v>3469</v>
      </c>
      <c r="K92" s="390" t="s">
        <v>334</v>
      </c>
      <c r="L92" s="493" t="s">
        <v>131</v>
      </c>
      <c r="M92" s="400" t="s">
        <v>326</v>
      </c>
      <c r="N92" s="468">
        <v>41</v>
      </c>
      <c r="O92" s="392">
        <v>28037</v>
      </c>
      <c r="P92" s="392">
        <v>27912</v>
      </c>
      <c r="Q92" s="389">
        <v>1</v>
      </c>
      <c r="R92" s="494">
        <f t="shared" si="20"/>
        <v>125</v>
      </c>
      <c r="S92" s="469">
        <v>0</v>
      </c>
      <c r="T92" s="393">
        <f t="shared" si="21"/>
        <v>125</v>
      </c>
      <c r="U92" s="394">
        <v>3505</v>
      </c>
      <c r="V92" s="404">
        <f t="shared" si="22"/>
        <v>438125</v>
      </c>
      <c r="W92" s="495" t="s">
        <v>1123</v>
      </c>
    </row>
    <row r="93" spans="1:23" s="151" customFormat="1" hidden="1" x14ac:dyDescent="0.25">
      <c r="A93" s="538">
        <v>89</v>
      </c>
      <c r="B93" s="539" t="s">
        <v>1378</v>
      </c>
      <c r="C93" s="539" t="s">
        <v>991</v>
      </c>
      <c r="D93" s="539" t="s">
        <v>1400</v>
      </c>
      <c r="E93" s="401"/>
      <c r="F93" s="564"/>
      <c r="G93" s="561"/>
      <c r="H93" s="546" t="s">
        <v>1210</v>
      </c>
      <c r="I93" s="389"/>
      <c r="J93" s="403">
        <v>2206</v>
      </c>
      <c r="K93" s="544" t="s">
        <v>314</v>
      </c>
      <c r="L93" s="389" t="s">
        <v>1379</v>
      </c>
      <c r="M93" s="400" t="s">
        <v>326</v>
      </c>
      <c r="N93" s="389">
        <v>43</v>
      </c>
      <c r="O93" s="545"/>
      <c r="P93" s="545"/>
      <c r="Q93" s="546">
        <v>1</v>
      </c>
      <c r="R93" s="393">
        <f t="shared" si="20"/>
        <v>0</v>
      </c>
      <c r="S93" s="394">
        <v>0</v>
      </c>
      <c r="T93" s="563">
        <f t="shared" si="21"/>
        <v>0</v>
      </c>
      <c r="U93" s="559">
        <v>3505</v>
      </c>
      <c r="V93" s="550">
        <f t="shared" si="22"/>
        <v>0</v>
      </c>
      <c r="W93" s="39" t="s">
        <v>1123</v>
      </c>
    </row>
    <row r="94" spans="1:23" s="135" customFormat="1" ht="31.5" x14ac:dyDescent="0.25">
      <c r="A94" s="385">
        <v>90</v>
      </c>
      <c r="B94" s="386" t="s">
        <v>1479</v>
      </c>
      <c r="C94" s="386" t="s">
        <v>991</v>
      </c>
      <c r="D94" s="386" t="s">
        <v>1177</v>
      </c>
      <c r="E94" s="497"/>
      <c r="F94" s="397" t="s">
        <v>1178</v>
      </c>
      <c r="G94" s="388" t="s">
        <v>1179</v>
      </c>
      <c r="H94" s="389" t="s">
        <v>1208</v>
      </c>
      <c r="I94" s="493"/>
      <c r="J94" s="470">
        <v>4896</v>
      </c>
      <c r="K94" s="390" t="s">
        <v>314</v>
      </c>
      <c r="L94" s="493" t="s">
        <v>1160</v>
      </c>
      <c r="M94" s="400" t="s">
        <v>681</v>
      </c>
      <c r="N94" s="468">
        <v>43</v>
      </c>
      <c r="O94" s="392">
        <v>2987</v>
      </c>
      <c r="P94" s="392">
        <v>2895</v>
      </c>
      <c r="Q94" s="389">
        <v>20</v>
      </c>
      <c r="R94" s="494">
        <f t="shared" si="17"/>
        <v>1840</v>
      </c>
      <c r="S94" s="469">
        <v>0</v>
      </c>
      <c r="T94" s="393">
        <f t="shared" si="18"/>
        <v>1840</v>
      </c>
      <c r="U94" s="394">
        <v>3505</v>
      </c>
      <c r="V94" s="404">
        <f t="shared" si="19"/>
        <v>6449200</v>
      </c>
      <c r="W94" s="495" t="s">
        <v>1122</v>
      </c>
    </row>
    <row r="95" spans="1:23" s="151" customFormat="1" ht="31.5" x14ac:dyDescent="0.25">
      <c r="A95" s="385">
        <v>91</v>
      </c>
      <c r="B95" s="386" t="s">
        <v>1167</v>
      </c>
      <c r="C95" s="386" t="s">
        <v>991</v>
      </c>
      <c r="D95" s="422" t="s">
        <v>1183</v>
      </c>
      <c r="E95" s="497"/>
      <c r="F95" s="397" t="s">
        <v>1180</v>
      </c>
      <c r="G95" s="420" t="s">
        <v>1181</v>
      </c>
      <c r="H95" s="389" t="s">
        <v>1210</v>
      </c>
      <c r="I95" s="493"/>
      <c r="J95" s="470">
        <v>7691</v>
      </c>
      <c r="K95" s="390" t="s">
        <v>314</v>
      </c>
      <c r="L95" s="493" t="s">
        <v>426</v>
      </c>
      <c r="M95" s="400" t="s">
        <v>326</v>
      </c>
      <c r="N95" s="468">
        <v>43</v>
      </c>
      <c r="O95" s="392">
        <v>28945</v>
      </c>
      <c r="P95" s="392">
        <v>28804</v>
      </c>
      <c r="Q95" s="389">
        <v>1</v>
      </c>
      <c r="R95" s="494">
        <f>(O95-P95)*Q95</f>
        <v>141</v>
      </c>
      <c r="S95" s="469">
        <v>0</v>
      </c>
      <c r="T95" s="393">
        <f>IF((R95-S95)&gt;0,(R95-S95),0)</f>
        <v>141</v>
      </c>
      <c r="U95" s="394">
        <v>3505</v>
      </c>
      <c r="V95" s="404">
        <f>T95*U95</f>
        <v>494205</v>
      </c>
      <c r="W95" s="495" t="s">
        <v>1123</v>
      </c>
    </row>
    <row r="96" spans="1:23" s="151" customFormat="1" ht="31.5" x14ac:dyDescent="0.25">
      <c r="A96" s="385">
        <v>92</v>
      </c>
      <c r="B96" s="386" t="s">
        <v>1167</v>
      </c>
      <c r="C96" s="386" t="s">
        <v>991</v>
      </c>
      <c r="D96" s="422" t="s">
        <v>1183</v>
      </c>
      <c r="E96" s="497"/>
      <c r="F96" s="397" t="s">
        <v>1180</v>
      </c>
      <c r="G96" s="420" t="s">
        <v>1181</v>
      </c>
      <c r="H96" s="389" t="s">
        <v>1210</v>
      </c>
      <c r="I96" s="493"/>
      <c r="J96" s="470">
        <v>7746</v>
      </c>
      <c r="K96" s="390" t="s">
        <v>314</v>
      </c>
      <c r="L96" s="493" t="s">
        <v>1120</v>
      </c>
      <c r="M96" s="400" t="s">
        <v>326</v>
      </c>
      <c r="N96" s="468">
        <v>43</v>
      </c>
      <c r="O96" s="392">
        <v>137416</v>
      </c>
      <c r="P96" s="392">
        <v>136996</v>
      </c>
      <c r="Q96" s="389">
        <v>1</v>
      </c>
      <c r="R96" s="494">
        <f t="shared" si="17"/>
        <v>420</v>
      </c>
      <c r="S96" s="469">
        <v>0</v>
      </c>
      <c r="T96" s="393">
        <f t="shared" si="18"/>
        <v>420</v>
      </c>
      <c r="U96" s="394">
        <v>3505</v>
      </c>
      <c r="V96" s="404">
        <f t="shared" si="19"/>
        <v>1472100</v>
      </c>
      <c r="W96" s="495" t="s">
        <v>1123</v>
      </c>
    </row>
    <row r="97" spans="1:23" s="135" customFormat="1" ht="31.5" hidden="1" x14ac:dyDescent="0.25">
      <c r="A97" s="538">
        <v>93</v>
      </c>
      <c r="B97" s="551" t="s">
        <v>1104</v>
      </c>
      <c r="C97" s="539" t="s">
        <v>991</v>
      </c>
      <c r="D97" s="539" t="s">
        <v>1333</v>
      </c>
      <c r="E97" s="401"/>
      <c r="F97" s="564" t="s">
        <v>1105</v>
      </c>
      <c r="G97" s="561" t="s">
        <v>1106</v>
      </c>
      <c r="H97" s="546" t="s">
        <v>1210</v>
      </c>
      <c r="I97" s="389"/>
      <c r="J97" s="403">
        <v>4231</v>
      </c>
      <c r="K97" s="544" t="s">
        <v>314</v>
      </c>
      <c r="L97" s="389" t="s">
        <v>1120</v>
      </c>
      <c r="M97" s="400" t="s">
        <v>326</v>
      </c>
      <c r="N97" s="389">
        <v>43</v>
      </c>
      <c r="O97" s="545"/>
      <c r="P97" s="545"/>
      <c r="Q97" s="546">
        <v>1</v>
      </c>
      <c r="R97" s="393">
        <f>(O97-P97)*Q97</f>
        <v>0</v>
      </c>
      <c r="S97" s="394">
        <v>0</v>
      </c>
      <c r="T97" s="563">
        <f>IF((R97-S97)&gt;0,(R97-S97),0)</f>
        <v>0</v>
      </c>
      <c r="U97" s="559">
        <v>3505</v>
      </c>
      <c r="V97" s="550">
        <f>T97*U97</f>
        <v>0</v>
      </c>
      <c r="W97" s="39" t="s">
        <v>1123</v>
      </c>
    </row>
    <row r="98" spans="1:23" s="135" customFormat="1" ht="31.5" x14ac:dyDescent="0.25">
      <c r="A98" s="385">
        <v>94</v>
      </c>
      <c r="B98" s="386" t="s">
        <v>1421</v>
      </c>
      <c r="C98" s="386" t="s">
        <v>991</v>
      </c>
      <c r="D98" s="386" t="s">
        <v>1174</v>
      </c>
      <c r="E98" s="497"/>
      <c r="F98" s="397" t="s">
        <v>1182</v>
      </c>
      <c r="G98" s="420">
        <v>966633683</v>
      </c>
      <c r="H98" s="389" t="s">
        <v>1210</v>
      </c>
      <c r="I98" s="493"/>
      <c r="J98" s="477" t="s">
        <v>1175</v>
      </c>
      <c r="K98" s="390" t="s">
        <v>314</v>
      </c>
      <c r="L98" s="493" t="s">
        <v>1176</v>
      </c>
      <c r="M98" s="400" t="s">
        <v>326</v>
      </c>
      <c r="N98" s="468">
        <v>45</v>
      </c>
      <c r="O98" s="392">
        <v>214</v>
      </c>
      <c r="P98" s="392">
        <v>190</v>
      </c>
      <c r="Q98" s="389">
        <v>100</v>
      </c>
      <c r="R98" s="494">
        <f t="shared" si="17"/>
        <v>2400</v>
      </c>
      <c r="S98" s="469">
        <v>0</v>
      </c>
      <c r="T98" s="393">
        <f t="shared" si="18"/>
        <v>2400</v>
      </c>
      <c r="U98" s="394">
        <v>3505</v>
      </c>
      <c r="V98" s="404">
        <f t="shared" si="19"/>
        <v>8412000</v>
      </c>
      <c r="W98" s="495" t="s">
        <v>1123</v>
      </c>
    </row>
    <row r="99" spans="1:23" s="151" customFormat="1" ht="31.5" x14ac:dyDescent="0.25">
      <c r="A99" s="385">
        <v>95</v>
      </c>
      <c r="B99" s="386" t="s">
        <v>918</v>
      </c>
      <c r="C99" s="386" t="s">
        <v>991</v>
      </c>
      <c r="D99" s="386" t="s">
        <v>919</v>
      </c>
      <c r="E99" s="496"/>
      <c r="F99" s="402" t="s">
        <v>921</v>
      </c>
      <c r="G99" s="388" t="s">
        <v>922</v>
      </c>
      <c r="H99" s="389" t="s">
        <v>1210</v>
      </c>
      <c r="I99" s="493"/>
      <c r="J99" s="470">
        <v>4004</v>
      </c>
      <c r="K99" s="390" t="s">
        <v>314</v>
      </c>
      <c r="L99" s="493" t="s">
        <v>1120</v>
      </c>
      <c r="M99" s="400" t="s">
        <v>326</v>
      </c>
      <c r="N99" s="468">
        <v>43</v>
      </c>
      <c r="O99" s="392">
        <v>790</v>
      </c>
      <c r="P99" s="392">
        <v>765</v>
      </c>
      <c r="Q99" s="389">
        <v>40</v>
      </c>
      <c r="R99" s="494">
        <f>(O99-P99)*Q99</f>
        <v>1000</v>
      </c>
      <c r="S99" s="469">
        <v>0</v>
      </c>
      <c r="T99" s="393">
        <f>IF((R99-S99)&gt;0,(R99-S99),0)</f>
        <v>1000</v>
      </c>
      <c r="U99" s="394">
        <v>3505</v>
      </c>
      <c r="V99" s="404">
        <f>T99*U99</f>
        <v>3505000</v>
      </c>
      <c r="W99" s="495" t="s">
        <v>1123</v>
      </c>
    </row>
    <row r="100" spans="1:23" s="135" customFormat="1" ht="31.5" x14ac:dyDescent="0.25">
      <c r="A100" s="385">
        <v>96</v>
      </c>
      <c r="B100" s="386" t="s">
        <v>1501</v>
      </c>
      <c r="C100" s="386" t="s">
        <v>990</v>
      </c>
      <c r="D100" s="386" t="s">
        <v>1502</v>
      </c>
      <c r="E100" s="515">
        <v>38683807</v>
      </c>
      <c r="F100" s="397" t="s">
        <v>1094</v>
      </c>
      <c r="G100" s="388" t="s">
        <v>1095</v>
      </c>
      <c r="H100" s="389" t="s">
        <v>332</v>
      </c>
      <c r="I100" s="507"/>
      <c r="J100" s="472">
        <v>2421</v>
      </c>
      <c r="K100" s="390"/>
      <c r="L100" s="507"/>
      <c r="M100" s="409" t="s">
        <v>332</v>
      </c>
      <c r="N100" s="475">
        <v>47</v>
      </c>
      <c r="O100" s="392">
        <v>19144</v>
      </c>
      <c r="P100" s="392">
        <v>18285</v>
      </c>
      <c r="Q100" s="389">
        <v>1</v>
      </c>
      <c r="R100" s="509">
        <f t="shared" si="17"/>
        <v>859</v>
      </c>
      <c r="S100" s="476">
        <v>0</v>
      </c>
      <c r="T100" s="394">
        <f t="shared" si="18"/>
        <v>859</v>
      </c>
      <c r="U100" s="394">
        <v>3505</v>
      </c>
      <c r="V100" s="404">
        <f t="shared" si="19"/>
        <v>3010795</v>
      </c>
      <c r="W100" s="510" t="s">
        <v>1123</v>
      </c>
    </row>
    <row r="101" spans="1:23" s="135" customFormat="1" ht="31.5" hidden="1" x14ac:dyDescent="0.25">
      <c r="A101" s="538">
        <v>97</v>
      </c>
      <c r="B101" s="540" t="s">
        <v>988</v>
      </c>
      <c r="C101" s="539" t="s">
        <v>990</v>
      </c>
      <c r="D101" s="540" t="s">
        <v>1072</v>
      </c>
      <c r="E101" s="396"/>
      <c r="F101" s="541" t="s">
        <v>1073</v>
      </c>
      <c r="G101" s="561" t="s">
        <v>1074</v>
      </c>
      <c r="H101" s="543" t="s">
        <v>1215</v>
      </c>
      <c r="I101" s="396"/>
      <c r="J101" s="399">
        <v>11478</v>
      </c>
      <c r="K101" s="544" t="s">
        <v>334</v>
      </c>
      <c r="L101" s="396" t="s">
        <v>699</v>
      </c>
      <c r="M101" s="400" t="s">
        <v>668</v>
      </c>
      <c r="N101" s="389">
        <v>51</v>
      </c>
      <c r="O101" s="565"/>
      <c r="P101" s="565"/>
      <c r="Q101" s="546">
        <v>1</v>
      </c>
      <c r="R101" s="393">
        <f t="shared" ref="R101:R107" si="23">(O101-P101)*Q101</f>
        <v>0</v>
      </c>
      <c r="S101" s="394">
        <v>0</v>
      </c>
      <c r="T101" s="547">
        <f t="shared" ref="T101:T107" si="24">IF((R101-S101)&gt;0,(R101-S101),0)</f>
        <v>0</v>
      </c>
      <c r="U101" s="559">
        <v>3505</v>
      </c>
      <c r="V101" s="550">
        <f t="shared" ref="V101:V107" si="25">T101*U101</f>
        <v>0</v>
      </c>
      <c r="W101" s="39" t="s">
        <v>1123</v>
      </c>
    </row>
    <row r="102" spans="1:23" s="135" customFormat="1" ht="31.5" x14ac:dyDescent="0.25">
      <c r="A102" s="385">
        <v>98</v>
      </c>
      <c r="B102" s="386" t="s">
        <v>1407</v>
      </c>
      <c r="C102" s="386" t="s">
        <v>990</v>
      </c>
      <c r="D102" s="386" t="s">
        <v>1408</v>
      </c>
      <c r="E102" s="497"/>
      <c r="F102" s="397" t="s">
        <v>1073</v>
      </c>
      <c r="G102" s="398" t="s">
        <v>1074</v>
      </c>
      <c r="H102" s="389" t="s">
        <v>1208</v>
      </c>
      <c r="I102" s="493"/>
      <c r="J102" s="470">
        <v>8160</v>
      </c>
      <c r="K102" s="390" t="s">
        <v>1411</v>
      </c>
      <c r="L102" s="493" t="s">
        <v>1408</v>
      </c>
      <c r="M102" s="400" t="s">
        <v>1208</v>
      </c>
      <c r="N102" s="468">
        <v>47</v>
      </c>
      <c r="O102" s="392">
        <v>1842</v>
      </c>
      <c r="P102" s="392">
        <v>1731</v>
      </c>
      <c r="Q102" s="389">
        <v>20</v>
      </c>
      <c r="R102" s="494">
        <f t="shared" si="23"/>
        <v>2220</v>
      </c>
      <c r="S102" s="469">
        <v>0</v>
      </c>
      <c r="T102" s="393">
        <f t="shared" si="24"/>
        <v>2220</v>
      </c>
      <c r="U102" s="394">
        <v>3505</v>
      </c>
      <c r="V102" s="404">
        <f t="shared" si="25"/>
        <v>7781100</v>
      </c>
      <c r="W102" s="495" t="s">
        <v>1122</v>
      </c>
    </row>
    <row r="103" spans="1:23" s="135" customFormat="1" ht="31.5" x14ac:dyDescent="0.25">
      <c r="A103" s="385">
        <v>99</v>
      </c>
      <c r="B103" s="386" t="s">
        <v>1407</v>
      </c>
      <c r="C103" s="386" t="s">
        <v>990</v>
      </c>
      <c r="D103" s="386" t="s">
        <v>1408</v>
      </c>
      <c r="E103" s="497"/>
      <c r="F103" s="397" t="s">
        <v>1073</v>
      </c>
      <c r="G103" s="398" t="s">
        <v>1074</v>
      </c>
      <c r="H103" s="389" t="s">
        <v>1208</v>
      </c>
      <c r="I103" s="493"/>
      <c r="J103" s="470">
        <v>1078</v>
      </c>
      <c r="K103" s="390" t="s">
        <v>314</v>
      </c>
      <c r="L103" s="493" t="s">
        <v>1408</v>
      </c>
      <c r="M103" s="400" t="s">
        <v>1208</v>
      </c>
      <c r="N103" s="468">
        <v>47</v>
      </c>
      <c r="O103" s="392">
        <v>33</v>
      </c>
      <c r="P103" s="392">
        <v>28</v>
      </c>
      <c r="Q103" s="389">
        <v>20</v>
      </c>
      <c r="R103" s="494">
        <f t="shared" si="23"/>
        <v>100</v>
      </c>
      <c r="S103" s="469">
        <v>0</v>
      </c>
      <c r="T103" s="393">
        <f t="shared" si="24"/>
        <v>100</v>
      </c>
      <c r="U103" s="394">
        <v>3505</v>
      </c>
      <c r="V103" s="404">
        <f t="shared" si="25"/>
        <v>350500</v>
      </c>
      <c r="W103" s="495" t="s">
        <v>1122</v>
      </c>
    </row>
    <row r="104" spans="1:23" s="135" customFormat="1" ht="31.5" x14ac:dyDescent="0.25">
      <c r="A104" s="385">
        <v>100</v>
      </c>
      <c r="B104" s="386" t="s">
        <v>1407</v>
      </c>
      <c r="C104" s="386" t="s">
        <v>990</v>
      </c>
      <c r="D104" s="386" t="s">
        <v>1409</v>
      </c>
      <c r="E104" s="497"/>
      <c r="F104" s="397" t="s">
        <v>1073</v>
      </c>
      <c r="G104" s="398" t="s">
        <v>1074</v>
      </c>
      <c r="H104" s="389" t="s">
        <v>1208</v>
      </c>
      <c r="I104" s="493"/>
      <c r="J104" s="470">
        <v>1043</v>
      </c>
      <c r="K104" s="390" t="s">
        <v>1411</v>
      </c>
      <c r="L104" s="493" t="s">
        <v>1409</v>
      </c>
      <c r="M104" s="400" t="s">
        <v>1208</v>
      </c>
      <c r="N104" s="468">
        <v>47</v>
      </c>
      <c r="O104" s="392">
        <v>1090</v>
      </c>
      <c r="P104" s="392">
        <v>1032</v>
      </c>
      <c r="Q104" s="389">
        <v>20</v>
      </c>
      <c r="R104" s="494">
        <f t="shared" si="23"/>
        <v>1160</v>
      </c>
      <c r="S104" s="469">
        <v>0</v>
      </c>
      <c r="T104" s="393">
        <f t="shared" si="24"/>
        <v>1160</v>
      </c>
      <c r="U104" s="394">
        <v>3505</v>
      </c>
      <c r="V104" s="404">
        <f t="shared" si="25"/>
        <v>4065800</v>
      </c>
      <c r="W104" s="495" t="s">
        <v>1122</v>
      </c>
    </row>
    <row r="105" spans="1:23" s="135" customFormat="1" ht="31.5" x14ac:dyDescent="0.25">
      <c r="A105" s="385">
        <v>101</v>
      </c>
      <c r="B105" s="386" t="s">
        <v>1407</v>
      </c>
      <c r="C105" s="386" t="s">
        <v>990</v>
      </c>
      <c r="D105" s="386" t="s">
        <v>1409</v>
      </c>
      <c r="E105" s="497"/>
      <c r="F105" s="397" t="s">
        <v>1073</v>
      </c>
      <c r="G105" s="398" t="s">
        <v>1074</v>
      </c>
      <c r="H105" s="389" t="s">
        <v>1208</v>
      </c>
      <c r="I105" s="493"/>
      <c r="J105" s="470">
        <v>6360</v>
      </c>
      <c r="K105" s="390" t="s">
        <v>1411</v>
      </c>
      <c r="L105" s="493" t="s">
        <v>1409</v>
      </c>
      <c r="M105" s="400" t="s">
        <v>1208</v>
      </c>
      <c r="N105" s="468">
        <v>47</v>
      </c>
      <c r="O105" s="392">
        <v>421</v>
      </c>
      <c r="P105" s="392">
        <v>373</v>
      </c>
      <c r="Q105" s="389">
        <v>20</v>
      </c>
      <c r="R105" s="494">
        <f t="shared" si="23"/>
        <v>960</v>
      </c>
      <c r="S105" s="469">
        <v>0</v>
      </c>
      <c r="T105" s="393">
        <f t="shared" si="24"/>
        <v>960</v>
      </c>
      <c r="U105" s="394">
        <v>3505</v>
      </c>
      <c r="V105" s="404">
        <f t="shared" si="25"/>
        <v>3364800</v>
      </c>
      <c r="W105" s="495" t="s">
        <v>1122</v>
      </c>
    </row>
    <row r="106" spans="1:23" s="135" customFormat="1" ht="31.5" x14ac:dyDescent="0.25">
      <c r="A106" s="385">
        <v>102</v>
      </c>
      <c r="B106" s="386" t="s">
        <v>1407</v>
      </c>
      <c r="C106" s="386" t="s">
        <v>990</v>
      </c>
      <c r="D106" s="386" t="s">
        <v>1410</v>
      </c>
      <c r="E106" s="497"/>
      <c r="F106" s="397" t="s">
        <v>1073</v>
      </c>
      <c r="G106" s="398" t="s">
        <v>1074</v>
      </c>
      <c r="H106" s="389" t="s">
        <v>1208</v>
      </c>
      <c r="I106" s="493"/>
      <c r="J106" s="470">
        <v>8047</v>
      </c>
      <c r="K106" s="390" t="s">
        <v>1411</v>
      </c>
      <c r="L106" s="493" t="s">
        <v>1410</v>
      </c>
      <c r="M106" s="400" t="s">
        <v>1208</v>
      </c>
      <c r="N106" s="468">
        <v>47</v>
      </c>
      <c r="O106" s="392">
        <v>1728</v>
      </c>
      <c r="P106" s="392">
        <v>1605</v>
      </c>
      <c r="Q106" s="389">
        <v>20</v>
      </c>
      <c r="R106" s="494">
        <f t="shared" si="23"/>
        <v>2460</v>
      </c>
      <c r="S106" s="469">
        <v>0</v>
      </c>
      <c r="T106" s="393">
        <f t="shared" si="24"/>
        <v>2460</v>
      </c>
      <c r="U106" s="394">
        <v>3505</v>
      </c>
      <c r="V106" s="404">
        <f t="shared" si="25"/>
        <v>8622300</v>
      </c>
      <c r="W106" s="495" t="s">
        <v>1122</v>
      </c>
    </row>
    <row r="107" spans="1:23" s="135" customFormat="1" ht="31.5" x14ac:dyDescent="0.25">
      <c r="A107" s="385">
        <v>103</v>
      </c>
      <c r="B107" s="386" t="s">
        <v>1407</v>
      </c>
      <c r="C107" s="386" t="s">
        <v>990</v>
      </c>
      <c r="D107" s="386" t="s">
        <v>1410</v>
      </c>
      <c r="E107" s="497"/>
      <c r="F107" s="397" t="s">
        <v>1073</v>
      </c>
      <c r="G107" s="398" t="s">
        <v>1074</v>
      </c>
      <c r="H107" s="389" t="s">
        <v>1208</v>
      </c>
      <c r="I107" s="493"/>
      <c r="J107" s="470">
        <v>6342</v>
      </c>
      <c r="K107" s="390" t="s">
        <v>1411</v>
      </c>
      <c r="L107" s="493" t="s">
        <v>1410</v>
      </c>
      <c r="M107" s="400" t="s">
        <v>1208</v>
      </c>
      <c r="N107" s="468">
        <v>47</v>
      </c>
      <c r="O107" s="392">
        <v>592</v>
      </c>
      <c r="P107" s="392">
        <v>573</v>
      </c>
      <c r="Q107" s="389">
        <v>20</v>
      </c>
      <c r="R107" s="494">
        <f t="shared" si="23"/>
        <v>380</v>
      </c>
      <c r="S107" s="469">
        <v>0</v>
      </c>
      <c r="T107" s="393">
        <f t="shared" si="24"/>
        <v>380</v>
      </c>
      <c r="U107" s="394">
        <v>3505</v>
      </c>
      <c r="V107" s="404">
        <f t="shared" si="25"/>
        <v>1331900</v>
      </c>
      <c r="W107" s="495" t="s">
        <v>1122</v>
      </c>
    </row>
    <row r="108" spans="1:23" s="135" customFormat="1" x14ac:dyDescent="0.25">
      <c r="A108" s="385">
        <v>104</v>
      </c>
      <c r="B108" s="386" t="s">
        <v>1617</v>
      </c>
      <c r="C108" s="386" t="s">
        <v>1616</v>
      </c>
      <c r="D108" s="386" t="s">
        <v>1588</v>
      </c>
      <c r="E108" s="497"/>
      <c r="F108" s="397" t="s">
        <v>1589</v>
      </c>
      <c r="G108" s="388" t="s">
        <v>1590</v>
      </c>
      <c r="H108" s="389" t="s">
        <v>1209</v>
      </c>
      <c r="I108" s="493"/>
      <c r="J108" s="470">
        <v>9143</v>
      </c>
      <c r="K108" s="390" t="s">
        <v>314</v>
      </c>
      <c r="L108" s="493" t="s">
        <v>1587</v>
      </c>
      <c r="M108" s="400"/>
      <c r="N108" s="468">
        <v>47.1</v>
      </c>
      <c r="O108" s="392">
        <v>4869</v>
      </c>
      <c r="P108" s="392">
        <v>3324</v>
      </c>
      <c r="Q108" s="389">
        <v>1</v>
      </c>
      <c r="R108" s="494">
        <f t="shared" ref="R108:R119" si="26">(O108-P108)*Q108</f>
        <v>1545</v>
      </c>
      <c r="S108" s="469">
        <v>0</v>
      </c>
      <c r="T108" s="393">
        <f t="shared" ref="T108:T119" si="27">IF((R108-S108)&gt;0,(R108-S108),0)</f>
        <v>1545</v>
      </c>
      <c r="U108" s="394">
        <v>3505</v>
      </c>
      <c r="V108" s="404">
        <f t="shared" ref="V108:V119" si="28">T108*U108</f>
        <v>5415225</v>
      </c>
      <c r="W108" s="495" t="s">
        <v>1123</v>
      </c>
    </row>
    <row r="109" spans="1:23" s="135" customFormat="1" ht="157.5" hidden="1" x14ac:dyDescent="0.25">
      <c r="A109" s="538">
        <v>105</v>
      </c>
      <c r="B109" s="539" t="s">
        <v>1603</v>
      </c>
      <c r="C109" s="539" t="s">
        <v>1327</v>
      </c>
      <c r="D109" s="539" t="s">
        <v>543</v>
      </c>
      <c r="E109" s="394" t="s">
        <v>490</v>
      </c>
      <c r="F109" s="541" t="s">
        <v>36</v>
      </c>
      <c r="G109" s="542" t="s">
        <v>490</v>
      </c>
      <c r="H109" s="546" t="s">
        <v>1215</v>
      </c>
      <c r="I109" s="389"/>
      <c r="J109" s="413" t="s">
        <v>1441</v>
      </c>
      <c r="K109" s="544" t="s">
        <v>314</v>
      </c>
      <c r="L109" s="389" t="s">
        <v>491</v>
      </c>
      <c r="M109" s="400" t="s">
        <v>668</v>
      </c>
      <c r="N109" s="389">
        <v>47.2</v>
      </c>
      <c r="O109" s="545">
        <v>180178</v>
      </c>
      <c r="P109" s="545">
        <v>180178</v>
      </c>
      <c r="Q109" s="546">
        <v>1</v>
      </c>
      <c r="R109" s="393">
        <f t="shared" si="26"/>
        <v>0</v>
      </c>
      <c r="S109" s="412">
        <v>0</v>
      </c>
      <c r="T109" s="547">
        <f t="shared" si="27"/>
        <v>0</v>
      </c>
      <c r="U109" s="559">
        <v>3505</v>
      </c>
      <c r="V109" s="550">
        <f t="shared" si="28"/>
        <v>0</v>
      </c>
      <c r="W109" s="39" t="s">
        <v>1123</v>
      </c>
    </row>
    <row r="110" spans="1:23" s="135" customFormat="1" ht="31.5" hidden="1" x14ac:dyDescent="0.25">
      <c r="A110" s="385">
        <v>106</v>
      </c>
      <c r="B110" s="386" t="s">
        <v>1016</v>
      </c>
      <c r="C110" s="386" t="s">
        <v>1327</v>
      </c>
      <c r="D110" s="386" t="s">
        <v>543</v>
      </c>
      <c r="E110" s="394">
        <v>904667684</v>
      </c>
      <c r="F110" s="397" t="s">
        <v>1017</v>
      </c>
      <c r="G110" s="398" t="s">
        <v>1018</v>
      </c>
      <c r="H110" s="389" t="s">
        <v>1215</v>
      </c>
      <c r="I110" s="389"/>
      <c r="J110" s="403">
        <v>8441</v>
      </c>
      <c r="K110" s="390" t="s">
        <v>334</v>
      </c>
      <c r="L110" s="389" t="s">
        <v>491</v>
      </c>
      <c r="M110" s="400" t="s">
        <v>668</v>
      </c>
      <c r="N110" s="389">
        <v>47.2</v>
      </c>
      <c r="O110" s="392">
        <v>7432</v>
      </c>
      <c r="P110" s="392">
        <v>7432</v>
      </c>
      <c r="Q110" s="389">
        <v>1</v>
      </c>
      <c r="R110" s="393">
        <f t="shared" si="26"/>
        <v>0</v>
      </c>
      <c r="S110" s="412">
        <f>ROUND(R110*0.8, 0)</f>
        <v>0</v>
      </c>
      <c r="T110" s="394">
        <f t="shared" si="27"/>
        <v>0</v>
      </c>
      <c r="U110" s="411">
        <v>3505</v>
      </c>
      <c r="V110" s="404">
        <f t="shared" si="28"/>
        <v>0</v>
      </c>
      <c r="W110" s="39" t="s">
        <v>1123</v>
      </c>
    </row>
    <row r="111" spans="1:23" s="135" customFormat="1" ht="31.5" x14ac:dyDescent="0.25">
      <c r="A111" s="385">
        <v>107</v>
      </c>
      <c r="B111" s="386" t="s">
        <v>1067</v>
      </c>
      <c r="C111" s="386" t="s">
        <v>1327</v>
      </c>
      <c r="D111" s="386" t="s">
        <v>1296</v>
      </c>
      <c r="E111" s="497"/>
      <c r="F111" s="397" t="s">
        <v>767</v>
      </c>
      <c r="G111" s="388" t="s">
        <v>768</v>
      </c>
      <c r="H111" s="389" t="s">
        <v>332</v>
      </c>
      <c r="I111" s="493"/>
      <c r="J111" s="470" t="s">
        <v>48</v>
      </c>
      <c r="K111" s="390" t="s">
        <v>314</v>
      </c>
      <c r="L111" s="493" t="s">
        <v>1161</v>
      </c>
      <c r="M111" s="400" t="s">
        <v>332</v>
      </c>
      <c r="N111" s="468">
        <v>47.2</v>
      </c>
      <c r="O111" s="392">
        <v>13268</v>
      </c>
      <c r="P111" s="392">
        <v>13158</v>
      </c>
      <c r="Q111" s="389">
        <v>100</v>
      </c>
      <c r="R111" s="494">
        <f t="shared" si="26"/>
        <v>11000</v>
      </c>
      <c r="S111" s="478">
        <v>0</v>
      </c>
      <c r="T111" s="394">
        <f t="shared" si="27"/>
        <v>11000</v>
      </c>
      <c r="U111" s="394">
        <v>3505</v>
      </c>
      <c r="V111" s="404">
        <f t="shared" si="28"/>
        <v>38555000</v>
      </c>
      <c r="W111" s="495" t="s">
        <v>1123</v>
      </c>
    </row>
    <row r="112" spans="1:23" s="135" customFormat="1" ht="30.75" customHeight="1" x14ac:dyDescent="0.25">
      <c r="A112" s="385">
        <v>108</v>
      </c>
      <c r="B112" s="386" t="s">
        <v>1195</v>
      </c>
      <c r="C112" s="386" t="s">
        <v>1327</v>
      </c>
      <c r="D112" s="386" t="s">
        <v>1019</v>
      </c>
      <c r="E112" s="503" t="s">
        <v>1020</v>
      </c>
      <c r="F112" s="397" t="s">
        <v>1107</v>
      </c>
      <c r="G112" s="398" t="s">
        <v>1020</v>
      </c>
      <c r="H112" s="389" t="s">
        <v>1019</v>
      </c>
      <c r="I112" s="493"/>
      <c r="J112" s="470">
        <v>5410</v>
      </c>
      <c r="K112" s="390" t="s">
        <v>334</v>
      </c>
      <c r="L112" s="493" t="s">
        <v>1021</v>
      </c>
      <c r="M112" s="400" t="s">
        <v>681</v>
      </c>
      <c r="N112" s="468">
        <v>47.3</v>
      </c>
      <c r="O112" s="392">
        <v>220307</v>
      </c>
      <c r="P112" s="392">
        <v>220268</v>
      </c>
      <c r="Q112" s="389">
        <v>1</v>
      </c>
      <c r="R112" s="494">
        <f t="shared" si="26"/>
        <v>39</v>
      </c>
      <c r="S112" s="469">
        <v>0</v>
      </c>
      <c r="T112" s="394">
        <f t="shared" si="27"/>
        <v>39</v>
      </c>
      <c r="U112" s="394">
        <v>3505</v>
      </c>
      <c r="V112" s="404">
        <f t="shared" si="28"/>
        <v>136695</v>
      </c>
      <c r="W112" s="495" t="s">
        <v>1122</v>
      </c>
    </row>
    <row r="113" spans="1:23" s="151" customFormat="1" ht="31.5" x14ac:dyDescent="0.25">
      <c r="A113" s="385">
        <v>109</v>
      </c>
      <c r="B113" s="386" t="s">
        <v>1606</v>
      </c>
      <c r="C113" s="386" t="s">
        <v>1327</v>
      </c>
      <c r="D113" s="386" t="s">
        <v>118</v>
      </c>
      <c r="E113" s="497">
        <v>38681686</v>
      </c>
      <c r="F113" s="397" t="s">
        <v>949</v>
      </c>
      <c r="G113" s="398"/>
      <c r="H113" s="389" t="s">
        <v>685</v>
      </c>
      <c r="I113" s="493"/>
      <c r="J113" s="470" t="s">
        <v>257</v>
      </c>
      <c r="K113" s="390" t="s">
        <v>334</v>
      </c>
      <c r="L113" s="493" t="s">
        <v>256</v>
      </c>
      <c r="M113" s="400" t="s">
        <v>313</v>
      </c>
      <c r="N113" s="468">
        <v>47.3</v>
      </c>
      <c r="O113" s="392">
        <v>92349</v>
      </c>
      <c r="P113" s="392">
        <v>92200</v>
      </c>
      <c r="Q113" s="389">
        <v>1</v>
      </c>
      <c r="R113" s="494">
        <f t="shared" si="26"/>
        <v>149</v>
      </c>
      <c r="S113" s="469">
        <v>0</v>
      </c>
      <c r="T113" s="394">
        <f t="shared" si="27"/>
        <v>149</v>
      </c>
      <c r="U113" s="394">
        <v>3505</v>
      </c>
      <c r="V113" s="404">
        <f t="shared" si="28"/>
        <v>522245</v>
      </c>
      <c r="W113" s="495" t="s">
        <v>1124</v>
      </c>
    </row>
    <row r="114" spans="1:23" s="135" customFormat="1" ht="31.5" x14ac:dyDescent="0.25">
      <c r="A114" s="385">
        <v>110</v>
      </c>
      <c r="B114" s="386" t="s">
        <v>1618</v>
      </c>
      <c r="C114" s="386" t="s">
        <v>1327</v>
      </c>
      <c r="D114" s="386" t="s">
        <v>141</v>
      </c>
      <c r="E114" s="497"/>
      <c r="F114" s="397" t="s">
        <v>578</v>
      </c>
      <c r="G114" s="398" t="s">
        <v>577</v>
      </c>
      <c r="H114" s="389" t="s">
        <v>685</v>
      </c>
      <c r="I114" s="493"/>
      <c r="J114" s="470" t="s">
        <v>138</v>
      </c>
      <c r="K114" s="390" t="s">
        <v>314</v>
      </c>
      <c r="L114" s="493" t="s">
        <v>1053</v>
      </c>
      <c r="M114" s="400" t="s">
        <v>313</v>
      </c>
      <c r="N114" s="468">
        <v>47.3</v>
      </c>
      <c r="O114" s="392">
        <v>29983</v>
      </c>
      <c r="P114" s="392">
        <v>29908</v>
      </c>
      <c r="Q114" s="389">
        <v>1</v>
      </c>
      <c r="R114" s="494">
        <f t="shared" si="26"/>
        <v>75</v>
      </c>
      <c r="S114" s="469">
        <v>0</v>
      </c>
      <c r="T114" s="394">
        <f t="shared" si="27"/>
        <v>75</v>
      </c>
      <c r="U114" s="394">
        <v>3505</v>
      </c>
      <c r="V114" s="404">
        <f t="shared" si="28"/>
        <v>262875</v>
      </c>
      <c r="W114" s="495" t="s">
        <v>1124</v>
      </c>
    </row>
    <row r="115" spans="1:23" s="135" customFormat="1" ht="31.5" x14ac:dyDescent="0.25">
      <c r="A115" s="385">
        <v>111</v>
      </c>
      <c r="B115" s="386" t="s">
        <v>1619</v>
      </c>
      <c r="C115" s="386" t="s">
        <v>1327</v>
      </c>
      <c r="D115" s="386" t="s">
        <v>1055</v>
      </c>
      <c r="E115" s="497"/>
      <c r="F115" s="397" t="s">
        <v>493</v>
      </c>
      <c r="G115" s="398" t="s">
        <v>117</v>
      </c>
      <c r="H115" s="389" t="s">
        <v>685</v>
      </c>
      <c r="I115" s="493"/>
      <c r="J115" s="470" t="s">
        <v>259</v>
      </c>
      <c r="K115" s="390" t="s">
        <v>314</v>
      </c>
      <c r="L115" s="493" t="s">
        <v>1054</v>
      </c>
      <c r="M115" s="400" t="s">
        <v>313</v>
      </c>
      <c r="N115" s="468">
        <v>47.3</v>
      </c>
      <c r="O115" s="392">
        <v>54787</v>
      </c>
      <c r="P115" s="392">
        <v>53397</v>
      </c>
      <c r="Q115" s="389">
        <v>1</v>
      </c>
      <c r="R115" s="494">
        <f t="shared" si="26"/>
        <v>1390</v>
      </c>
      <c r="S115" s="469">
        <v>0</v>
      </c>
      <c r="T115" s="394">
        <f t="shared" si="27"/>
        <v>1390</v>
      </c>
      <c r="U115" s="394">
        <v>2655</v>
      </c>
      <c r="V115" s="404">
        <f t="shared" si="28"/>
        <v>3690450</v>
      </c>
      <c r="W115" s="495" t="s">
        <v>1124</v>
      </c>
    </row>
    <row r="116" spans="1:23" s="135" customFormat="1" x14ac:dyDescent="0.25">
      <c r="A116" s="385">
        <v>112</v>
      </c>
      <c r="B116" s="386" t="s">
        <v>1297</v>
      </c>
      <c r="C116" s="386" t="s">
        <v>1365</v>
      </c>
      <c r="D116" s="386" t="s">
        <v>1298</v>
      </c>
      <c r="E116" s="497">
        <v>38692401</v>
      </c>
      <c r="F116" s="397" t="s">
        <v>1299</v>
      </c>
      <c r="G116" s="388"/>
      <c r="H116" s="389" t="s">
        <v>1229</v>
      </c>
      <c r="I116" s="493"/>
      <c r="J116" s="470">
        <v>8641</v>
      </c>
      <c r="K116" s="390" t="s">
        <v>314</v>
      </c>
      <c r="L116" s="493"/>
      <c r="M116" s="400" t="s">
        <v>326</v>
      </c>
      <c r="N116" s="468">
        <v>47.4</v>
      </c>
      <c r="O116" s="392">
        <v>42341</v>
      </c>
      <c r="P116" s="392">
        <v>42140</v>
      </c>
      <c r="Q116" s="389">
        <v>1</v>
      </c>
      <c r="R116" s="494">
        <f t="shared" si="26"/>
        <v>201</v>
      </c>
      <c r="S116" s="478">
        <v>0</v>
      </c>
      <c r="T116" s="394">
        <f t="shared" si="27"/>
        <v>201</v>
      </c>
      <c r="U116" s="394">
        <v>3505</v>
      </c>
      <c r="V116" s="404">
        <f t="shared" si="28"/>
        <v>704505</v>
      </c>
      <c r="W116" s="495" t="s">
        <v>1123</v>
      </c>
    </row>
    <row r="117" spans="1:23" s="135" customFormat="1" hidden="1" x14ac:dyDescent="0.25">
      <c r="A117" s="538">
        <v>113</v>
      </c>
      <c r="B117" s="539" t="s">
        <v>1297</v>
      </c>
      <c r="C117" s="539" t="s">
        <v>1365</v>
      </c>
      <c r="D117" s="539" t="s">
        <v>1298</v>
      </c>
      <c r="E117" s="394">
        <v>38692401</v>
      </c>
      <c r="F117" s="541" t="s">
        <v>1299</v>
      </c>
      <c r="G117" s="561"/>
      <c r="H117" s="546" t="s">
        <v>1229</v>
      </c>
      <c r="I117" s="389"/>
      <c r="J117" s="413" t="s">
        <v>82</v>
      </c>
      <c r="K117" s="544" t="s">
        <v>314</v>
      </c>
      <c r="L117" s="389"/>
      <c r="M117" s="400" t="s">
        <v>326</v>
      </c>
      <c r="N117" s="389">
        <v>47.4</v>
      </c>
      <c r="O117" s="545"/>
      <c r="P117" s="545"/>
      <c r="Q117" s="546">
        <v>1</v>
      </c>
      <c r="R117" s="393">
        <f t="shared" si="26"/>
        <v>0</v>
      </c>
      <c r="S117" s="412">
        <v>0</v>
      </c>
      <c r="T117" s="547">
        <f t="shared" si="27"/>
        <v>0</v>
      </c>
      <c r="U117" s="559">
        <v>3505</v>
      </c>
      <c r="V117" s="550">
        <f t="shared" si="28"/>
        <v>0</v>
      </c>
      <c r="W117" s="39" t="s">
        <v>1123</v>
      </c>
    </row>
    <row r="118" spans="1:23" s="135" customFormat="1" hidden="1" x14ac:dyDescent="0.25">
      <c r="A118" s="385">
        <v>114</v>
      </c>
      <c r="B118" s="386" t="s">
        <v>1297</v>
      </c>
      <c r="C118" s="386" t="s">
        <v>1365</v>
      </c>
      <c r="D118" s="386" t="s">
        <v>1298</v>
      </c>
      <c r="E118" s="394">
        <v>38692401</v>
      </c>
      <c r="F118" s="397" t="s">
        <v>1299</v>
      </c>
      <c r="G118" s="388"/>
      <c r="H118" s="389" t="s">
        <v>1229</v>
      </c>
      <c r="I118" s="389"/>
      <c r="J118" s="403">
        <v>8249</v>
      </c>
      <c r="K118" s="390" t="s">
        <v>314</v>
      </c>
      <c r="L118" s="389"/>
      <c r="M118" s="400" t="s">
        <v>326</v>
      </c>
      <c r="N118" s="389">
        <v>47.4</v>
      </c>
      <c r="O118" s="392"/>
      <c r="P118" s="392"/>
      <c r="Q118" s="389">
        <v>1</v>
      </c>
      <c r="R118" s="393">
        <f t="shared" si="26"/>
        <v>0</v>
      </c>
      <c r="S118" s="412">
        <v>0</v>
      </c>
      <c r="T118" s="394">
        <f t="shared" si="27"/>
        <v>0</v>
      </c>
      <c r="U118" s="411">
        <v>3505</v>
      </c>
      <c r="V118" s="404">
        <f t="shared" si="28"/>
        <v>0</v>
      </c>
      <c r="W118" s="39" t="s">
        <v>1123</v>
      </c>
    </row>
    <row r="119" spans="1:23" s="135" customFormat="1" x14ac:dyDescent="0.25">
      <c r="A119" s="385">
        <v>115</v>
      </c>
      <c r="B119" s="386" t="s">
        <v>1297</v>
      </c>
      <c r="C119" s="386" t="s">
        <v>1365</v>
      </c>
      <c r="D119" s="386" t="s">
        <v>1298</v>
      </c>
      <c r="E119" s="497">
        <v>38692401</v>
      </c>
      <c r="F119" s="397" t="s">
        <v>1299</v>
      </c>
      <c r="G119" s="388"/>
      <c r="H119" s="389" t="s">
        <v>1229</v>
      </c>
      <c r="I119" s="493"/>
      <c r="J119" s="470">
        <v>3713</v>
      </c>
      <c r="K119" s="390" t="s">
        <v>314</v>
      </c>
      <c r="L119" s="493"/>
      <c r="M119" s="400" t="s">
        <v>326</v>
      </c>
      <c r="N119" s="468">
        <v>47.4</v>
      </c>
      <c r="O119" s="392">
        <v>25542</v>
      </c>
      <c r="P119" s="392">
        <v>25417</v>
      </c>
      <c r="Q119" s="389">
        <v>1</v>
      </c>
      <c r="R119" s="494">
        <f t="shared" si="26"/>
        <v>125</v>
      </c>
      <c r="S119" s="478">
        <v>0</v>
      </c>
      <c r="T119" s="394">
        <f t="shared" si="27"/>
        <v>125</v>
      </c>
      <c r="U119" s="394">
        <v>3505</v>
      </c>
      <c r="V119" s="404">
        <f t="shared" si="28"/>
        <v>438125</v>
      </c>
      <c r="W119" s="495" t="s">
        <v>1123</v>
      </c>
    </row>
    <row r="120" spans="1:23" s="151" customFormat="1" ht="31.5" x14ac:dyDescent="0.25">
      <c r="A120" s="385">
        <v>116</v>
      </c>
      <c r="B120" s="386" t="s">
        <v>1620</v>
      </c>
      <c r="C120" s="386" t="s">
        <v>1365</v>
      </c>
      <c r="D120" s="386" t="s">
        <v>1405</v>
      </c>
      <c r="E120" s="497"/>
      <c r="F120" s="397" t="s">
        <v>1096</v>
      </c>
      <c r="G120" s="388" t="s">
        <v>1097</v>
      </c>
      <c r="H120" s="389" t="s">
        <v>1207</v>
      </c>
      <c r="I120" s="493"/>
      <c r="J120" s="470">
        <v>6061</v>
      </c>
      <c r="K120" s="390"/>
      <c r="L120" s="493" t="s">
        <v>1188</v>
      </c>
      <c r="M120" s="400" t="s">
        <v>680</v>
      </c>
      <c r="N120" s="468">
        <v>66</v>
      </c>
      <c r="O120" s="392">
        <v>136214</v>
      </c>
      <c r="P120" s="392">
        <v>133755</v>
      </c>
      <c r="Q120" s="389">
        <v>1</v>
      </c>
      <c r="R120" s="494">
        <f t="shared" ref="R120:R137" si="29">(O120-P120)*Q120</f>
        <v>2459</v>
      </c>
      <c r="S120" s="469">
        <v>0</v>
      </c>
      <c r="T120" s="394">
        <f t="shared" ref="T120:T137" si="30">IF((R120-S120)&gt;0,(R120-S120),0)</f>
        <v>2459</v>
      </c>
      <c r="U120" s="394">
        <v>3505</v>
      </c>
      <c r="V120" s="404">
        <f t="shared" ref="V120:V137" si="31">T120*U120</f>
        <v>8618795</v>
      </c>
      <c r="W120" s="495" t="s">
        <v>1123</v>
      </c>
    </row>
    <row r="121" spans="1:23" s="135" customFormat="1" hidden="1" x14ac:dyDescent="0.25">
      <c r="A121" s="538">
        <v>117</v>
      </c>
      <c r="B121" s="539" t="s">
        <v>1022</v>
      </c>
      <c r="C121" s="539" t="s">
        <v>1365</v>
      </c>
      <c r="D121" s="539" t="s">
        <v>1376</v>
      </c>
      <c r="E121" s="394"/>
      <c r="F121" s="541" t="s">
        <v>1094</v>
      </c>
      <c r="G121" s="561" t="s">
        <v>1101</v>
      </c>
      <c r="H121" s="546" t="s">
        <v>1210</v>
      </c>
      <c r="I121" s="389"/>
      <c r="J121" s="403">
        <v>2363</v>
      </c>
      <c r="K121" s="544" t="s">
        <v>334</v>
      </c>
      <c r="L121" s="389" t="s">
        <v>218</v>
      </c>
      <c r="M121" s="400" t="s">
        <v>326</v>
      </c>
      <c r="N121" s="389">
        <v>66</v>
      </c>
      <c r="O121" s="545"/>
      <c r="P121" s="545"/>
      <c r="Q121" s="546">
        <v>1</v>
      </c>
      <c r="R121" s="393">
        <f t="shared" si="29"/>
        <v>0</v>
      </c>
      <c r="S121" s="394">
        <v>0</v>
      </c>
      <c r="T121" s="547">
        <f t="shared" si="30"/>
        <v>0</v>
      </c>
      <c r="U121" s="559">
        <v>3505</v>
      </c>
      <c r="V121" s="550">
        <f t="shared" si="31"/>
        <v>0</v>
      </c>
      <c r="W121" s="39" t="s">
        <v>1123</v>
      </c>
    </row>
    <row r="122" spans="1:23" s="135" customFormat="1" ht="47.25" hidden="1" x14ac:dyDescent="0.25">
      <c r="A122" s="385">
        <v>118</v>
      </c>
      <c r="B122" s="386" t="s">
        <v>1022</v>
      </c>
      <c r="C122" s="386" t="s">
        <v>1365</v>
      </c>
      <c r="D122" s="386" t="s">
        <v>1376</v>
      </c>
      <c r="E122" s="394"/>
      <c r="F122" s="397" t="s">
        <v>1094</v>
      </c>
      <c r="G122" s="388" t="s">
        <v>1101</v>
      </c>
      <c r="H122" s="389" t="s">
        <v>1210</v>
      </c>
      <c r="I122" s="389"/>
      <c r="J122" s="403">
        <v>2053</v>
      </c>
      <c r="K122" s="390" t="s">
        <v>314</v>
      </c>
      <c r="L122" s="389" t="s">
        <v>1464</v>
      </c>
      <c r="M122" s="400" t="s">
        <v>326</v>
      </c>
      <c r="N122" s="389">
        <v>66</v>
      </c>
      <c r="O122" s="392">
        <v>45089</v>
      </c>
      <c r="P122" s="392">
        <v>45089</v>
      </c>
      <c r="Q122" s="389">
        <v>1</v>
      </c>
      <c r="R122" s="393">
        <f t="shared" si="29"/>
        <v>0</v>
      </c>
      <c r="S122" s="394">
        <v>0</v>
      </c>
      <c r="T122" s="394">
        <f t="shared" si="30"/>
        <v>0</v>
      </c>
      <c r="U122" s="411">
        <v>3505</v>
      </c>
      <c r="V122" s="404">
        <f t="shared" si="31"/>
        <v>0</v>
      </c>
      <c r="W122" s="39" t="s">
        <v>1123</v>
      </c>
    </row>
    <row r="123" spans="1:23" s="135" customFormat="1" ht="35.25" customHeight="1" x14ac:dyDescent="0.25">
      <c r="A123" s="385">
        <v>119</v>
      </c>
      <c r="B123" s="386" t="s">
        <v>1075</v>
      </c>
      <c r="C123" s="386" t="s">
        <v>1365</v>
      </c>
      <c r="D123" s="386" t="s">
        <v>992</v>
      </c>
      <c r="E123" s="497" t="s">
        <v>955</v>
      </c>
      <c r="F123" s="397" t="s">
        <v>954</v>
      </c>
      <c r="G123" s="388" t="s">
        <v>993</v>
      </c>
      <c r="H123" s="389" t="s">
        <v>1226</v>
      </c>
      <c r="I123" s="493"/>
      <c r="J123" s="470" t="s">
        <v>321</v>
      </c>
      <c r="K123" s="390" t="s">
        <v>314</v>
      </c>
      <c r="L123" s="493" t="s">
        <v>316</v>
      </c>
      <c r="M123" s="400" t="s">
        <v>315</v>
      </c>
      <c r="N123" s="468">
        <v>63</v>
      </c>
      <c r="O123" s="392">
        <v>20179</v>
      </c>
      <c r="P123" s="392">
        <v>20108</v>
      </c>
      <c r="Q123" s="389">
        <v>120</v>
      </c>
      <c r="R123" s="494">
        <f t="shared" si="29"/>
        <v>8520</v>
      </c>
      <c r="S123" s="469">
        <f>ROUND(R123/2,0)</f>
        <v>4260</v>
      </c>
      <c r="T123" s="423">
        <f t="shared" si="30"/>
        <v>4260</v>
      </c>
      <c r="U123" s="394">
        <v>3505</v>
      </c>
      <c r="V123" s="404">
        <f t="shared" si="31"/>
        <v>14931300</v>
      </c>
      <c r="W123" s="495" t="s">
        <v>1124</v>
      </c>
    </row>
    <row r="124" spans="1:23" s="135" customFormat="1" x14ac:dyDescent="0.25">
      <c r="A124" s="385">
        <v>120</v>
      </c>
      <c r="B124" s="386" t="s">
        <v>1425</v>
      </c>
      <c r="C124" s="386" t="s">
        <v>1365</v>
      </c>
      <c r="D124" s="386" t="s">
        <v>428</v>
      </c>
      <c r="E124" s="497"/>
      <c r="F124" s="397" t="s">
        <v>1077</v>
      </c>
      <c r="G124" s="388" t="s">
        <v>1076</v>
      </c>
      <c r="H124" s="389" t="s">
        <v>681</v>
      </c>
      <c r="I124" s="493"/>
      <c r="J124" s="470">
        <v>1534</v>
      </c>
      <c r="K124" s="390" t="s">
        <v>314</v>
      </c>
      <c r="L124" s="493" t="s">
        <v>137</v>
      </c>
      <c r="M124" s="400" t="s">
        <v>681</v>
      </c>
      <c r="N124" s="468">
        <v>48</v>
      </c>
      <c r="O124" s="392">
        <v>759446</v>
      </c>
      <c r="P124" s="392">
        <v>756784</v>
      </c>
      <c r="Q124" s="389">
        <v>1</v>
      </c>
      <c r="R124" s="494">
        <f t="shared" si="29"/>
        <v>2662</v>
      </c>
      <c r="S124" s="469">
        <f>ROUNDDOWN(R124/2, 0)</f>
        <v>1331</v>
      </c>
      <c r="T124" s="423">
        <f t="shared" si="30"/>
        <v>1331</v>
      </c>
      <c r="U124" s="394">
        <v>3505</v>
      </c>
      <c r="V124" s="404">
        <f t="shared" si="31"/>
        <v>4665155</v>
      </c>
      <c r="W124" s="495" t="s">
        <v>1125</v>
      </c>
    </row>
    <row r="125" spans="1:23" s="135" customFormat="1" x14ac:dyDescent="0.25">
      <c r="A125" s="385">
        <v>121</v>
      </c>
      <c r="B125" s="386" t="s">
        <v>1425</v>
      </c>
      <c r="C125" s="386" t="s">
        <v>1365</v>
      </c>
      <c r="D125" s="386" t="s">
        <v>428</v>
      </c>
      <c r="E125" s="497"/>
      <c r="F125" s="397" t="s">
        <v>1077</v>
      </c>
      <c r="G125" s="388" t="s">
        <v>1076</v>
      </c>
      <c r="H125" s="389" t="s">
        <v>681</v>
      </c>
      <c r="I125" s="493"/>
      <c r="J125" s="470">
        <v>5217</v>
      </c>
      <c r="K125" s="390" t="s">
        <v>314</v>
      </c>
      <c r="L125" s="493" t="s">
        <v>137</v>
      </c>
      <c r="M125" s="400" t="s">
        <v>681</v>
      </c>
      <c r="N125" s="468">
        <v>48</v>
      </c>
      <c r="O125" s="392">
        <v>18173</v>
      </c>
      <c r="P125" s="392">
        <v>17326</v>
      </c>
      <c r="Q125" s="389">
        <v>1</v>
      </c>
      <c r="R125" s="494">
        <f t="shared" si="29"/>
        <v>847</v>
      </c>
      <c r="S125" s="469">
        <f>ROUNDDOWN(R125/2, 0)</f>
        <v>423</v>
      </c>
      <c r="T125" s="423">
        <f t="shared" si="30"/>
        <v>424</v>
      </c>
      <c r="U125" s="394">
        <v>3505</v>
      </c>
      <c r="V125" s="404">
        <f t="shared" si="31"/>
        <v>1486120</v>
      </c>
      <c r="W125" s="495" t="s">
        <v>1125</v>
      </c>
    </row>
    <row r="126" spans="1:23" s="135" customFormat="1" x14ac:dyDescent="0.25">
      <c r="A126" s="385">
        <v>122</v>
      </c>
      <c r="B126" s="386" t="s">
        <v>1516</v>
      </c>
      <c r="C126" s="386" t="s">
        <v>1365</v>
      </c>
      <c r="D126" s="386" t="s">
        <v>1196</v>
      </c>
      <c r="E126" s="515">
        <v>36230435</v>
      </c>
      <c r="F126" s="397" t="s">
        <v>1001</v>
      </c>
      <c r="G126" s="388" t="s">
        <v>1002</v>
      </c>
      <c r="H126" s="389" t="s">
        <v>332</v>
      </c>
      <c r="I126" s="507"/>
      <c r="J126" s="472" t="s">
        <v>1149</v>
      </c>
      <c r="K126" s="390" t="s">
        <v>334</v>
      </c>
      <c r="L126" s="507" t="s">
        <v>289</v>
      </c>
      <c r="M126" s="409" t="s">
        <v>332</v>
      </c>
      <c r="N126" s="475">
        <v>48</v>
      </c>
      <c r="O126" s="392">
        <v>4063</v>
      </c>
      <c r="P126" s="392">
        <v>0</v>
      </c>
      <c r="Q126" s="389">
        <v>1</v>
      </c>
      <c r="R126" s="509">
        <f>(O126-P126)*Q126</f>
        <v>4063</v>
      </c>
      <c r="S126" s="476">
        <v>0</v>
      </c>
      <c r="T126" s="423">
        <f>IF((R126-S126)&gt;0,(R126-S126),0)</f>
        <v>4063</v>
      </c>
      <c r="U126" s="394">
        <v>3505</v>
      </c>
      <c r="V126" s="404">
        <f>T126*U126</f>
        <v>14240815</v>
      </c>
      <c r="W126" s="510" t="s">
        <v>1123</v>
      </c>
    </row>
    <row r="127" spans="1:23" s="135" customFormat="1" x14ac:dyDescent="0.25">
      <c r="A127" s="385">
        <v>123</v>
      </c>
      <c r="B127" s="386" t="s">
        <v>1371</v>
      </c>
      <c r="C127" s="386" t="s">
        <v>1365</v>
      </c>
      <c r="D127" s="386" t="s">
        <v>1372</v>
      </c>
      <c r="E127" s="497"/>
      <c r="F127" s="397" t="s">
        <v>1373</v>
      </c>
      <c r="G127" s="388" t="s">
        <v>1374</v>
      </c>
      <c r="H127" s="389" t="s">
        <v>1208</v>
      </c>
      <c r="I127" s="493"/>
      <c r="J127" s="470">
        <v>7832</v>
      </c>
      <c r="K127" s="390" t="s">
        <v>314</v>
      </c>
      <c r="L127" s="493" t="s">
        <v>1375</v>
      </c>
      <c r="M127" s="400" t="s">
        <v>1208</v>
      </c>
      <c r="N127" s="468">
        <v>48</v>
      </c>
      <c r="O127" s="392">
        <v>5919</v>
      </c>
      <c r="P127" s="392">
        <v>5477</v>
      </c>
      <c r="Q127" s="389">
        <v>1</v>
      </c>
      <c r="R127" s="494">
        <f t="shared" si="29"/>
        <v>442</v>
      </c>
      <c r="S127" s="469">
        <v>0</v>
      </c>
      <c r="T127" s="423">
        <f t="shared" si="30"/>
        <v>442</v>
      </c>
      <c r="U127" s="394">
        <v>3505</v>
      </c>
      <c r="V127" s="404">
        <f t="shared" si="31"/>
        <v>1549210</v>
      </c>
      <c r="W127" s="495" t="s">
        <v>1122</v>
      </c>
    </row>
    <row r="128" spans="1:23" s="135" customFormat="1" ht="31.5" x14ac:dyDescent="0.25">
      <c r="A128" s="385">
        <v>124</v>
      </c>
      <c r="B128" s="386" t="s">
        <v>981</v>
      </c>
      <c r="C128" s="386" t="s">
        <v>1466</v>
      </c>
      <c r="D128" s="386" t="s">
        <v>243</v>
      </c>
      <c r="E128" s="497"/>
      <c r="F128" s="424" t="s">
        <v>873</v>
      </c>
      <c r="G128" s="425" t="s">
        <v>874</v>
      </c>
      <c r="H128" s="389" t="s">
        <v>243</v>
      </c>
      <c r="I128" s="493"/>
      <c r="J128" s="470">
        <v>7971</v>
      </c>
      <c r="K128" s="390" t="s">
        <v>314</v>
      </c>
      <c r="L128" s="493" t="s">
        <v>313</v>
      </c>
      <c r="M128" s="400" t="s">
        <v>313</v>
      </c>
      <c r="N128" s="468">
        <v>48</v>
      </c>
      <c r="O128" s="392">
        <v>6914</v>
      </c>
      <c r="P128" s="392">
        <v>6798</v>
      </c>
      <c r="Q128" s="389">
        <v>50</v>
      </c>
      <c r="R128" s="494">
        <f t="shared" si="29"/>
        <v>5800</v>
      </c>
      <c r="S128" s="469">
        <v>0</v>
      </c>
      <c r="T128" s="394">
        <f t="shared" si="30"/>
        <v>5800</v>
      </c>
      <c r="U128" s="394">
        <v>3505</v>
      </c>
      <c r="V128" s="404">
        <f t="shared" si="31"/>
        <v>20329000</v>
      </c>
      <c r="W128" s="495" t="s">
        <v>1124</v>
      </c>
    </row>
    <row r="129" spans="1:23" s="135" customFormat="1" ht="31.5" x14ac:dyDescent="0.25">
      <c r="A129" s="385">
        <v>125</v>
      </c>
      <c r="B129" s="386" t="s">
        <v>983</v>
      </c>
      <c r="C129" s="386" t="s">
        <v>1466</v>
      </c>
      <c r="D129" s="386" t="s">
        <v>68</v>
      </c>
      <c r="E129" s="497">
        <v>36231722</v>
      </c>
      <c r="F129" s="424" t="s">
        <v>873</v>
      </c>
      <c r="G129" s="425" t="s">
        <v>874</v>
      </c>
      <c r="H129" s="389" t="s">
        <v>681</v>
      </c>
      <c r="I129" s="493"/>
      <c r="J129" s="470">
        <v>3543</v>
      </c>
      <c r="K129" s="390" t="s">
        <v>334</v>
      </c>
      <c r="L129" s="493" t="s">
        <v>67</v>
      </c>
      <c r="M129" s="400" t="s">
        <v>681</v>
      </c>
      <c r="N129" s="468">
        <v>48</v>
      </c>
      <c r="O129" s="392">
        <v>113924</v>
      </c>
      <c r="P129" s="392">
        <v>113392</v>
      </c>
      <c r="Q129" s="389">
        <v>1</v>
      </c>
      <c r="R129" s="494">
        <f t="shared" si="29"/>
        <v>532</v>
      </c>
      <c r="S129" s="469">
        <v>0</v>
      </c>
      <c r="T129" s="394">
        <f t="shared" si="30"/>
        <v>532</v>
      </c>
      <c r="U129" s="394">
        <v>3505</v>
      </c>
      <c r="V129" s="404">
        <f t="shared" si="31"/>
        <v>1864660</v>
      </c>
      <c r="W129" s="495" t="s">
        <v>1125</v>
      </c>
    </row>
    <row r="130" spans="1:23" s="135" customFormat="1" ht="31.5" x14ac:dyDescent="0.25">
      <c r="A130" s="385">
        <v>126</v>
      </c>
      <c r="B130" s="386" t="s">
        <v>982</v>
      </c>
      <c r="C130" s="386" t="s">
        <v>1466</v>
      </c>
      <c r="D130" s="386" t="s">
        <v>984</v>
      </c>
      <c r="E130" s="497">
        <v>38682179</v>
      </c>
      <c r="F130" s="424" t="s">
        <v>873</v>
      </c>
      <c r="G130" s="425" t="s">
        <v>874</v>
      </c>
      <c r="H130" s="389" t="s">
        <v>984</v>
      </c>
      <c r="I130" s="493"/>
      <c r="J130" s="470">
        <v>9514</v>
      </c>
      <c r="K130" s="390" t="s">
        <v>314</v>
      </c>
      <c r="L130" s="493" t="s">
        <v>233</v>
      </c>
      <c r="M130" s="400" t="s">
        <v>227</v>
      </c>
      <c r="N130" s="468">
        <v>48</v>
      </c>
      <c r="O130" s="392">
        <v>169025</v>
      </c>
      <c r="P130" s="392">
        <v>160991</v>
      </c>
      <c r="Q130" s="389">
        <v>1</v>
      </c>
      <c r="R130" s="494">
        <f t="shared" si="29"/>
        <v>8034</v>
      </c>
      <c r="S130" s="469">
        <v>0</v>
      </c>
      <c r="T130" s="394">
        <f t="shared" si="30"/>
        <v>8034</v>
      </c>
      <c r="U130" s="394">
        <v>3505</v>
      </c>
      <c r="V130" s="404">
        <f t="shared" si="31"/>
        <v>28159170</v>
      </c>
      <c r="W130" s="495" t="s">
        <v>1122</v>
      </c>
    </row>
    <row r="131" spans="1:23" s="135" customFormat="1" ht="31.5" x14ac:dyDescent="0.25">
      <c r="A131" s="385">
        <v>127</v>
      </c>
      <c r="B131" s="386" t="s">
        <v>1475</v>
      </c>
      <c r="C131" s="386" t="s">
        <v>1466</v>
      </c>
      <c r="D131" s="386" t="s">
        <v>1134</v>
      </c>
      <c r="E131" s="497">
        <v>36231722</v>
      </c>
      <c r="F131" s="424" t="s">
        <v>873</v>
      </c>
      <c r="G131" s="425" t="s">
        <v>874</v>
      </c>
      <c r="H131" s="389" t="s">
        <v>910</v>
      </c>
      <c r="I131" s="493"/>
      <c r="J131" s="470">
        <v>1615</v>
      </c>
      <c r="K131" s="390" t="s">
        <v>334</v>
      </c>
      <c r="L131" s="493" t="s">
        <v>1135</v>
      </c>
      <c r="M131" s="400" t="s">
        <v>681</v>
      </c>
      <c r="N131" s="468">
        <v>48</v>
      </c>
      <c r="O131" s="392">
        <v>8142</v>
      </c>
      <c r="P131" s="392">
        <v>7522</v>
      </c>
      <c r="Q131" s="389">
        <v>1</v>
      </c>
      <c r="R131" s="494">
        <f t="shared" si="29"/>
        <v>620</v>
      </c>
      <c r="S131" s="469">
        <v>0</v>
      </c>
      <c r="T131" s="394">
        <f t="shared" si="30"/>
        <v>620</v>
      </c>
      <c r="U131" s="394">
        <v>3505</v>
      </c>
      <c r="V131" s="404">
        <f t="shared" si="31"/>
        <v>2173100</v>
      </c>
      <c r="W131" s="495" t="s">
        <v>1122</v>
      </c>
    </row>
    <row r="132" spans="1:23" s="135" customFormat="1" ht="31.5" x14ac:dyDescent="0.25">
      <c r="A132" s="385">
        <v>128</v>
      </c>
      <c r="B132" s="386" t="s">
        <v>1201</v>
      </c>
      <c r="C132" s="386" t="s">
        <v>1466</v>
      </c>
      <c r="D132" s="386" t="s">
        <v>1134</v>
      </c>
      <c r="E132" s="497">
        <v>36231722</v>
      </c>
      <c r="F132" s="424" t="s">
        <v>873</v>
      </c>
      <c r="G132" s="425" t="s">
        <v>874</v>
      </c>
      <c r="H132" s="389" t="s">
        <v>910</v>
      </c>
      <c r="I132" s="493"/>
      <c r="J132" s="470">
        <v>8240</v>
      </c>
      <c r="K132" s="390" t="s">
        <v>334</v>
      </c>
      <c r="L132" s="493" t="s">
        <v>145</v>
      </c>
      <c r="M132" s="400" t="s">
        <v>681</v>
      </c>
      <c r="N132" s="468">
        <v>48</v>
      </c>
      <c r="O132" s="392">
        <v>10326</v>
      </c>
      <c r="P132" s="392">
        <v>10130</v>
      </c>
      <c r="Q132" s="389">
        <v>1</v>
      </c>
      <c r="R132" s="494">
        <f t="shared" si="29"/>
        <v>196</v>
      </c>
      <c r="S132" s="469">
        <v>0</v>
      </c>
      <c r="T132" s="394">
        <f t="shared" si="30"/>
        <v>196</v>
      </c>
      <c r="U132" s="394">
        <v>3505</v>
      </c>
      <c r="V132" s="404">
        <f t="shared" si="31"/>
        <v>686980</v>
      </c>
      <c r="W132" s="495" t="s">
        <v>1122</v>
      </c>
    </row>
    <row r="133" spans="1:23" s="135" customFormat="1" ht="31.5" hidden="1" x14ac:dyDescent="0.25">
      <c r="A133" s="538">
        <v>129</v>
      </c>
      <c r="B133" s="539" t="s">
        <v>1576</v>
      </c>
      <c r="C133" s="539" t="s">
        <v>661</v>
      </c>
      <c r="D133" s="539" t="s">
        <v>1575</v>
      </c>
      <c r="E133" s="394">
        <v>38683518</v>
      </c>
      <c r="F133" s="541" t="s">
        <v>579</v>
      </c>
      <c r="G133" s="542" t="s">
        <v>965</v>
      </c>
      <c r="H133" s="566" t="s">
        <v>443</v>
      </c>
      <c r="I133" s="389"/>
      <c r="J133" s="403"/>
      <c r="K133" s="544" t="s">
        <v>314</v>
      </c>
      <c r="L133" s="389" t="s">
        <v>1577</v>
      </c>
      <c r="M133" s="400" t="s">
        <v>315</v>
      </c>
      <c r="N133" s="389">
        <v>50</v>
      </c>
      <c r="O133" s="545"/>
      <c r="P133" s="545"/>
      <c r="Q133" s="546"/>
      <c r="R133" s="393">
        <f t="shared" si="29"/>
        <v>0</v>
      </c>
      <c r="S133" s="394">
        <v>0</v>
      </c>
      <c r="T133" s="547">
        <f t="shared" si="30"/>
        <v>0</v>
      </c>
      <c r="U133" s="559">
        <v>3505</v>
      </c>
      <c r="V133" s="550">
        <f t="shared" si="31"/>
        <v>0</v>
      </c>
      <c r="W133" s="39" t="s">
        <v>1124</v>
      </c>
    </row>
    <row r="134" spans="1:23" s="135" customFormat="1" ht="31.5" x14ac:dyDescent="0.25">
      <c r="A134" s="385">
        <v>130</v>
      </c>
      <c r="B134" s="386" t="s">
        <v>1137</v>
      </c>
      <c r="C134" s="386" t="s">
        <v>661</v>
      </c>
      <c r="D134" s="386" t="s">
        <v>1249</v>
      </c>
      <c r="E134" s="497">
        <v>38683518</v>
      </c>
      <c r="F134" s="397" t="s">
        <v>579</v>
      </c>
      <c r="G134" s="398" t="s">
        <v>965</v>
      </c>
      <c r="H134" s="426" t="s">
        <v>1232</v>
      </c>
      <c r="I134" s="493"/>
      <c r="J134" s="470">
        <v>6085</v>
      </c>
      <c r="K134" s="390" t="s">
        <v>314</v>
      </c>
      <c r="L134" s="493" t="s">
        <v>1189</v>
      </c>
      <c r="M134" s="400" t="s">
        <v>315</v>
      </c>
      <c r="N134" s="468">
        <v>64</v>
      </c>
      <c r="O134" s="392">
        <v>33244</v>
      </c>
      <c r="P134" s="392">
        <v>30901</v>
      </c>
      <c r="Q134" s="389">
        <v>1</v>
      </c>
      <c r="R134" s="494">
        <f t="shared" si="29"/>
        <v>2343</v>
      </c>
      <c r="S134" s="469">
        <v>0</v>
      </c>
      <c r="T134" s="394">
        <f t="shared" si="30"/>
        <v>2343</v>
      </c>
      <c r="U134" s="394">
        <v>3505</v>
      </c>
      <c r="V134" s="404">
        <f t="shared" si="31"/>
        <v>8212215</v>
      </c>
      <c r="W134" s="495" t="s">
        <v>1124</v>
      </c>
    </row>
    <row r="135" spans="1:23" s="135" customFormat="1" ht="31.5" x14ac:dyDescent="0.25">
      <c r="A135" s="385">
        <v>131</v>
      </c>
      <c r="B135" s="386" t="s">
        <v>996</v>
      </c>
      <c r="C135" s="386" t="s">
        <v>661</v>
      </c>
      <c r="D135" s="386" t="s">
        <v>1250</v>
      </c>
      <c r="E135" s="497">
        <v>38683518</v>
      </c>
      <c r="F135" s="397" t="s">
        <v>579</v>
      </c>
      <c r="G135" s="398" t="s">
        <v>965</v>
      </c>
      <c r="H135" s="426" t="s">
        <v>1232</v>
      </c>
      <c r="I135" s="493"/>
      <c r="J135" s="470">
        <v>4248</v>
      </c>
      <c r="K135" s="390" t="s">
        <v>314</v>
      </c>
      <c r="L135" s="493" t="s">
        <v>1190</v>
      </c>
      <c r="M135" s="400" t="s">
        <v>315</v>
      </c>
      <c r="N135" s="468">
        <v>64</v>
      </c>
      <c r="O135" s="392">
        <v>130926</v>
      </c>
      <c r="P135" s="392">
        <v>128078</v>
      </c>
      <c r="Q135" s="389">
        <v>1</v>
      </c>
      <c r="R135" s="494">
        <f t="shared" si="29"/>
        <v>2848</v>
      </c>
      <c r="S135" s="469">
        <v>0</v>
      </c>
      <c r="T135" s="394">
        <f t="shared" si="30"/>
        <v>2848</v>
      </c>
      <c r="U135" s="394">
        <v>3505</v>
      </c>
      <c r="V135" s="404">
        <f t="shared" si="31"/>
        <v>9982240</v>
      </c>
      <c r="W135" s="495" t="s">
        <v>1124</v>
      </c>
    </row>
    <row r="136" spans="1:23" s="135" customFormat="1" ht="47.25" hidden="1" x14ac:dyDescent="0.25">
      <c r="A136" s="549">
        <v>132</v>
      </c>
      <c r="B136" s="539" t="s">
        <v>1252</v>
      </c>
      <c r="C136" s="539" t="s">
        <v>661</v>
      </c>
      <c r="D136" s="539" t="s">
        <v>1334</v>
      </c>
      <c r="E136" s="394">
        <v>38683518</v>
      </c>
      <c r="F136" s="541" t="s">
        <v>579</v>
      </c>
      <c r="G136" s="542" t="s">
        <v>965</v>
      </c>
      <c r="H136" s="566" t="s">
        <v>1281</v>
      </c>
      <c r="I136" s="389"/>
      <c r="J136" s="403">
        <v>10462</v>
      </c>
      <c r="K136" s="544" t="s">
        <v>314</v>
      </c>
      <c r="L136" s="389" t="s">
        <v>1253</v>
      </c>
      <c r="M136" s="400" t="s">
        <v>668</v>
      </c>
      <c r="N136" s="389">
        <v>50</v>
      </c>
      <c r="O136" s="545"/>
      <c r="P136" s="545"/>
      <c r="Q136" s="546">
        <v>1</v>
      </c>
      <c r="R136" s="393">
        <f t="shared" si="29"/>
        <v>0</v>
      </c>
      <c r="S136" s="394">
        <v>0</v>
      </c>
      <c r="T136" s="547">
        <f t="shared" si="30"/>
        <v>0</v>
      </c>
      <c r="U136" s="559">
        <v>3505</v>
      </c>
      <c r="V136" s="550">
        <f t="shared" si="31"/>
        <v>0</v>
      </c>
      <c r="W136" s="39" t="s">
        <v>1123</v>
      </c>
    </row>
    <row r="137" spans="1:23" s="151" customFormat="1" ht="31.5" x14ac:dyDescent="0.25">
      <c r="A137" s="385">
        <v>133</v>
      </c>
      <c r="B137" s="386" t="s">
        <v>1241</v>
      </c>
      <c r="C137" s="386" t="s">
        <v>1327</v>
      </c>
      <c r="D137" s="386" t="s">
        <v>1148</v>
      </c>
      <c r="E137" s="515">
        <v>22153127</v>
      </c>
      <c r="F137" s="397" t="s">
        <v>1152</v>
      </c>
      <c r="G137" s="388" t="s">
        <v>1153</v>
      </c>
      <c r="H137" s="389"/>
      <c r="I137" s="507"/>
      <c r="J137" s="472" t="s">
        <v>942</v>
      </c>
      <c r="K137" s="390"/>
      <c r="L137" s="507"/>
      <c r="M137" s="409" t="s">
        <v>681</v>
      </c>
      <c r="N137" s="475">
        <v>52</v>
      </c>
      <c r="O137" s="392">
        <v>6641</v>
      </c>
      <c r="P137" s="392">
        <v>0</v>
      </c>
      <c r="Q137" s="389">
        <v>1</v>
      </c>
      <c r="R137" s="509">
        <f t="shared" si="29"/>
        <v>6641</v>
      </c>
      <c r="S137" s="483"/>
      <c r="T137" s="394">
        <f t="shared" si="30"/>
        <v>6641</v>
      </c>
      <c r="U137" s="394">
        <v>3505</v>
      </c>
      <c r="V137" s="404">
        <f t="shared" si="31"/>
        <v>23276705</v>
      </c>
      <c r="W137" s="510" t="s">
        <v>1126</v>
      </c>
    </row>
    <row r="138" spans="1:23" s="135" customFormat="1" ht="31.5" x14ac:dyDescent="0.25">
      <c r="A138" s="385">
        <v>134</v>
      </c>
      <c r="B138" s="422" t="s">
        <v>1550</v>
      </c>
      <c r="C138" s="386" t="s">
        <v>1428</v>
      </c>
      <c r="D138" s="422" t="s">
        <v>969</v>
      </c>
      <c r="E138" s="520"/>
      <c r="F138" s="397" t="s">
        <v>472</v>
      </c>
      <c r="G138" s="427" t="s">
        <v>886</v>
      </c>
      <c r="H138" s="426" t="s">
        <v>1238</v>
      </c>
      <c r="I138" s="522"/>
      <c r="J138" s="484">
        <v>3113</v>
      </c>
      <c r="K138" s="390" t="s">
        <v>334</v>
      </c>
      <c r="L138" s="522"/>
      <c r="M138" s="429" t="s">
        <v>668</v>
      </c>
      <c r="N138" s="468">
        <v>53</v>
      </c>
      <c r="O138" s="392">
        <v>17475</v>
      </c>
      <c r="P138" s="392">
        <v>16140</v>
      </c>
      <c r="Q138" s="426">
        <v>1</v>
      </c>
      <c r="R138" s="524">
        <f t="shared" ref="R138:R143" si="32">(O138-P138)*Q138</f>
        <v>1335</v>
      </c>
      <c r="S138" s="478">
        <v>0</v>
      </c>
      <c r="T138" s="412">
        <f t="shared" ref="T138:T169" si="33">IF((R138-S138)&gt;0,(R138-S138),0)</f>
        <v>1335</v>
      </c>
      <c r="U138" s="394">
        <v>3505</v>
      </c>
      <c r="V138" s="431">
        <f t="shared" ref="V138:V169" si="34">T138*U138</f>
        <v>4679175</v>
      </c>
      <c r="W138" s="525" t="s">
        <v>1125</v>
      </c>
    </row>
    <row r="139" spans="1:23" s="135" customFormat="1" x14ac:dyDescent="0.25">
      <c r="A139" s="385">
        <v>135</v>
      </c>
      <c r="B139" s="422" t="s">
        <v>1429</v>
      </c>
      <c r="C139" s="386" t="s">
        <v>1428</v>
      </c>
      <c r="D139" s="422" t="s">
        <v>1197</v>
      </c>
      <c r="E139" s="521"/>
      <c r="F139" s="397" t="s">
        <v>472</v>
      </c>
      <c r="G139" s="427" t="s">
        <v>886</v>
      </c>
      <c r="H139" s="389" t="s">
        <v>1277</v>
      </c>
      <c r="I139" s="507"/>
      <c r="J139" s="472" t="s">
        <v>1406</v>
      </c>
      <c r="K139" s="390" t="s">
        <v>334</v>
      </c>
      <c r="L139" s="507"/>
      <c r="M139" s="409" t="s">
        <v>332</v>
      </c>
      <c r="N139" s="475">
        <v>53</v>
      </c>
      <c r="O139" s="392">
        <v>846</v>
      </c>
      <c r="P139" s="392">
        <v>0</v>
      </c>
      <c r="Q139" s="389">
        <v>1</v>
      </c>
      <c r="R139" s="509">
        <f t="shared" si="32"/>
        <v>846</v>
      </c>
      <c r="S139" s="476">
        <v>0</v>
      </c>
      <c r="T139" s="394">
        <f t="shared" si="33"/>
        <v>846</v>
      </c>
      <c r="U139" s="394">
        <v>3505</v>
      </c>
      <c r="V139" s="404">
        <f t="shared" si="34"/>
        <v>2965230</v>
      </c>
      <c r="W139" s="510" t="s">
        <v>1123</v>
      </c>
    </row>
    <row r="140" spans="1:23" s="135" customFormat="1" x14ac:dyDescent="0.25">
      <c r="A140" s="385">
        <v>136</v>
      </c>
      <c r="B140" s="422" t="s">
        <v>1430</v>
      </c>
      <c r="C140" s="386" t="s">
        <v>1428</v>
      </c>
      <c r="D140" s="422" t="s">
        <v>1061</v>
      </c>
      <c r="E140" s="520"/>
      <c r="F140" s="397" t="s">
        <v>472</v>
      </c>
      <c r="G140" s="427" t="s">
        <v>886</v>
      </c>
      <c r="H140" s="389" t="s">
        <v>332</v>
      </c>
      <c r="I140" s="493"/>
      <c r="J140" s="470">
        <v>3927</v>
      </c>
      <c r="K140" s="390" t="s">
        <v>334</v>
      </c>
      <c r="L140" s="493"/>
      <c r="M140" s="400" t="s">
        <v>332</v>
      </c>
      <c r="N140" s="468">
        <v>53</v>
      </c>
      <c r="O140" s="392">
        <v>29073</v>
      </c>
      <c r="P140" s="392">
        <v>28044</v>
      </c>
      <c r="Q140" s="389">
        <v>1</v>
      </c>
      <c r="R140" s="494">
        <f t="shared" si="32"/>
        <v>1029</v>
      </c>
      <c r="S140" s="469">
        <v>0</v>
      </c>
      <c r="T140" s="394">
        <f t="shared" si="33"/>
        <v>1029</v>
      </c>
      <c r="U140" s="394">
        <v>3505</v>
      </c>
      <c r="V140" s="404">
        <f t="shared" si="34"/>
        <v>3606645</v>
      </c>
      <c r="W140" s="495" t="s">
        <v>1123</v>
      </c>
    </row>
    <row r="141" spans="1:23" s="135" customFormat="1" ht="31.5" x14ac:dyDescent="0.25">
      <c r="A141" s="385">
        <v>137</v>
      </c>
      <c r="B141" s="422" t="s">
        <v>1431</v>
      </c>
      <c r="C141" s="386" t="s">
        <v>1428</v>
      </c>
      <c r="D141" s="422" t="s">
        <v>970</v>
      </c>
      <c r="E141" s="520"/>
      <c r="F141" s="397" t="s">
        <v>472</v>
      </c>
      <c r="G141" s="427" t="s">
        <v>886</v>
      </c>
      <c r="H141" s="426" t="s">
        <v>1279</v>
      </c>
      <c r="I141" s="522"/>
      <c r="J141" s="484">
        <v>2673</v>
      </c>
      <c r="K141" s="390" t="s">
        <v>334</v>
      </c>
      <c r="L141" s="522"/>
      <c r="M141" s="429" t="s">
        <v>326</v>
      </c>
      <c r="N141" s="468">
        <v>53</v>
      </c>
      <c r="O141" s="392">
        <v>30311</v>
      </c>
      <c r="P141" s="392">
        <v>29702</v>
      </c>
      <c r="Q141" s="426">
        <v>1</v>
      </c>
      <c r="R141" s="524">
        <f t="shared" si="32"/>
        <v>609</v>
      </c>
      <c r="S141" s="478">
        <v>0</v>
      </c>
      <c r="T141" s="412">
        <f t="shared" si="33"/>
        <v>609</v>
      </c>
      <c r="U141" s="394">
        <v>3505</v>
      </c>
      <c r="V141" s="431">
        <f t="shared" si="34"/>
        <v>2134545</v>
      </c>
      <c r="W141" s="525" t="s">
        <v>1123</v>
      </c>
    </row>
    <row r="142" spans="1:23" s="135" customFormat="1" x14ac:dyDescent="0.25">
      <c r="A142" s="385">
        <v>138</v>
      </c>
      <c r="B142" s="422" t="s">
        <v>1432</v>
      </c>
      <c r="C142" s="386" t="s">
        <v>1428</v>
      </c>
      <c r="D142" s="422" t="s">
        <v>1162</v>
      </c>
      <c r="E142" s="520"/>
      <c r="F142" s="397" t="s">
        <v>472</v>
      </c>
      <c r="G142" s="427" t="s">
        <v>886</v>
      </c>
      <c r="H142" s="426" t="s">
        <v>1280</v>
      </c>
      <c r="I142" s="522"/>
      <c r="J142" s="484">
        <v>4855</v>
      </c>
      <c r="K142" s="390" t="s">
        <v>334</v>
      </c>
      <c r="L142" s="522"/>
      <c r="M142" s="429" t="s">
        <v>326</v>
      </c>
      <c r="N142" s="468">
        <v>53</v>
      </c>
      <c r="O142" s="392">
        <v>57447</v>
      </c>
      <c r="P142" s="392">
        <v>57150</v>
      </c>
      <c r="Q142" s="426">
        <v>1</v>
      </c>
      <c r="R142" s="524">
        <f t="shared" si="32"/>
        <v>297</v>
      </c>
      <c r="S142" s="478">
        <v>0</v>
      </c>
      <c r="T142" s="412">
        <f t="shared" si="33"/>
        <v>297</v>
      </c>
      <c r="U142" s="394">
        <v>3505</v>
      </c>
      <c r="V142" s="431">
        <f t="shared" si="34"/>
        <v>1040985</v>
      </c>
      <c r="W142" s="525" t="s">
        <v>1123</v>
      </c>
    </row>
    <row r="143" spans="1:23" s="135" customFormat="1" ht="31.5" x14ac:dyDescent="0.25">
      <c r="A143" s="385">
        <v>139</v>
      </c>
      <c r="B143" s="422" t="s">
        <v>1433</v>
      </c>
      <c r="C143" s="386" t="s">
        <v>1428</v>
      </c>
      <c r="D143" s="386" t="s">
        <v>532</v>
      </c>
      <c r="E143" s="497"/>
      <c r="F143" s="397" t="s">
        <v>472</v>
      </c>
      <c r="G143" s="427" t="s">
        <v>886</v>
      </c>
      <c r="H143" s="389" t="s">
        <v>1276</v>
      </c>
      <c r="I143" s="493"/>
      <c r="J143" s="477" t="s">
        <v>206</v>
      </c>
      <c r="K143" s="390" t="s">
        <v>334</v>
      </c>
      <c r="L143" s="493" t="s">
        <v>1216</v>
      </c>
      <c r="M143" s="400" t="s">
        <v>332</v>
      </c>
      <c r="N143" s="468">
        <v>53</v>
      </c>
      <c r="O143" s="392">
        <v>23494</v>
      </c>
      <c r="P143" s="392">
        <v>23290</v>
      </c>
      <c r="Q143" s="389">
        <v>1</v>
      </c>
      <c r="R143" s="494">
        <f t="shared" si="32"/>
        <v>204</v>
      </c>
      <c r="S143" s="469">
        <v>0</v>
      </c>
      <c r="T143" s="394">
        <f>IF((R143-S143)&gt;0,(R143-S143),0)</f>
        <v>204</v>
      </c>
      <c r="U143" s="394">
        <v>3505</v>
      </c>
      <c r="V143" s="404">
        <f>T143*U143</f>
        <v>715020</v>
      </c>
      <c r="W143" s="495" t="s">
        <v>1123</v>
      </c>
    </row>
    <row r="144" spans="1:23" s="135" customFormat="1" ht="36.75" customHeight="1" x14ac:dyDescent="0.25">
      <c r="A144" s="385">
        <v>140</v>
      </c>
      <c r="B144" s="386" t="s">
        <v>977</v>
      </c>
      <c r="C144" s="386" t="s">
        <v>658</v>
      </c>
      <c r="D144" s="386" t="s">
        <v>1187</v>
      </c>
      <c r="E144" s="496" t="s">
        <v>1130</v>
      </c>
      <c r="F144" s="386" t="s">
        <v>977</v>
      </c>
      <c r="G144" s="388" t="s">
        <v>92</v>
      </c>
      <c r="H144" s="389" t="s">
        <v>1228</v>
      </c>
      <c r="I144" s="493"/>
      <c r="J144" s="470" t="s">
        <v>84</v>
      </c>
      <c r="K144" s="390" t="s">
        <v>314</v>
      </c>
      <c r="L144" s="493" t="s">
        <v>370</v>
      </c>
      <c r="M144" s="400" t="s">
        <v>332</v>
      </c>
      <c r="N144" s="468">
        <v>56</v>
      </c>
      <c r="O144" s="392">
        <v>173485</v>
      </c>
      <c r="P144" s="392">
        <v>171987</v>
      </c>
      <c r="Q144" s="389">
        <v>1</v>
      </c>
      <c r="R144" s="494">
        <f t="shared" ref="R144:R169" si="35">(O144-P144)*Q144</f>
        <v>1498</v>
      </c>
      <c r="S144" s="469">
        <v>0</v>
      </c>
      <c r="T144" s="394">
        <f t="shared" si="33"/>
        <v>1498</v>
      </c>
      <c r="U144" s="394">
        <v>4169</v>
      </c>
      <c r="V144" s="404">
        <f t="shared" si="34"/>
        <v>6245162</v>
      </c>
      <c r="W144" s="495" t="s">
        <v>1123</v>
      </c>
    </row>
    <row r="145" spans="1:23" s="135" customFormat="1" ht="45" customHeight="1" x14ac:dyDescent="0.25">
      <c r="A145" s="385">
        <v>141</v>
      </c>
      <c r="B145" s="386" t="s">
        <v>977</v>
      </c>
      <c r="C145" s="386" t="s">
        <v>658</v>
      </c>
      <c r="D145" s="386" t="s">
        <v>1056</v>
      </c>
      <c r="E145" s="496" t="s">
        <v>1130</v>
      </c>
      <c r="F145" s="386" t="s">
        <v>977</v>
      </c>
      <c r="G145" s="388" t="s">
        <v>92</v>
      </c>
      <c r="H145" s="389" t="s">
        <v>1228</v>
      </c>
      <c r="I145" s="493"/>
      <c r="J145" s="470" t="s">
        <v>82</v>
      </c>
      <c r="K145" s="390" t="s">
        <v>314</v>
      </c>
      <c r="L145" s="493" t="s">
        <v>83</v>
      </c>
      <c r="M145" s="400" t="s">
        <v>332</v>
      </c>
      <c r="N145" s="468">
        <v>56</v>
      </c>
      <c r="O145" s="392">
        <v>113103</v>
      </c>
      <c r="P145" s="392">
        <v>112230</v>
      </c>
      <c r="Q145" s="389">
        <v>1</v>
      </c>
      <c r="R145" s="494">
        <f t="shared" si="35"/>
        <v>873</v>
      </c>
      <c r="S145" s="469">
        <v>0</v>
      </c>
      <c r="T145" s="394">
        <f t="shared" si="33"/>
        <v>873</v>
      </c>
      <c r="U145" s="394">
        <v>4169</v>
      </c>
      <c r="V145" s="404">
        <f t="shared" si="34"/>
        <v>3639537</v>
      </c>
      <c r="W145" s="495" t="s">
        <v>1123</v>
      </c>
    </row>
    <row r="146" spans="1:23" s="135" customFormat="1" ht="43.5" customHeight="1" x14ac:dyDescent="0.25">
      <c r="A146" s="385">
        <v>142</v>
      </c>
      <c r="B146" s="386" t="s">
        <v>977</v>
      </c>
      <c r="C146" s="386" t="s">
        <v>658</v>
      </c>
      <c r="D146" s="386" t="s">
        <v>376</v>
      </c>
      <c r="E146" s="496" t="s">
        <v>1130</v>
      </c>
      <c r="F146" s="386" t="s">
        <v>977</v>
      </c>
      <c r="G146" s="398" t="s">
        <v>92</v>
      </c>
      <c r="H146" s="389" t="s">
        <v>1228</v>
      </c>
      <c r="I146" s="523"/>
      <c r="J146" s="470" t="s">
        <v>103</v>
      </c>
      <c r="K146" s="390" t="s">
        <v>314</v>
      </c>
      <c r="L146" s="493" t="s">
        <v>370</v>
      </c>
      <c r="M146" s="400" t="s">
        <v>332</v>
      </c>
      <c r="N146" s="468">
        <v>56</v>
      </c>
      <c r="O146" s="392">
        <v>656483</v>
      </c>
      <c r="P146" s="392">
        <v>647638</v>
      </c>
      <c r="Q146" s="389">
        <v>1</v>
      </c>
      <c r="R146" s="494">
        <f t="shared" si="35"/>
        <v>8845</v>
      </c>
      <c r="S146" s="469">
        <v>0</v>
      </c>
      <c r="T146" s="394">
        <f t="shared" si="33"/>
        <v>8845</v>
      </c>
      <c r="U146" s="394">
        <v>4169</v>
      </c>
      <c r="V146" s="404">
        <f t="shared" si="34"/>
        <v>36874805</v>
      </c>
      <c r="W146" s="495" t="s">
        <v>1123</v>
      </c>
    </row>
    <row r="147" spans="1:23" s="135" customFormat="1" ht="31.5" x14ac:dyDescent="0.25">
      <c r="A147" s="385">
        <v>143</v>
      </c>
      <c r="B147" s="386" t="s">
        <v>1169</v>
      </c>
      <c r="C147" s="386" t="s">
        <v>719</v>
      </c>
      <c r="D147" s="386" t="s">
        <v>1057</v>
      </c>
      <c r="E147" s="497">
        <v>36230870</v>
      </c>
      <c r="F147" s="397" t="s">
        <v>719</v>
      </c>
      <c r="G147" s="398" t="s">
        <v>8</v>
      </c>
      <c r="H147" s="389" t="s">
        <v>1228</v>
      </c>
      <c r="I147" s="493"/>
      <c r="J147" s="470" t="s">
        <v>95</v>
      </c>
      <c r="K147" s="390" t="s">
        <v>314</v>
      </c>
      <c r="L147" s="493" t="s">
        <v>183</v>
      </c>
      <c r="M147" s="400" t="s">
        <v>332</v>
      </c>
      <c r="N147" s="468">
        <v>56</v>
      </c>
      <c r="O147" s="392">
        <v>728248</v>
      </c>
      <c r="P147" s="392">
        <v>721101</v>
      </c>
      <c r="Q147" s="389">
        <v>1</v>
      </c>
      <c r="R147" s="494">
        <f t="shared" si="35"/>
        <v>7147</v>
      </c>
      <c r="S147" s="469">
        <v>0</v>
      </c>
      <c r="T147" s="394">
        <f t="shared" si="33"/>
        <v>7147</v>
      </c>
      <c r="U147" s="394">
        <v>4169</v>
      </c>
      <c r="V147" s="404">
        <f t="shared" si="34"/>
        <v>29795843</v>
      </c>
      <c r="W147" s="495" t="s">
        <v>1124</v>
      </c>
    </row>
    <row r="148" spans="1:23" s="135" customFormat="1" ht="31.5" x14ac:dyDescent="0.25">
      <c r="A148" s="385">
        <v>144</v>
      </c>
      <c r="B148" s="386" t="s">
        <v>1169</v>
      </c>
      <c r="C148" s="386" t="s">
        <v>719</v>
      </c>
      <c r="D148" s="386" t="s">
        <v>1058</v>
      </c>
      <c r="E148" s="497">
        <v>36230870</v>
      </c>
      <c r="F148" s="397" t="s">
        <v>719</v>
      </c>
      <c r="G148" s="398" t="s">
        <v>8</v>
      </c>
      <c r="H148" s="389" t="s">
        <v>1228</v>
      </c>
      <c r="I148" s="493"/>
      <c r="J148" s="470">
        <v>9277</v>
      </c>
      <c r="K148" s="390" t="s">
        <v>314</v>
      </c>
      <c r="L148" s="493" t="s">
        <v>370</v>
      </c>
      <c r="M148" s="400" t="s">
        <v>332</v>
      </c>
      <c r="N148" s="468">
        <v>56</v>
      </c>
      <c r="O148" s="392">
        <v>355481</v>
      </c>
      <c r="P148" s="392">
        <v>351381</v>
      </c>
      <c r="Q148" s="389">
        <v>1</v>
      </c>
      <c r="R148" s="494">
        <f t="shared" si="35"/>
        <v>4100</v>
      </c>
      <c r="S148" s="469">
        <v>0</v>
      </c>
      <c r="T148" s="394">
        <f t="shared" si="33"/>
        <v>4100</v>
      </c>
      <c r="U148" s="394">
        <v>4169</v>
      </c>
      <c r="V148" s="404">
        <f t="shared" si="34"/>
        <v>17092900</v>
      </c>
      <c r="W148" s="495" t="s">
        <v>1124</v>
      </c>
    </row>
    <row r="149" spans="1:23" s="135" customFormat="1" x14ac:dyDescent="0.25">
      <c r="A149" s="385">
        <v>145</v>
      </c>
      <c r="B149" s="386" t="s">
        <v>977</v>
      </c>
      <c r="C149" s="386" t="s">
        <v>658</v>
      </c>
      <c r="D149" s="386" t="s">
        <v>976</v>
      </c>
      <c r="E149" s="497">
        <v>38683713</v>
      </c>
      <c r="F149" s="386" t="s">
        <v>977</v>
      </c>
      <c r="G149" s="398" t="s">
        <v>92</v>
      </c>
      <c r="H149" s="389" t="s">
        <v>1228</v>
      </c>
      <c r="I149" s="493"/>
      <c r="J149" s="470">
        <v>9310</v>
      </c>
      <c r="K149" s="390" t="s">
        <v>334</v>
      </c>
      <c r="L149" s="493" t="s">
        <v>370</v>
      </c>
      <c r="M149" s="400" t="s">
        <v>332</v>
      </c>
      <c r="N149" s="468">
        <v>56</v>
      </c>
      <c r="O149" s="392">
        <v>479208</v>
      </c>
      <c r="P149" s="392">
        <v>472977</v>
      </c>
      <c r="Q149" s="389">
        <v>1</v>
      </c>
      <c r="R149" s="494">
        <f t="shared" si="35"/>
        <v>6231</v>
      </c>
      <c r="S149" s="469">
        <v>0</v>
      </c>
      <c r="T149" s="394">
        <f t="shared" si="33"/>
        <v>6231</v>
      </c>
      <c r="U149" s="394">
        <v>4169</v>
      </c>
      <c r="V149" s="404">
        <f t="shared" si="34"/>
        <v>25977039</v>
      </c>
      <c r="W149" s="495" t="s">
        <v>1124</v>
      </c>
    </row>
    <row r="150" spans="1:23" s="135" customFormat="1" ht="31.5" hidden="1" x14ac:dyDescent="0.25">
      <c r="A150" s="549">
        <v>146</v>
      </c>
      <c r="B150" s="539" t="s">
        <v>1029</v>
      </c>
      <c r="C150" s="539" t="s">
        <v>658</v>
      </c>
      <c r="D150" s="539" t="s">
        <v>1059</v>
      </c>
      <c r="E150" s="394">
        <v>38692384</v>
      </c>
      <c r="F150" s="567" t="s">
        <v>1004</v>
      </c>
      <c r="G150" s="568" t="s">
        <v>1005</v>
      </c>
      <c r="H150" s="546" t="s">
        <v>1281</v>
      </c>
      <c r="I150" s="389"/>
      <c r="J150" s="403" t="s">
        <v>200</v>
      </c>
      <c r="K150" s="544" t="s">
        <v>314</v>
      </c>
      <c r="L150" s="389" t="s">
        <v>199</v>
      </c>
      <c r="M150" s="400" t="s">
        <v>668</v>
      </c>
      <c r="N150" s="389">
        <v>56</v>
      </c>
      <c r="O150" s="545">
        <v>78396</v>
      </c>
      <c r="P150" s="545">
        <v>78396</v>
      </c>
      <c r="Q150" s="546">
        <v>1</v>
      </c>
      <c r="R150" s="393">
        <f t="shared" si="35"/>
        <v>0</v>
      </c>
      <c r="S150" s="394">
        <v>0</v>
      </c>
      <c r="T150" s="547">
        <f t="shared" si="33"/>
        <v>0</v>
      </c>
      <c r="U150" s="547">
        <v>4169</v>
      </c>
      <c r="V150" s="550">
        <f t="shared" si="34"/>
        <v>0</v>
      </c>
      <c r="W150" s="39" t="s">
        <v>1124</v>
      </c>
    </row>
    <row r="151" spans="1:23" s="135" customFormat="1" ht="47.25" hidden="1" x14ac:dyDescent="0.25">
      <c r="A151" s="371">
        <v>147</v>
      </c>
      <c r="B151" s="422" t="s">
        <v>710</v>
      </c>
      <c r="C151" s="386" t="s">
        <v>658</v>
      </c>
      <c r="D151" s="422" t="s">
        <v>1060</v>
      </c>
      <c r="E151" s="412">
        <v>38692332</v>
      </c>
      <c r="F151" s="424" t="s">
        <v>818</v>
      </c>
      <c r="G151" s="427" t="s">
        <v>819</v>
      </c>
      <c r="H151" s="389" t="s">
        <v>1281</v>
      </c>
      <c r="I151" s="426"/>
      <c r="J151" s="428">
        <v>6387</v>
      </c>
      <c r="K151" s="434" t="s">
        <v>314</v>
      </c>
      <c r="L151" s="426" t="s">
        <v>1234</v>
      </c>
      <c r="M151" s="429" t="s">
        <v>668</v>
      </c>
      <c r="N151" s="389">
        <v>56</v>
      </c>
      <c r="O151" s="392">
        <v>295285</v>
      </c>
      <c r="P151" s="392">
        <v>295285</v>
      </c>
      <c r="Q151" s="426">
        <v>1</v>
      </c>
      <c r="R151" s="430">
        <f t="shared" si="35"/>
        <v>0</v>
      </c>
      <c r="S151" s="412">
        <v>0</v>
      </c>
      <c r="T151" s="412">
        <f t="shared" si="33"/>
        <v>0</v>
      </c>
      <c r="U151" s="394">
        <v>4169</v>
      </c>
      <c r="V151" s="431">
        <f t="shared" si="34"/>
        <v>0</v>
      </c>
      <c r="W151" s="39" t="s">
        <v>1122</v>
      </c>
    </row>
    <row r="152" spans="1:23" s="135" customFormat="1" ht="31.5" x14ac:dyDescent="0.25">
      <c r="A152" s="385">
        <v>148</v>
      </c>
      <c r="B152" s="397" t="s">
        <v>1136</v>
      </c>
      <c r="C152" s="386" t="s">
        <v>658</v>
      </c>
      <c r="D152" s="386" t="s">
        <v>1023</v>
      </c>
      <c r="E152" s="497">
        <v>38682778</v>
      </c>
      <c r="F152" s="397" t="s">
        <v>1033</v>
      </c>
      <c r="G152" s="398" t="s">
        <v>933</v>
      </c>
      <c r="H152" s="389" t="s">
        <v>1281</v>
      </c>
      <c r="I152" s="493"/>
      <c r="J152" s="470" t="s">
        <v>20</v>
      </c>
      <c r="K152" s="390" t="s">
        <v>314</v>
      </c>
      <c r="L152" s="493" t="s">
        <v>202</v>
      </c>
      <c r="M152" s="400" t="s">
        <v>668</v>
      </c>
      <c r="N152" s="468">
        <v>56</v>
      </c>
      <c r="O152" s="392">
        <v>157504</v>
      </c>
      <c r="P152" s="392">
        <v>156321</v>
      </c>
      <c r="Q152" s="389">
        <v>1</v>
      </c>
      <c r="R152" s="494">
        <f t="shared" si="35"/>
        <v>1183</v>
      </c>
      <c r="S152" s="469">
        <v>0</v>
      </c>
      <c r="T152" s="394">
        <f t="shared" si="33"/>
        <v>1183</v>
      </c>
      <c r="U152" s="394">
        <v>4169</v>
      </c>
      <c r="V152" s="404">
        <f t="shared" si="34"/>
        <v>4931927</v>
      </c>
      <c r="W152" s="495" t="s">
        <v>1122</v>
      </c>
    </row>
    <row r="153" spans="1:23" s="135" customFormat="1" ht="31.5" hidden="1" x14ac:dyDescent="0.25">
      <c r="A153" s="538">
        <v>149</v>
      </c>
      <c r="B153" s="539" t="s">
        <v>1011</v>
      </c>
      <c r="C153" s="539" t="s">
        <v>658</v>
      </c>
      <c r="D153" s="539" t="s">
        <v>1282</v>
      </c>
      <c r="E153" s="394">
        <v>38682917</v>
      </c>
      <c r="F153" s="541" t="s">
        <v>319</v>
      </c>
      <c r="G153" s="542" t="s">
        <v>318</v>
      </c>
      <c r="H153" s="546" t="s">
        <v>1282</v>
      </c>
      <c r="I153" s="389"/>
      <c r="J153" s="403">
        <v>3259</v>
      </c>
      <c r="K153" s="544" t="s">
        <v>314</v>
      </c>
      <c r="L153" s="389" t="s">
        <v>316</v>
      </c>
      <c r="M153" s="400" t="s">
        <v>315</v>
      </c>
      <c r="N153" s="389">
        <v>57</v>
      </c>
      <c r="O153" s="545">
        <v>15682</v>
      </c>
      <c r="P153" s="545">
        <v>15682</v>
      </c>
      <c r="Q153" s="546">
        <v>1</v>
      </c>
      <c r="R153" s="393">
        <f t="shared" si="35"/>
        <v>0</v>
      </c>
      <c r="S153" s="394">
        <v>0</v>
      </c>
      <c r="T153" s="547">
        <f t="shared" si="33"/>
        <v>0</v>
      </c>
      <c r="U153" s="547">
        <v>4169</v>
      </c>
      <c r="V153" s="550">
        <f t="shared" si="34"/>
        <v>0</v>
      </c>
      <c r="W153" s="39" t="s">
        <v>1124</v>
      </c>
    </row>
    <row r="154" spans="1:23" s="135" customFormat="1" ht="31.5" x14ac:dyDescent="0.25">
      <c r="A154" s="385">
        <v>150</v>
      </c>
      <c r="B154" s="386" t="s">
        <v>1012</v>
      </c>
      <c r="C154" s="386" t="s">
        <v>658</v>
      </c>
      <c r="D154" s="386" t="s">
        <v>1166</v>
      </c>
      <c r="E154" s="497">
        <v>38682917</v>
      </c>
      <c r="F154" s="397" t="s">
        <v>319</v>
      </c>
      <c r="G154" s="398" t="s">
        <v>318</v>
      </c>
      <c r="H154" s="389" t="s">
        <v>1166</v>
      </c>
      <c r="I154" s="493"/>
      <c r="J154" s="470">
        <v>80030</v>
      </c>
      <c r="K154" s="390" t="s">
        <v>314</v>
      </c>
      <c r="L154" s="493" t="s">
        <v>133</v>
      </c>
      <c r="M154" s="400" t="s">
        <v>332</v>
      </c>
      <c r="N154" s="468">
        <v>57</v>
      </c>
      <c r="O154" s="392">
        <v>88654</v>
      </c>
      <c r="P154" s="392">
        <v>85035</v>
      </c>
      <c r="Q154" s="389">
        <v>1</v>
      </c>
      <c r="R154" s="494">
        <f t="shared" si="35"/>
        <v>3619</v>
      </c>
      <c r="S154" s="469">
        <v>0</v>
      </c>
      <c r="T154" s="394">
        <f t="shared" si="33"/>
        <v>3619</v>
      </c>
      <c r="U154" s="394">
        <v>4169</v>
      </c>
      <c r="V154" s="404">
        <f t="shared" si="34"/>
        <v>15087611</v>
      </c>
      <c r="W154" s="495" t="s">
        <v>1122</v>
      </c>
    </row>
    <row r="155" spans="1:23" s="135" customFormat="1" ht="31.5" x14ac:dyDescent="0.25">
      <c r="A155" s="385">
        <v>151</v>
      </c>
      <c r="B155" s="386" t="s">
        <v>1237</v>
      </c>
      <c r="C155" s="386" t="s">
        <v>658</v>
      </c>
      <c r="D155" s="386" t="s">
        <v>1238</v>
      </c>
      <c r="E155" s="497">
        <v>38682917</v>
      </c>
      <c r="F155" s="397" t="s">
        <v>319</v>
      </c>
      <c r="G155" s="398" t="s">
        <v>318</v>
      </c>
      <c r="H155" s="389" t="s">
        <v>1238</v>
      </c>
      <c r="I155" s="493"/>
      <c r="J155" s="470">
        <v>1124</v>
      </c>
      <c r="K155" s="390" t="s">
        <v>314</v>
      </c>
      <c r="L155" s="493" t="s">
        <v>1239</v>
      </c>
      <c r="M155" s="400" t="s">
        <v>668</v>
      </c>
      <c r="N155" s="468">
        <v>57</v>
      </c>
      <c r="O155" s="392">
        <v>115662</v>
      </c>
      <c r="P155" s="392">
        <v>107277</v>
      </c>
      <c r="Q155" s="389">
        <v>1</v>
      </c>
      <c r="R155" s="494">
        <f>(O155-P155)*Q155</f>
        <v>8385</v>
      </c>
      <c r="S155" s="469">
        <v>0</v>
      </c>
      <c r="T155" s="394">
        <f t="shared" si="33"/>
        <v>8385</v>
      </c>
      <c r="U155" s="394">
        <v>4169</v>
      </c>
      <c r="V155" s="404">
        <f t="shared" si="34"/>
        <v>34957065</v>
      </c>
      <c r="W155" s="495" t="s">
        <v>1122</v>
      </c>
    </row>
    <row r="156" spans="1:23" s="135" customFormat="1" x14ac:dyDescent="0.25">
      <c r="A156" s="385">
        <v>152</v>
      </c>
      <c r="B156" s="386" t="s">
        <v>1013</v>
      </c>
      <c r="C156" s="386" t="s">
        <v>658</v>
      </c>
      <c r="D156" s="386" t="s">
        <v>451</v>
      </c>
      <c r="E156" s="497">
        <v>38682917</v>
      </c>
      <c r="F156" s="397" t="s">
        <v>319</v>
      </c>
      <c r="G156" s="398" t="s">
        <v>318</v>
      </c>
      <c r="H156" s="389" t="s">
        <v>1215</v>
      </c>
      <c r="I156" s="493"/>
      <c r="J156" s="470" t="s">
        <v>430</v>
      </c>
      <c r="K156" s="390" t="s">
        <v>334</v>
      </c>
      <c r="L156" s="493" t="s">
        <v>1217</v>
      </c>
      <c r="M156" s="400" t="s">
        <v>668</v>
      </c>
      <c r="N156" s="468">
        <v>57</v>
      </c>
      <c r="O156" s="392">
        <v>80171</v>
      </c>
      <c r="P156" s="392">
        <v>79556</v>
      </c>
      <c r="Q156" s="389">
        <v>1</v>
      </c>
      <c r="R156" s="494">
        <f>(O156-P156)*Q156</f>
        <v>615</v>
      </c>
      <c r="S156" s="469">
        <v>0</v>
      </c>
      <c r="T156" s="394">
        <f t="shared" si="33"/>
        <v>615</v>
      </c>
      <c r="U156" s="394">
        <v>4169</v>
      </c>
      <c r="V156" s="404">
        <f t="shared" si="34"/>
        <v>2563935</v>
      </c>
      <c r="W156" s="495" t="s">
        <v>1122</v>
      </c>
    </row>
    <row r="157" spans="1:23" s="135" customFormat="1" x14ac:dyDescent="0.25">
      <c r="A157" s="385">
        <v>153</v>
      </c>
      <c r="B157" s="386" t="s">
        <v>1009</v>
      </c>
      <c r="C157" s="386" t="s">
        <v>658</v>
      </c>
      <c r="D157" s="386" t="s">
        <v>451</v>
      </c>
      <c r="E157" s="497">
        <v>38682917</v>
      </c>
      <c r="F157" s="397" t="s">
        <v>319</v>
      </c>
      <c r="G157" s="398" t="s">
        <v>318</v>
      </c>
      <c r="H157" s="389" t="s">
        <v>1215</v>
      </c>
      <c r="I157" s="493"/>
      <c r="J157" s="485" t="s">
        <v>1236</v>
      </c>
      <c r="K157" s="390" t="s">
        <v>314</v>
      </c>
      <c r="L157" s="493" t="s">
        <v>1217</v>
      </c>
      <c r="M157" s="400" t="s">
        <v>668</v>
      </c>
      <c r="N157" s="468">
        <v>57</v>
      </c>
      <c r="O157" s="392">
        <v>110664</v>
      </c>
      <c r="P157" s="392">
        <v>105678</v>
      </c>
      <c r="Q157" s="389">
        <v>1</v>
      </c>
      <c r="R157" s="494">
        <f t="shared" si="35"/>
        <v>4986</v>
      </c>
      <c r="S157" s="469">
        <v>0</v>
      </c>
      <c r="T157" s="394">
        <f t="shared" si="33"/>
        <v>4986</v>
      </c>
      <c r="U157" s="394">
        <v>4169</v>
      </c>
      <c r="V157" s="404">
        <f t="shared" si="34"/>
        <v>20786634</v>
      </c>
      <c r="W157" s="495" t="s">
        <v>1122</v>
      </c>
    </row>
    <row r="158" spans="1:23" s="135" customFormat="1" x14ac:dyDescent="0.25">
      <c r="A158" s="385">
        <v>154</v>
      </c>
      <c r="B158" s="386" t="s">
        <v>1157</v>
      </c>
      <c r="C158" s="386" t="s">
        <v>658</v>
      </c>
      <c r="D158" s="386" t="s">
        <v>1015</v>
      </c>
      <c r="E158" s="497">
        <v>38682917</v>
      </c>
      <c r="F158" s="397" t="s">
        <v>319</v>
      </c>
      <c r="G158" s="398" t="s">
        <v>318</v>
      </c>
      <c r="H158" s="389" t="s">
        <v>1228</v>
      </c>
      <c r="I158" s="493"/>
      <c r="J158" s="470" t="s">
        <v>2</v>
      </c>
      <c r="K158" s="390" t="s">
        <v>314</v>
      </c>
      <c r="L158" s="493" t="s">
        <v>370</v>
      </c>
      <c r="M158" s="400" t="s">
        <v>332</v>
      </c>
      <c r="N158" s="468">
        <v>57</v>
      </c>
      <c r="O158" s="392">
        <v>153517</v>
      </c>
      <c r="P158" s="392">
        <v>148089</v>
      </c>
      <c r="Q158" s="389">
        <v>1</v>
      </c>
      <c r="R158" s="494">
        <f>(O158-P158)*Q158</f>
        <v>5428</v>
      </c>
      <c r="S158" s="469">
        <v>0</v>
      </c>
      <c r="T158" s="394">
        <f t="shared" si="33"/>
        <v>5428</v>
      </c>
      <c r="U158" s="394">
        <v>4169</v>
      </c>
      <c r="V158" s="404">
        <f t="shared" si="34"/>
        <v>22629332</v>
      </c>
      <c r="W158" s="495" t="s">
        <v>1124</v>
      </c>
    </row>
    <row r="159" spans="1:23" s="135" customFormat="1" x14ac:dyDescent="0.25">
      <c r="A159" s="385">
        <v>155</v>
      </c>
      <c r="B159" s="386" t="s">
        <v>1158</v>
      </c>
      <c r="C159" s="386" t="s">
        <v>658</v>
      </c>
      <c r="D159" s="386" t="s">
        <v>1014</v>
      </c>
      <c r="E159" s="497">
        <v>38682917</v>
      </c>
      <c r="F159" s="397" t="s">
        <v>319</v>
      </c>
      <c r="G159" s="398" t="s">
        <v>318</v>
      </c>
      <c r="H159" s="389" t="s">
        <v>1228</v>
      </c>
      <c r="I159" s="493"/>
      <c r="J159" s="470" t="s">
        <v>206</v>
      </c>
      <c r="K159" s="390" t="s">
        <v>314</v>
      </c>
      <c r="L159" s="493" t="s">
        <v>343</v>
      </c>
      <c r="M159" s="400" t="s">
        <v>332</v>
      </c>
      <c r="N159" s="468">
        <v>57</v>
      </c>
      <c r="O159" s="392">
        <v>167065</v>
      </c>
      <c r="P159" s="392">
        <v>160364</v>
      </c>
      <c r="Q159" s="389">
        <v>1</v>
      </c>
      <c r="R159" s="494">
        <f>(O159-P159)*Q159</f>
        <v>6701</v>
      </c>
      <c r="S159" s="469">
        <v>0</v>
      </c>
      <c r="T159" s="394">
        <f t="shared" si="33"/>
        <v>6701</v>
      </c>
      <c r="U159" s="394">
        <v>4169</v>
      </c>
      <c r="V159" s="404">
        <f t="shared" si="34"/>
        <v>27936469</v>
      </c>
      <c r="W159" s="495" t="s">
        <v>1124</v>
      </c>
    </row>
    <row r="160" spans="1:23" s="135" customFormat="1" x14ac:dyDescent="0.25">
      <c r="A160" s="385">
        <v>156</v>
      </c>
      <c r="B160" s="386" t="s">
        <v>1157</v>
      </c>
      <c r="C160" s="386" t="s">
        <v>658</v>
      </c>
      <c r="D160" s="386" t="s">
        <v>745</v>
      </c>
      <c r="E160" s="512"/>
      <c r="F160" s="397" t="s">
        <v>319</v>
      </c>
      <c r="G160" s="398" t="s">
        <v>318</v>
      </c>
      <c r="H160" s="396" t="s">
        <v>1228</v>
      </c>
      <c r="I160" s="506"/>
      <c r="J160" s="486" t="s">
        <v>908</v>
      </c>
      <c r="K160" s="390" t="s">
        <v>314</v>
      </c>
      <c r="L160" s="493" t="s">
        <v>343</v>
      </c>
      <c r="M160" s="391" t="s">
        <v>332</v>
      </c>
      <c r="N160" s="468">
        <v>57</v>
      </c>
      <c r="O160" s="392">
        <v>257083</v>
      </c>
      <c r="P160" s="392">
        <v>253992</v>
      </c>
      <c r="Q160" s="389">
        <v>1</v>
      </c>
      <c r="R160" s="494">
        <f>(O160-P160)*Q160</f>
        <v>3091</v>
      </c>
      <c r="S160" s="469">
        <v>0</v>
      </c>
      <c r="T160" s="394">
        <f t="shared" si="33"/>
        <v>3091</v>
      </c>
      <c r="U160" s="394">
        <v>4169</v>
      </c>
      <c r="V160" s="404">
        <f t="shared" si="34"/>
        <v>12886379</v>
      </c>
      <c r="W160" s="495" t="s">
        <v>1124</v>
      </c>
    </row>
    <row r="161" spans="1:23" s="135" customFormat="1" ht="31.5" x14ac:dyDescent="0.25">
      <c r="A161" s="385">
        <v>157</v>
      </c>
      <c r="B161" s="386" t="s">
        <v>1611</v>
      </c>
      <c r="C161" s="386" t="s">
        <v>658</v>
      </c>
      <c r="D161" s="386" t="s">
        <v>328</v>
      </c>
      <c r="E161" s="497">
        <v>38682917</v>
      </c>
      <c r="F161" s="397" t="s">
        <v>319</v>
      </c>
      <c r="G161" s="398" t="s">
        <v>318</v>
      </c>
      <c r="H161" s="389" t="s">
        <v>1279</v>
      </c>
      <c r="I161" s="493"/>
      <c r="J161" s="470" t="s">
        <v>34</v>
      </c>
      <c r="K161" s="390" t="s">
        <v>314</v>
      </c>
      <c r="L161" s="493" t="s">
        <v>327</v>
      </c>
      <c r="M161" s="400" t="s">
        <v>326</v>
      </c>
      <c r="N161" s="468">
        <v>58</v>
      </c>
      <c r="O161" s="392">
        <v>153422</v>
      </c>
      <c r="P161" s="392">
        <v>149162</v>
      </c>
      <c r="Q161" s="389">
        <v>1</v>
      </c>
      <c r="R161" s="494">
        <f t="shared" si="35"/>
        <v>4260</v>
      </c>
      <c r="S161" s="469">
        <v>0</v>
      </c>
      <c r="T161" s="394">
        <f t="shared" si="33"/>
        <v>4260</v>
      </c>
      <c r="U161" s="394">
        <v>4169</v>
      </c>
      <c r="V161" s="404">
        <f t="shared" si="34"/>
        <v>17759940</v>
      </c>
      <c r="W161" s="495" t="s">
        <v>1124</v>
      </c>
    </row>
    <row r="162" spans="1:23" s="135" customFormat="1" ht="31.5" x14ac:dyDescent="0.25">
      <c r="A162" s="385">
        <v>158</v>
      </c>
      <c r="B162" s="386" t="s">
        <v>1610</v>
      </c>
      <c r="C162" s="386" t="s">
        <v>658</v>
      </c>
      <c r="D162" s="386" t="s">
        <v>964</v>
      </c>
      <c r="E162" s="497">
        <v>38682917</v>
      </c>
      <c r="F162" s="397" t="s">
        <v>319</v>
      </c>
      <c r="G162" s="398" t="s">
        <v>318</v>
      </c>
      <c r="H162" s="389" t="s">
        <v>1207</v>
      </c>
      <c r="I162" s="493"/>
      <c r="J162" s="477" t="s">
        <v>905</v>
      </c>
      <c r="K162" s="390" t="s">
        <v>334</v>
      </c>
      <c r="L162" s="493" t="s">
        <v>327</v>
      </c>
      <c r="M162" s="400" t="s">
        <v>326</v>
      </c>
      <c r="N162" s="468">
        <v>58</v>
      </c>
      <c r="O162" s="392">
        <v>36265</v>
      </c>
      <c r="P162" s="392">
        <v>34765</v>
      </c>
      <c r="Q162" s="389">
        <v>1</v>
      </c>
      <c r="R162" s="494">
        <f t="shared" si="35"/>
        <v>1500</v>
      </c>
      <c r="S162" s="469">
        <v>0</v>
      </c>
      <c r="T162" s="394">
        <f t="shared" si="33"/>
        <v>1500</v>
      </c>
      <c r="U162" s="394">
        <v>4169</v>
      </c>
      <c r="V162" s="404">
        <f t="shared" si="34"/>
        <v>6253500</v>
      </c>
      <c r="W162" s="495" t="s">
        <v>1123</v>
      </c>
    </row>
    <row r="163" spans="1:23" s="135" customFormat="1" ht="31.5" hidden="1" x14ac:dyDescent="0.25">
      <c r="A163" s="538">
        <v>159</v>
      </c>
      <c r="B163" s="539" t="s">
        <v>1609</v>
      </c>
      <c r="C163" s="539" t="s">
        <v>658</v>
      </c>
      <c r="D163" s="539" t="s">
        <v>1204</v>
      </c>
      <c r="E163" s="394">
        <v>38682917</v>
      </c>
      <c r="F163" s="541" t="s">
        <v>319</v>
      </c>
      <c r="G163" s="542" t="s">
        <v>318</v>
      </c>
      <c r="H163" s="546" t="s">
        <v>1215</v>
      </c>
      <c r="I163" s="389"/>
      <c r="J163" s="413">
        <v>1489</v>
      </c>
      <c r="K163" s="544" t="s">
        <v>334</v>
      </c>
      <c r="L163" s="389" t="s">
        <v>1217</v>
      </c>
      <c r="M163" s="400" t="s">
        <v>668</v>
      </c>
      <c r="N163" s="389">
        <v>58</v>
      </c>
      <c r="O163" s="545">
        <v>8820</v>
      </c>
      <c r="P163" s="545">
        <v>8820</v>
      </c>
      <c r="Q163" s="546">
        <v>1</v>
      </c>
      <c r="R163" s="393">
        <f>(O163-P163)*Q163</f>
        <v>0</v>
      </c>
      <c r="S163" s="394">
        <v>0</v>
      </c>
      <c r="T163" s="547">
        <f>IF((R163-S163)&gt;0,(R163-S163),0)</f>
        <v>0</v>
      </c>
      <c r="U163" s="547">
        <v>4169</v>
      </c>
      <c r="V163" s="550">
        <f>T163*U163</f>
        <v>0</v>
      </c>
      <c r="W163" s="39" t="s">
        <v>1123</v>
      </c>
    </row>
    <row r="164" spans="1:23" s="135" customFormat="1" ht="31.5" x14ac:dyDescent="0.25">
      <c r="A164" s="385">
        <v>160</v>
      </c>
      <c r="B164" s="386" t="s">
        <v>1608</v>
      </c>
      <c r="C164" s="386" t="s">
        <v>658</v>
      </c>
      <c r="D164" s="386" t="s">
        <v>1204</v>
      </c>
      <c r="E164" s="497">
        <v>38682917</v>
      </c>
      <c r="F164" s="397" t="s">
        <v>319</v>
      </c>
      <c r="G164" s="398" t="s">
        <v>318</v>
      </c>
      <c r="H164" s="389" t="s">
        <v>1215</v>
      </c>
      <c r="I164" s="493"/>
      <c r="J164" s="477">
        <v>5823</v>
      </c>
      <c r="K164" s="390" t="s">
        <v>314</v>
      </c>
      <c r="L164" s="493" t="s">
        <v>1243</v>
      </c>
      <c r="M164" s="400" t="s">
        <v>668</v>
      </c>
      <c r="N164" s="468">
        <v>58</v>
      </c>
      <c r="O164" s="392">
        <v>11044</v>
      </c>
      <c r="P164" s="392">
        <v>9208</v>
      </c>
      <c r="Q164" s="389">
        <v>1</v>
      </c>
      <c r="R164" s="494">
        <f t="shared" si="35"/>
        <v>1836</v>
      </c>
      <c r="S164" s="469">
        <v>0</v>
      </c>
      <c r="T164" s="394">
        <f t="shared" si="33"/>
        <v>1836</v>
      </c>
      <c r="U164" s="394">
        <v>4169</v>
      </c>
      <c r="V164" s="404">
        <f t="shared" si="34"/>
        <v>7654284</v>
      </c>
      <c r="W164" s="495" t="s">
        <v>1123</v>
      </c>
    </row>
    <row r="165" spans="1:23" s="135" customFormat="1" ht="31.5" x14ac:dyDescent="0.25">
      <c r="A165" s="385">
        <v>161</v>
      </c>
      <c r="B165" s="386" t="s">
        <v>1612</v>
      </c>
      <c r="C165" s="386" t="s">
        <v>658</v>
      </c>
      <c r="D165" s="386" t="s">
        <v>290</v>
      </c>
      <c r="E165" s="497">
        <v>38682917</v>
      </c>
      <c r="F165" s="397" t="s">
        <v>319</v>
      </c>
      <c r="G165" s="398" t="s">
        <v>318</v>
      </c>
      <c r="H165" s="389" t="s">
        <v>1209</v>
      </c>
      <c r="I165" s="493"/>
      <c r="J165" s="470" t="s">
        <v>147</v>
      </c>
      <c r="K165" s="390" t="s">
        <v>314</v>
      </c>
      <c r="L165" s="493" t="s">
        <v>327</v>
      </c>
      <c r="M165" s="400" t="s">
        <v>680</v>
      </c>
      <c r="N165" s="468">
        <v>51</v>
      </c>
      <c r="O165" s="392">
        <v>148492</v>
      </c>
      <c r="P165" s="392">
        <v>147885</v>
      </c>
      <c r="Q165" s="389">
        <v>1</v>
      </c>
      <c r="R165" s="494">
        <f>(O165-P165)*Q165</f>
        <v>607</v>
      </c>
      <c r="S165" s="469">
        <v>0</v>
      </c>
      <c r="T165" s="394">
        <f>IF((R165-S165)&gt;0,(R165-S165),0)</f>
        <v>607</v>
      </c>
      <c r="U165" s="394">
        <v>3505</v>
      </c>
      <c r="V165" s="404">
        <f>T165*U165</f>
        <v>2127535</v>
      </c>
      <c r="W165" s="495" t="s">
        <v>1123</v>
      </c>
    </row>
    <row r="166" spans="1:23" s="135" customFormat="1" ht="31.5" x14ac:dyDescent="0.25">
      <c r="A166" s="385">
        <v>162</v>
      </c>
      <c r="B166" s="386" t="s">
        <v>1612</v>
      </c>
      <c r="C166" s="386" t="s">
        <v>658</v>
      </c>
      <c r="D166" s="386" t="s">
        <v>1548</v>
      </c>
      <c r="E166" s="497">
        <v>38682917</v>
      </c>
      <c r="F166" s="397" t="s">
        <v>319</v>
      </c>
      <c r="G166" s="398" t="s">
        <v>318</v>
      </c>
      <c r="H166" s="389" t="s">
        <v>1209</v>
      </c>
      <c r="I166" s="493"/>
      <c r="J166" s="470">
        <v>2029</v>
      </c>
      <c r="K166" s="390" t="s">
        <v>314</v>
      </c>
      <c r="L166" s="493" t="s">
        <v>145</v>
      </c>
      <c r="M166" s="400" t="s">
        <v>680</v>
      </c>
      <c r="N166" s="468">
        <v>51</v>
      </c>
      <c r="O166" s="392">
        <v>28824</v>
      </c>
      <c r="P166" s="392">
        <v>28517</v>
      </c>
      <c r="Q166" s="389">
        <v>1</v>
      </c>
      <c r="R166" s="494">
        <f>(O166-P166)*Q166</f>
        <v>307</v>
      </c>
      <c r="S166" s="469">
        <v>0</v>
      </c>
      <c r="T166" s="423">
        <f>IF((R166-S166)&gt;0,(R166-S166),0)</f>
        <v>307</v>
      </c>
      <c r="U166" s="394">
        <v>3505</v>
      </c>
      <c r="V166" s="404">
        <f>T166*U166</f>
        <v>1076035</v>
      </c>
      <c r="W166" s="495" t="s">
        <v>1123</v>
      </c>
    </row>
    <row r="167" spans="1:23" s="135" customFormat="1" ht="31.5" x14ac:dyDescent="0.25">
      <c r="A167" s="385">
        <v>163</v>
      </c>
      <c r="B167" s="386" t="s">
        <v>1607</v>
      </c>
      <c r="C167" s="386" t="s">
        <v>658</v>
      </c>
      <c r="D167" s="386" t="s">
        <v>291</v>
      </c>
      <c r="E167" s="497">
        <v>38682917</v>
      </c>
      <c r="F167" s="397" t="s">
        <v>319</v>
      </c>
      <c r="G167" s="398" t="s">
        <v>318</v>
      </c>
      <c r="H167" s="389" t="s">
        <v>1209</v>
      </c>
      <c r="I167" s="493"/>
      <c r="J167" s="470" t="s">
        <v>146</v>
      </c>
      <c r="K167" s="390" t="s">
        <v>314</v>
      </c>
      <c r="L167" s="493" t="s">
        <v>145</v>
      </c>
      <c r="M167" s="400" t="s">
        <v>680</v>
      </c>
      <c r="N167" s="468">
        <v>51</v>
      </c>
      <c r="O167" s="392">
        <v>112427</v>
      </c>
      <c r="P167" s="392">
        <v>109727</v>
      </c>
      <c r="Q167" s="389">
        <v>1</v>
      </c>
      <c r="R167" s="494">
        <f>(O167-P167)*Q167</f>
        <v>2700</v>
      </c>
      <c r="S167" s="469">
        <v>0</v>
      </c>
      <c r="T167" s="423">
        <f>IF((R167-S167)&gt;0,(R167-S167),0)</f>
        <v>2700</v>
      </c>
      <c r="U167" s="394">
        <v>3505</v>
      </c>
      <c r="V167" s="404">
        <f>T167*U167</f>
        <v>9463500</v>
      </c>
      <c r="W167" s="495" t="s">
        <v>1123</v>
      </c>
    </row>
    <row r="168" spans="1:23" s="135" customFormat="1" ht="31.5" x14ac:dyDescent="0.25">
      <c r="A168" s="385">
        <v>164</v>
      </c>
      <c r="B168" s="386" t="s">
        <v>612</v>
      </c>
      <c r="C168" s="386" t="s">
        <v>658</v>
      </c>
      <c r="D168" s="386" t="s">
        <v>950</v>
      </c>
      <c r="E168" s="497"/>
      <c r="F168" s="397" t="s">
        <v>348</v>
      </c>
      <c r="G168" s="398" t="s">
        <v>92</v>
      </c>
      <c r="H168" s="389" t="s">
        <v>1229</v>
      </c>
      <c r="I168" s="493"/>
      <c r="J168" s="470">
        <v>2130</v>
      </c>
      <c r="K168" s="390" t="s">
        <v>314</v>
      </c>
      <c r="L168" s="493" t="s">
        <v>1300</v>
      </c>
      <c r="M168" s="400" t="s">
        <v>326</v>
      </c>
      <c r="N168" s="468">
        <v>59</v>
      </c>
      <c r="O168" s="392">
        <v>159839</v>
      </c>
      <c r="P168" s="392">
        <v>158344</v>
      </c>
      <c r="Q168" s="389">
        <v>1</v>
      </c>
      <c r="R168" s="494">
        <f t="shared" si="35"/>
        <v>1495</v>
      </c>
      <c r="S168" s="469">
        <v>0</v>
      </c>
      <c r="T168" s="423">
        <f t="shared" si="33"/>
        <v>1495</v>
      </c>
      <c r="U168" s="394">
        <v>3505</v>
      </c>
      <c r="V168" s="404">
        <f t="shared" si="34"/>
        <v>5239975</v>
      </c>
      <c r="W168" s="495" t="s">
        <v>1123</v>
      </c>
    </row>
    <row r="169" spans="1:23" s="135" customFormat="1" ht="31.5" x14ac:dyDescent="0.25">
      <c r="A169" s="385">
        <v>165</v>
      </c>
      <c r="B169" s="386" t="s">
        <v>612</v>
      </c>
      <c r="C169" s="386" t="s">
        <v>658</v>
      </c>
      <c r="D169" s="386" t="s">
        <v>93</v>
      </c>
      <c r="E169" s="497"/>
      <c r="F169" s="397" t="s">
        <v>348</v>
      </c>
      <c r="G169" s="398" t="s">
        <v>92</v>
      </c>
      <c r="H169" s="389" t="s">
        <v>1229</v>
      </c>
      <c r="I169" s="493"/>
      <c r="J169" s="470">
        <v>4607</v>
      </c>
      <c r="K169" s="390" t="s">
        <v>314</v>
      </c>
      <c r="L169" s="493" t="s">
        <v>1165</v>
      </c>
      <c r="M169" s="400" t="s">
        <v>326</v>
      </c>
      <c r="N169" s="468">
        <v>59</v>
      </c>
      <c r="O169" s="392">
        <v>161147</v>
      </c>
      <c r="P169" s="392">
        <v>159905</v>
      </c>
      <c r="Q169" s="389">
        <v>1</v>
      </c>
      <c r="R169" s="494">
        <f t="shared" si="35"/>
        <v>1242</v>
      </c>
      <c r="S169" s="469">
        <v>0</v>
      </c>
      <c r="T169" s="423">
        <f t="shared" si="33"/>
        <v>1242</v>
      </c>
      <c r="U169" s="394">
        <v>3505</v>
      </c>
      <c r="V169" s="404">
        <f t="shared" si="34"/>
        <v>4353210</v>
      </c>
      <c r="W169" s="495" t="s">
        <v>1123</v>
      </c>
    </row>
    <row r="170" spans="1:23" s="135" customFormat="1" ht="31.5" x14ac:dyDescent="0.25">
      <c r="A170" s="385">
        <v>166</v>
      </c>
      <c r="B170" s="386" t="s">
        <v>449</v>
      </c>
      <c r="C170" s="386" t="s">
        <v>127</v>
      </c>
      <c r="D170" s="386" t="s">
        <v>1233</v>
      </c>
      <c r="E170" s="497">
        <v>38692555</v>
      </c>
      <c r="F170" s="424" t="s">
        <v>1078</v>
      </c>
      <c r="G170" s="425" t="s">
        <v>1079</v>
      </c>
      <c r="H170" s="389" t="s">
        <v>442</v>
      </c>
      <c r="I170" s="493"/>
      <c r="J170" s="470" t="s">
        <v>128</v>
      </c>
      <c r="K170" s="390" t="s">
        <v>314</v>
      </c>
      <c r="L170" s="493" t="s">
        <v>316</v>
      </c>
      <c r="M170" s="400" t="s">
        <v>315</v>
      </c>
      <c r="N170" s="468">
        <v>60</v>
      </c>
      <c r="O170" s="392">
        <v>6528</v>
      </c>
      <c r="P170" s="392">
        <v>6482</v>
      </c>
      <c r="Q170" s="389">
        <v>40</v>
      </c>
      <c r="R170" s="494">
        <f>(O170-P170)*Q170</f>
        <v>1840</v>
      </c>
      <c r="S170" s="469">
        <v>0</v>
      </c>
      <c r="T170" s="394">
        <f>IF((R170-S170)&gt;0,(R170-S170),0)</f>
        <v>1840</v>
      </c>
      <c r="U170" s="394">
        <v>4169</v>
      </c>
      <c r="V170" s="404">
        <f>T170*U170</f>
        <v>7670960</v>
      </c>
      <c r="W170" s="495" t="s">
        <v>1124</v>
      </c>
    </row>
    <row r="171" spans="1:23" s="135" customFormat="1" x14ac:dyDescent="0.25">
      <c r="A171" s="385">
        <v>167</v>
      </c>
      <c r="B171" s="386" t="s">
        <v>450</v>
      </c>
      <c r="C171" s="386" t="s">
        <v>127</v>
      </c>
      <c r="D171" s="386" t="s">
        <v>443</v>
      </c>
      <c r="E171" s="497">
        <v>38691420</v>
      </c>
      <c r="F171" s="397" t="s">
        <v>126</v>
      </c>
      <c r="G171" s="398" t="s">
        <v>125</v>
      </c>
      <c r="H171" s="389" t="s">
        <v>443</v>
      </c>
      <c r="I171" s="493"/>
      <c r="J171" s="470" t="s">
        <v>124</v>
      </c>
      <c r="K171" s="390" t="s">
        <v>334</v>
      </c>
      <c r="L171" s="493" t="s">
        <v>443</v>
      </c>
      <c r="M171" s="400" t="s">
        <v>313</v>
      </c>
      <c r="N171" s="468">
        <v>60</v>
      </c>
      <c r="O171" s="392">
        <v>41955</v>
      </c>
      <c r="P171" s="392">
        <v>41823</v>
      </c>
      <c r="Q171" s="389">
        <v>1</v>
      </c>
      <c r="R171" s="494">
        <f>(O171-P171)*Q171</f>
        <v>132</v>
      </c>
      <c r="S171" s="469">
        <v>0</v>
      </c>
      <c r="T171" s="394">
        <f>IF((R171-S171)&gt;0,(R171-S171),0)</f>
        <v>132</v>
      </c>
      <c r="U171" s="394">
        <v>4169</v>
      </c>
      <c r="V171" s="404">
        <f>T171*U171</f>
        <v>550308</v>
      </c>
      <c r="W171" s="495" t="s">
        <v>1124</v>
      </c>
    </row>
    <row r="172" spans="1:23" s="135" customFormat="1" ht="31.5" x14ac:dyDescent="0.25">
      <c r="A172" s="385">
        <v>168</v>
      </c>
      <c r="B172" s="386" t="s">
        <v>1030</v>
      </c>
      <c r="C172" s="386" t="s">
        <v>1422</v>
      </c>
      <c r="D172" s="386" t="s">
        <v>1227</v>
      </c>
      <c r="E172" s="497">
        <v>38681888</v>
      </c>
      <c r="F172" s="424" t="s">
        <v>547</v>
      </c>
      <c r="G172" s="427" t="s">
        <v>971</v>
      </c>
      <c r="H172" s="389" t="s">
        <v>1227</v>
      </c>
      <c r="I172" s="493"/>
      <c r="J172" s="470" t="s">
        <v>260</v>
      </c>
      <c r="K172" s="390" t="s">
        <v>314</v>
      </c>
      <c r="L172" s="493" t="s">
        <v>327</v>
      </c>
      <c r="M172" s="400" t="s">
        <v>315</v>
      </c>
      <c r="N172" s="468">
        <v>60</v>
      </c>
      <c r="O172" s="392">
        <v>279814</v>
      </c>
      <c r="P172" s="392">
        <v>277861</v>
      </c>
      <c r="Q172" s="389">
        <v>1</v>
      </c>
      <c r="R172" s="494">
        <f>(O172-P172)*Q172</f>
        <v>1953</v>
      </c>
      <c r="S172" s="469">
        <v>0</v>
      </c>
      <c r="T172" s="394">
        <f>IF((R172-S172)&gt;0,(R172-S172),0)</f>
        <v>1953</v>
      </c>
      <c r="U172" s="394">
        <v>4169</v>
      </c>
      <c r="V172" s="404">
        <f>T172*U172</f>
        <v>8142057</v>
      </c>
      <c r="W172" s="495" t="s">
        <v>1124</v>
      </c>
    </row>
    <row r="173" spans="1:23" s="135" customFormat="1" ht="31.5" x14ac:dyDescent="0.25">
      <c r="A173" s="385">
        <v>169</v>
      </c>
      <c r="B173" s="386" t="s">
        <v>1545</v>
      </c>
      <c r="C173" s="386" t="s">
        <v>1422</v>
      </c>
      <c r="D173" s="386" t="s">
        <v>1227</v>
      </c>
      <c r="E173" s="512"/>
      <c r="F173" s="424" t="s">
        <v>1032</v>
      </c>
      <c r="G173" s="427" t="s">
        <v>725</v>
      </c>
      <c r="H173" s="396" t="s">
        <v>1227</v>
      </c>
      <c r="I173" s="506"/>
      <c r="J173" s="471">
        <v>4973</v>
      </c>
      <c r="K173" s="390" t="s">
        <v>314</v>
      </c>
      <c r="L173" s="493" t="s">
        <v>327</v>
      </c>
      <c r="M173" s="391" t="s">
        <v>315</v>
      </c>
      <c r="N173" s="468">
        <v>60</v>
      </c>
      <c r="O173" s="435">
        <v>155747</v>
      </c>
      <c r="P173" s="435">
        <v>154421</v>
      </c>
      <c r="Q173" s="389">
        <v>1</v>
      </c>
      <c r="R173" s="494">
        <f>(O173-P173)*Q173</f>
        <v>1326</v>
      </c>
      <c r="S173" s="469">
        <v>0</v>
      </c>
      <c r="T173" s="394">
        <f>IF((R173-S173)&gt;0,(R173-S173),0)</f>
        <v>1326</v>
      </c>
      <c r="U173" s="394">
        <v>4169</v>
      </c>
      <c r="V173" s="404">
        <f>T173*U173</f>
        <v>5528094</v>
      </c>
      <c r="W173" s="495" t="s">
        <v>1124</v>
      </c>
    </row>
    <row r="174" spans="1:23" s="135" customFormat="1" ht="31.5" x14ac:dyDescent="0.25">
      <c r="A174" s="385">
        <v>170</v>
      </c>
      <c r="B174" s="386" t="s">
        <v>998</v>
      </c>
      <c r="C174" s="386" t="s">
        <v>1247</v>
      </c>
      <c r="D174" s="386" t="s">
        <v>961</v>
      </c>
      <c r="E174" s="497"/>
      <c r="F174" s="397" t="s">
        <v>339</v>
      </c>
      <c r="G174" s="398" t="s">
        <v>338</v>
      </c>
      <c r="H174" s="389" t="s">
        <v>56</v>
      </c>
      <c r="I174" s="493"/>
      <c r="J174" s="470">
        <v>6266</v>
      </c>
      <c r="K174" s="390" t="s">
        <v>334</v>
      </c>
      <c r="L174" s="493" t="s">
        <v>336</v>
      </c>
      <c r="M174" s="400" t="s">
        <v>56</v>
      </c>
      <c r="N174" s="468">
        <v>61</v>
      </c>
      <c r="O174" s="392">
        <v>39536</v>
      </c>
      <c r="P174" s="392">
        <v>38171</v>
      </c>
      <c r="Q174" s="389">
        <v>1</v>
      </c>
      <c r="R174" s="494">
        <f t="shared" ref="R174:R179" si="36">(O174-P174)*Q174</f>
        <v>1365</v>
      </c>
      <c r="S174" s="469">
        <v>0</v>
      </c>
      <c r="T174" s="394">
        <f t="shared" ref="T174:T179" si="37">IF((R174-S174)&gt;0,(R174-S174),0)</f>
        <v>1365</v>
      </c>
      <c r="U174" s="394">
        <v>4169</v>
      </c>
      <c r="V174" s="404">
        <f t="shared" ref="V174:V179" si="38">T174*U174</f>
        <v>5690685</v>
      </c>
      <c r="W174" s="495" t="s">
        <v>1123</v>
      </c>
    </row>
    <row r="175" spans="1:23" s="135" customFormat="1" ht="31.5" x14ac:dyDescent="0.25">
      <c r="A175" s="385">
        <v>171</v>
      </c>
      <c r="B175" s="386" t="s">
        <v>995</v>
      </c>
      <c r="C175" s="386" t="s">
        <v>1247</v>
      </c>
      <c r="D175" s="386" t="s">
        <v>1082</v>
      </c>
      <c r="E175" s="497"/>
      <c r="F175" s="397" t="s">
        <v>339</v>
      </c>
      <c r="G175" s="398" t="s">
        <v>338</v>
      </c>
      <c r="H175" s="389" t="s">
        <v>56</v>
      </c>
      <c r="I175" s="493"/>
      <c r="J175" s="470" t="s">
        <v>341</v>
      </c>
      <c r="K175" s="390" t="s">
        <v>334</v>
      </c>
      <c r="L175" s="493" t="s">
        <v>336</v>
      </c>
      <c r="M175" s="400" t="s">
        <v>56</v>
      </c>
      <c r="N175" s="468">
        <v>61</v>
      </c>
      <c r="O175" s="392">
        <v>97279</v>
      </c>
      <c r="P175" s="392">
        <v>96937</v>
      </c>
      <c r="Q175" s="389">
        <v>1</v>
      </c>
      <c r="R175" s="494">
        <f t="shared" si="36"/>
        <v>342</v>
      </c>
      <c r="S175" s="469">
        <v>0</v>
      </c>
      <c r="T175" s="394">
        <f t="shared" si="37"/>
        <v>342</v>
      </c>
      <c r="U175" s="394">
        <v>4169</v>
      </c>
      <c r="V175" s="404">
        <f t="shared" si="38"/>
        <v>1425798</v>
      </c>
      <c r="W175" s="495" t="s">
        <v>1123</v>
      </c>
    </row>
    <row r="176" spans="1:23" s="135" customFormat="1" ht="31.5" x14ac:dyDescent="0.25">
      <c r="A176" s="385">
        <v>172</v>
      </c>
      <c r="B176" s="386" t="s">
        <v>1139</v>
      </c>
      <c r="C176" s="386" t="s">
        <v>1247</v>
      </c>
      <c r="D176" s="386" t="s">
        <v>1140</v>
      </c>
      <c r="E176" s="497"/>
      <c r="F176" s="397" t="s">
        <v>339</v>
      </c>
      <c r="G176" s="398" t="s">
        <v>338</v>
      </c>
      <c r="H176" s="389" t="s">
        <v>56</v>
      </c>
      <c r="I176" s="493"/>
      <c r="J176" s="470" t="s">
        <v>337</v>
      </c>
      <c r="K176" s="390" t="s">
        <v>334</v>
      </c>
      <c r="L176" s="493" t="s">
        <v>336</v>
      </c>
      <c r="M176" s="400" t="s">
        <v>56</v>
      </c>
      <c r="N176" s="468">
        <v>61</v>
      </c>
      <c r="O176" s="392">
        <v>38685</v>
      </c>
      <c r="P176" s="392">
        <v>38625</v>
      </c>
      <c r="Q176" s="389">
        <v>1</v>
      </c>
      <c r="R176" s="494">
        <f t="shared" si="36"/>
        <v>60</v>
      </c>
      <c r="S176" s="469">
        <v>0</v>
      </c>
      <c r="T176" s="394">
        <f t="shared" si="37"/>
        <v>60</v>
      </c>
      <c r="U176" s="394">
        <v>4169</v>
      </c>
      <c r="V176" s="404">
        <f t="shared" si="38"/>
        <v>250140</v>
      </c>
      <c r="W176" s="495" t="s">
        <v>1122</v>
      </c>
    </row>
    <row r="177" spans="1:23" s="151" customFormat="1" ht="31.5" x14ac:dyDescent="0.25">
      <c r="A177" s="385">
        <v>173</v>
      </c>
      <c r="B177" s="386" t="s">
        <v>1066</v>
      </c>
      <c r="C177" s="386" t="s">
        <v>1247</v>
      </c>
      <c r="D177" s="386" t="s">
        <v>1082</v>
      </c>
      <c r="E177" s="497"/>
      <c r="F177" s="397" t="s">
        <v>339</v>
      </c>
      <c r="G177" s="398" t="s">
        <v>338</v>
      </c>
      <c r="H177" s="389" t="s">
        <v>56</v>
      </c>
      <c r="I177" s="493"/>
      <c r="J177" s="470" t="s">
        <v>390</v>
      </c>
      <c r="K177" s="390" t="s">
        <v>334</v>
      </c>
      <c r="L177" s="493" t="s">
        <v>336</v>
      </c>
      <c r="M177" s="400" t="s">
        <v>56</v>
      </c>
      <c r="N177" s="468">
        <v>61</v>
      </c>
      <c r="O177" s="392">
        <v>59189</v>
      </c>
      <c r="P177" s="392">
        <v>57373</v>
      </c>
      <c r="Q177" s="389">
        <v>1</v>
      </c>
      <c r="R177" s="494">
        <f t="shared" si="36"/>
        <v>1816</v>
      </c>
      <c r="S177" s="469">
        <v>0</v>
      </c>
      <c r="T177" s="394">
        <f t="shared" si="37"/>
        <v>1816</v>
      </c>
      <c r="U177" s="394">
        <v>4169</v>
      </c>
      <c r="V177" s="404">
        <f t="shared" si="38"/>
        <v>7570904</v>
      </c>
      <c r="W177" s="495" t="s">
        <v>1122</v>
      </c>
    </row>
    <row r="178" spans="1:23" s="135" customFormat="1" ht="31.5" x14ac:dyDescent="0.25">
      <c r="A178" s="385">
        <v>174</v>
      </c>
      <c r="B178" s="386" t="s">
        <v>1064</v>
      </c>
      <c r="C178" s="386" t="s">
        <v>1247</v>
      </c>
      <c r="D178" s="386" t="s">
        <v>1081</v>
      </c>
      <c r="E178" s="497"/>
      <c r="F178" s="397" t="s">
        <v>339</v>
      </c>
      <c r="G178" s="398" t="s">
        <v>338</v>
      </c>
      <c r="H178" s="389" t="s">
        <v>56</v>
      </c>
      <c r="I178" s="493"/>
      <c r="J178" s="470" t="s">
        <v>51</v>
      </c>
      <c r="K178" s="390" t="s">
        <v>334</v>
      </c>
      <c r="L178" s="493" t="s">
        <v>336</v>
      </c>
      <c r="M178" s="400" t="s">
        <v>56</v>
      </c>
      <c r="N178" s="468">
        <v>61</v>
      </c>
      <c r="O178" s="392">
        <v>44717</v>
      </c>
      <c r="P178" s="392">
        <v>44583</v>
      </c>
      <c r="Q178" s="389">
        <v>1</v>
      </c>
      <c r="R178" s="494">
        <f t="shared" si="36"/>
        <v>134</v>
      </c>
      <c r="S178" s="469">
        <v>0</v>
      </c>
      <c r="T178" s="394">
        <f t="shared" si="37"/>
        <v>134</v>
      </c>
      <c r="U178" s="394">
        <v>4169</v>
      </c>
      <c r="V178" s="404">
        <f t="shared" si="38"/>
        <v>558646</v>
      </c>
      <c r="W178" s="495" t="s">
        <v>1122</v>
      </c>
    </row>
    <row r="179" spans="1:23" s="135" customFormat="1" ht="31.5" x14ac:dyDescent="0.25">
      <c r="A179" s="385">
        <v>175</v>
      </c>
      <c r="B179" s="386" t="s">
        <v>1065</v>
      </c>
      <c r="C179" s="386" t="s">
        <v>1247</v>
      </c>
      <c r="D179" s="395" t="s">
        <v>961</v>
      </c>
      <c r="E179" s="497"/>
      <c r="F179" s="397" t="s">
        <v>339</v>
      </c>
      <c r="G179" s="398" t="s">
        <v>338</v>
      </c>
      <c r="H179" s="389" t="s">
        <v>56</v>
      </c>
      <c r="I179" s="493"/>
      <c r="J179" s="471">
        <v>3478</v>
      </c>
      <c r="K179" s="390" t="s">
        <v>334</v>
      </c>
      <c r="L179" s="493" t="s">
        <v>336</v>
      </c>
      <c r="M179" s="400" t="s">
        <v>56</v>
      </c>
      <c r="N179" s="468">
        <v>61</v>
      </c>
      <c r="O179" s="392">
        <v>9816</v>
      </c>
      <c r="P179" s="392">
        <v>8919</v>
      </c>
      <c r="Q179" s="389">
        <v>1</v>
      </c>
      <c r="R179" s="494">
        <f t="shared" si="36"/>
        <v>897</v>
      </c>
      <c r="S179" s="469">
        <v>0</v>
      </c>
      <c r="T179" s="394">
        <f t="shared" si="37"/>
        <v>897</v>
      </c>
      <c r="U179" s="394">
        <v>4169</v>
      </c>
      <c r="V179" s="404">
        <f t="shared" si="38"/>
        <v>3739593</v>
      </c>
      <c r="W179" s="495" t="s">
        <v>1122</v>
      </c>
    </row>
    <row r="180" spans="1:23" s="135" customFormat="1" ht="31.5" x14ac:dyDescent="0.25">
      <c r="A180" s="385">
        <v>176</v>
      </c>
      <c r="B180" s="386" t="s">
        <v>1219</v>
      </c>
      <c r="C180" s="386" t="s">
        <v>1247</v>
      </c>
      <c r="D180" s="395" t="s">
        <v>961</v>
      </c>
      <c r="E180" s="497"/>
      <c r="F180" s="397" t="s">
        <v>339</v>
      </c>
      <c r="G180" s="398" t="s">
        <v>338</v>
      </c>
      <c r="H180" s="389" t="s">
        <v>56</v>
      </c>
      <c r="I180" s="493"/>
      <c r="J180" s="470">
        <v>2679</v>
      </c>
      <c r="K180" s="390" t="s">
        <v>334</v>
      </c>
      <c r="L180" s="493" t="s">
        <v>336</v>
      </c>
      <c r="M180" s="400" t="s">
        <v>56</v>
      </c>
      <c r="N180" s="468">
        <v>61</v>
      </c>
      <c r="O180" s="392">
        <v>20395</v>
      </c>
      <c r="P180" s="392">
        <v>19724</v>
      </c>
      <c r="Q180" s="389">
        <v>1</v>
      </c>
      <c r="R180" s="494">
        <f t="shared" ref="R180:R192" si="39">(O180-P180)*Q180</f>
        <v>671</v>
      </c>
      <c r="S180" s="469">
        <v>0</v>
      </c>
      <c r="T180" s="394">
        <f t="shared" ref="T180:T192" si="40">IF((R180-S180)&gt;0,(R180-S180),0)</f>
        <v>671</v>
      </c>
      <c r="U180" s="394">
        <v>4169</v>
      </c>
      <c r="V180" s="404">
        <f t="shared" ref="V180:V192" si="41">T180*U180</f>
        <v>2797399</v>
      </c>
      <c r="W180" s="495" t="s">
        <v>1122</v>
      </c>
    </row>
    <row r="181" spans="1:23" s="135" customFormat="1" ht="31.5" hidden="1" x14ac:dyDescent="0.25">
      <c r="A181" s="538">
        <v>177</v>
      </c>
      <c r="B181" s="539" t="s">
        <v>1445</v>
      </c>
      <c r="C181" s="539" t="s">
        <v>1247</v>
      </c>
      <c r="D181" s="539" t="s">
        <v>458</v>
      </c>
      <c r="E181" s="387"/>
      <c r="F181" s="541" t="s">
        <v>339</v>
      </c>
      <c r="G181" s="542" t="s">
        <v>338</v>
      </c>
      <c r="H181" s="546" t="s">
        <v>56</v>
      </c>
      <c r="I181" s="389"/>
      <c r="J181" s="413"/>
      <c r="K181" s="544" t="s">
        <v>334</v>
      </c>
      <c r="L181" s="389" t="s">
        <v>44</v>
      </c>
      <c r="M181" s="400" t="s">
        <v>56</v>
      </c>
      <c r="N181" s="389">
        <v>61</v>
      </c>
      <c r="O181" s="545">
        <v>0</v>
      </c>
      <c r="P181" s="545">
        <v>0</v>
      </c>
      <c r="Q181" s="546">
        <v>1</v>
      </c>
      <c r="R181" s="393">
        <f>(O181-P181)*Q181</f>
        <v>0</v>
      </c>
      <c r="S181" s="394">
        <v>0</v>
      </c>
      <c r="T181" s="547">
        <f>IF((R181-S181)&gt;0,(R181-S181),0)</f>
        <v>0</v>
      </c>
      <c r="U181" s="547">
        <v>4169</v>
      </c>
      <c r="V181" s="550">
        <f>T181*U181</f>
        <v>0</v>
      </c>
      <c r="W181" s="39" t="s">
        <v>1122</v>
      </c>
    </row>
    <row r="182" spans="1:23" s="135" customFormat="1" ht="31.5" x14ac:dyDescent="0.25">
      <c r="A182" s="385">
        <v>178</v>
      </c>
      <c r="B182" s="386" t="s">
        <v>1225</v>
      </c>
      <c r="C182" s="386" t="s">
        <v>1247</v>
      </c>
      <c r="D182" s="386"/>
      <c r="E182" s="492"/>
      <c r="F182" s="397" t="s">
        <v>339</v>
      </c>
      <c r="G182" s="398" t="s">
        <v>338</v>
      </c>
      <c r="H182" s="389" t="s">
        <v>56</v>
      </c>
      <c r="I182" s="493"/>
      <c r="J182" s="477">
        <v>5960</v>
      </c>
      <c r="K182" s="390" t="s">
        <v>314</v>
      </c>
      <c r="L182" s="493" t="s">
        <v>659</v>
      </c>
      <c r="M182" s="400" t="s">
        <v>56</v>
      </c>
      <c r="N182" s="468">
        <v>61</v>
      </c>
      <c r="O182" s="392">
        <v>176145</v>
      </c>
      <c r="P182" s="392">
        <v>173037</v>
      </c>
      <c r="Q182" s="389">
        <v>1</v>
      </c>
      <c r="R182" s="494">
        <f t="shared" si="39"/>
        <v>3108</v>
      </c>
      <c r="S182" s="469">
        <v>0</v>
      </c>
      <c r="T182" s="394">
        <f t="shared" si="40"/>
        <v>3108</v>
      </c>
      <c r="U182" s="394">
        <v>3505</v>
      </c>
      <c r="V182" s="404">
        <f t="shared" si="41"/>
        <v>10893540</v>
      </c>
      <c r="W182" s="495" t="s">
        <v>1122</v>
      </c>
    </row>
    <row r="183" spans="1:23" s="135" customFormat="1" ht="31.5" x14ac:dyDescent="0.25">
      <c r="A183" s="385">
        <v>179</v>
      </c>
      <c r="B183" s="386" t="s">
        <v>994</v>
      </c>
      <c r="C183" s="386" t="s">
        <v>1247</v>
      </c>
      <c r="D183" s="395" t="s">
        <v>586</v>
      </c>
      <c r="E183" s="497"/>
      <c r="F183" s="397" t="s">
        <v>339</v>
      </c>
      <c r="G183" s="398" t="s">
        <v>338</v>
      </c>
      <c r="H183" s="389" t="s">
        <v>1212</v>
      </c>
      <c r="I183" s="493"/>
      <c r="J183" s="471">
        <v>6352</v>
      </c>
      <c r="K183" s="390" t="s">
        <v>314</v>
      </c>
      <c r="L183" s="493" t="s">
        <v>696</v>
      </c>
      <c r="M183" s="400" t="s">
        <v>668</v>
      </c>
      <c r="N183" s="468">
        <v>61</v>
      </c>
      <c r="O183" s="392">
        <v>129854</v>
      </c>
      <c r="P183" s="392">
        <v>129005</v>
      </c>
      <c r="Q183" s="389">
        <v>1</v>
      </c>
      <c r="R183" s="494">
        <f>(O183-P183)*Q183</f>
        <v>849</v>
      </c>
      <c r="S183" s="469">
        <v>0</v>
      </c>
      <c r="T183" s="394">
        <f>IF((R183-S183)&gt;0,(R183-S183),0)</f>
        <v>849</v>
      </c>
      <c r="U183" s="394">
        <v>3505</v>
      </c>
      <c r="V183" s="404">
        <f>T183*U183</f>
        <v>2975745</v>
      </c>
      <c r="W183" s="495" t="s">
        <v>1124</v>
      </c>
    </row>
    <row r="184" spans="1:23" s="135" customFormat="1" ht="31.5" x14ac:dyDescent="0.25">
      <c r="A184" s="385">
        <v>180</v>
      </c>
      <c r="B184" s="386" t="s">
        <v>1223</v>
      </c>
      <c r="C184" s="386" t="s">
        <v>1247</v>
      </c>
      <c r="D184" s="386" t="s">
        <v>52</v>
      </c>
      <c r="E184" s="492"/>
      <c r="F184" s="397" t="s">
        <v>339</v>
      </c>
      <c r="G184" s="398" t="s">
        <v>338</v>
      </c>
      <c r="H184" s="389" t="s">
        <v>1244</v>
      </c>
      <c r="I184" s="493"/>
      <c r="J184" s="477">
        <v>8467</v>
      </c>
      <c r="K184" s="390"/>
      <c r="L184" s="526" t="s">
        <v>55</v>
      </c>
      <c r="M184" s="400" t="s">
        <v>56</v>
      </c>
      <c r="N184" s="468">
        <v>64</v>
      </c>
      <c r="O184" s="392">
        <v>52727</v>
      </c>
      <c r="P184" s="392">
        <v>51883</v>
      </c>
      <c r="Q184" s="389">
        <v>1</v>
      </c>
      <c r="R184" s="494">
        <f t="shared" si="39"/>
        <v>844</v>
      </c>
      <c r="S184" s="469">
        <v>0</v>
      </c>
      <c r="T184" s="394">
        <f t="shared" si="40"/>
        <v>844</v>
      </c>
      <c r="U184" s="394">
        <v>4169</v>
      </c>
      <c r="V184" s="404">
        <f t="shared" si="41"/>
        <v>3518636</v>
      </c>
      <c r="W184" s="495" t="s">
        <v>1123</v>
      </c>
    </row>
    <row r="185" spans="1:23" s="135" customFormat="1" ht="31.5" x14ac:dyDescent="0.25">
      <c r="A185" s="385">
        <v>181</v>
      </c>
      <c r="B185" s="386" t="s">
        <v>1336</v>
      </c>
      <c r="C185" s="386" t="s">
        <v>1247</v>
      </c>
      <c r="D185" s="386" t="s">
        <v>52</v>
      </c>
      <c r="E185" s="492"/>
      <c r="F185" s="397" t="s">
        <v>339</v>
      </c>
      <c r="G185" s="398" t="s">
        <v>338</v>
      </c>
      <c r="H185" s="389" t="s">
        <v>1244</v>
      </c>
      <c r="I185" s="493"/>
      <c r="J185" s="477">
        <v>20465</v>
      </c>
      <c r="K185" s="390" t="s">
        <v>314</v>
      </c>
      <c r="L185" s="526" t="s">
        <v>691</v>
      </c>
      <c r="M185" s="400" t="s">
        <v>56</v>
      </c>
      <c r="N185" s="468">
        <v>64</v>
      </c>
      <c r="O185" s="392">
        <v>106542</v>
      </c>
      <c r="P185" s="392">
        <v>102521</v>
      </c>
      <c r="Q185" s="389">
        <v>1</v>
      </c>
      <c r="R185" s="494">
        <f t="shared" si="39"/>
        <v>4021</v>
      </c>
      <c r="S185" s="478">
        <f>ROUND(R185*0.5, 0)</f>
        <v>2011</v>
      </c>
      <c r="T185" s="423">
        <f t="shared" si="40"/>
        <v>2010</v>
      </c>
      <c r="U185" s="394">
        <v>4169</v>
      </c>
      <c r="V185" s="404">
        <f t="shared" si="41"/>
        <v>8379690</v>
      </c>
      <c r="W185" s="495" t="s">
        <v>1123</v>
      </c>
    </row>
    <row r="186" spans="1:23" s="135" customFormat="1" ht="31.5" x14ac:dyDescent="0.25">
      <c r="A186" s="385">
        <v>182</v>
      </c>
      <c r="B186" s="386" t="s">
        <v>1527</v>
      </c>
      <c r="C186" s="386" t="s">
        <v>1247</v>
      </c>
      <c r="D186" s="386" t="s">
        <v>52</v>
      </c>
      <c r="E186" s="492"/>
      <c r="F186" s="397" t="s">
        <v>339</v>
      </c>
      <c r="G186" s="398" t="s">
        <v>338</v>
      </c>
      <c r="H186" s="389" t="s">
        <v>1244</v>
      </c>
      <c r="I186" s="493"/>
      <c r="J186" s="477">
        <v>4722</v>
      </c>
      <c r="K186" s="390"/>
      <c r="L186" s="526" t="s">
        <v>1093</v>
      </c>
      <c r="M186" s="400" t="s">
        <v>56</v>
      </c>
      <c r="N186" s="468">
        <v>64</v>
      </c>
      <c r="O186" s="392">
        <v>31792</v>
      </c>
      <c r="P186" s="392">
        <v>30667</v>
      </c>
      <c r="Q186" s="389">
        <v>1</v>
      </c>
      <c r="R186" s="494">
        <f t="shared" si="39"/>
        <v>1125</v>
      </c>
      <c r="S186" s="469">
        <v>0</v>
      </c>
      <c r="T186" s="394">
        <f t="shared" si="40"/>
        <v>1125</v>
      </c>
      <c r="U186" s="394">
        <v>4169</v>
      </c>
      <c r="V186" s="404">
        <f t="shared" si="41"/>
        <v>4690125</v>
      </c>
      <c r="W186" s="495" t="s">
        <v>1123</v>
      </c>
    </row>
    <row r="187" spans="1:23" s="135" customFormat="1" ht="31.5" x14ac:dyDescent="0.25">
      <c r="A187" s="385">
        <v>183</v>
      </c>
      <c r="B187" s="386" t="s">
        <v>1224</v>
      </c>
      <c r="C187" s="386" t="s">
        <v>1247</v>
      </c>
      <c r="D187" s="386" t="s">
        <v>52</v>
      </c>
      <c r="E187" s="492"/>
      <c r="F187" s="397" t="s">
        <v>339</v>
      </c>
      <c r="G187" s="398" t="s">
        <v>338</v>
      </c>
      <c r="H187" s="389" t="s">
        <v>1244</v>
      </c>
      <c r="I187" s="493"/>
      <c r="J187" s="477">
        <v>6988</v>
      </c>
      <c r="K187" s="390"/>
      <c r="L187" s="526" t="s">
        <v>55</v>
      </c>
      <c r="M187" s="400" t="s">
        <v>56</v>
      </c>
      <c r="N187" s="468">
        <v>64</v>
      </c>
      <c r="O187" s="392">
        <v>33115</v>
      </c>
      <c r="P187" s="392">
        <v>32768</v>
      </c>
      <c r="Q187" s="389">
        <v>1</v>
      </c>
      <c r="R187" s="494">
        <f t="shared" si="39"/>
        <v>347</v>
      </c>
      <c r="S187" s="469">
        <v>0</v>
      </c>
      <c r="T187" s="394">
        <f t="shared" si="40"/>
        <v>347</v>
      </c>
      <c r="U187" s="394">
        <v>4169</v>
      </c>
      <c r="V187" s="404">
        <f t="shared" si="41"/>
        <v>1446643</v>
      </c>
      <c r="W187" s="495" t="s">
        <v>1123</v>
      </c>
    </row>
    <row r="188" spans="1:23" s="135" customFormat="1" ht="31.5" x14ac:dyDescent="0.25">
      <c r="A188" s="385">
        <v>184</v>
      </c>
      <c r="B188" s="386" t="s">
        <v>1222</v>
      </c>
      <c r="C188" s="386" t="s">
        <v>1247</v>
      </c>
      <c r="D188" s="386" t="s">
        <v>1367</v>
      </c>
      <c r="E188" s="492"/>
      <c r="F188" s="397" t="s">
        <v>339</v>
      </c>
      <c r="G188" s="398" t="s">
        <v>338</v>
      </c>
      <c r="H188" s="389" t="s">
        <v>1366</v>
      </c>
      <c r="I188" s="493"/>
      <c r="J188" s="477">
        <v>7444</v>
      </c>
      <c r="K188" s="390" t="s">
        <v>314</v>
      </c>
      <c r="L188" s="526" t="s">
        <v>171</v>
      </c>
      <c r="M188" s="400" t="s">
        <v>332</v>
      </c>
      <c r="N188" s="468">
        <v>64</v>
      </c>
      <c r="O188" s="392">
        <v>28651</v>
      </c>
      <c r="P188" s="392">
        <v>28078</v>
      </c>
      <c r="Q188" s="389">
        <v>1</v>
      </c>
      <c r="R188" s="494">
        <f t="shared" si="39"/>
        <v>573</v>
      </c>
      <c r="S188" s="469">
        <v>0</v>
      </c>
      <c r="T188" s="394">
        <f t="shared" si="40"/>
        <v>573</v>
      </c>
      <c r="U188" s="394">
        <v>4169</v>
      </c>
      <c r="V188" s="404">
        <f t="shared" si="41"/>
        <v>2388837</v>
      </c>
      <c r="W188" s="495" t="s">
        <v>1123</v>
      </c>
    </row>
    <row r="189" spans="1:23" s="135" customFormat="1" ht="31.5" x14ac:dyDescent="0.25">
      <c r="A189" s="385">
        <v>185</v>
      </c>
      <c r="B189" s="386" t="s">
        <v>1380</v>
      </c>
      <c r="C189" s="386" t="s">
        <v>1247</v>
      </c>
      <c r="D189" s="386" t="s">
        <v>52</v>
      </c>
      <c r="E189" s="492"/>
      <c r="F189" s="397" t="s">
        <v>339</v>
      </c>
      <c r="G189" s="398" t="s">
        <v>338</v>
      </c>
      <c r="H189" s="389" t="s">
        <v>1244</v>
      </c>
      <c r="I189" s="493"/>
      <c r="J189" s="477">
        <v>8246</v>
      </c>
      <c r="K189" s="390"/>
      <c r="L189" s="526" t="s">
        <v>1093</v>
      </c>
      <c r="M189" s="400" t="s">
        <v>56</v>
      </c>
      <c r="N189" s="468">
        <v>64</v>
      </c>
      <c r="O189" s="392">
        <v>7695</v>
      </c>
      <c r="P189" s="392">
        <v>7363</v>
      </c>
      <c r="Q189" s="389">
        <v>1</v>
      </c>
      <c r="R189" s="494">
        <f t="shared" si="39"/>
        <v>332</v>
      </c>
      <c r="S189" s="469">
        <v>0</v>
      </c>
      <c r="T189" s="394">
        <f t="shared" si="40"/>
        <v>332</v>
      </c>
      <c r="U189" s="394">
        <v>4169</v>
      </c>
      <c r="V189" s="404">
        <f t="shared" si="41"/>
        <v>1384108</v>
      </c>
      <c r="W189" s="495" t="s">
        <v>1123</v>
      </c>
    </row>
    <row r="190" spans="1:23" s="135" customFormat="1" ht="31.5" x14ac:dyDescent="0.25">
      <c r="A190" s="385">
        <v>186</v>
      </c>
      <c r="B190" s="386" t="s">
        <v>1221</v>
      </c>
      <c r="C190" s="386" t="s">
        <v>1247</v>
      </c>
      <c r="D190" s="386" t="s">
        <v>844</v>
      </c>
      <c r="E190" s="492"/>
      <c r="F190" s="397" t="s">
        <v>339</v>
      </c>
      <c r="G190" s="398" t="s">
        <v>338</v>
      </c>
      <c r="H190" s="389" t="s">
        <v>1244</v>
      </c>
      <c r="I190" s="493"/>
      <c r="J190" s="477">
        <v>7684</v>
      </c>
      <c r="K190" s="390"/>
      <c r="L190" s="526" t="s">
        <v>1205</v>
      </c>
      <c r="M190" s="400" t="s">
        <v>326</v>
      </c>
      <c r="N190" s="468">
        <v>64</v>
      </c>
      <c r="O190" s="392">
        <v>9051</v>
      </c>
      <c r="P190" s="392">
        <v>9004</v>
      </c>
      <c r="Q190" s="389">
        <v>1</v>
      </c>
      <c r="R190" s="494">
        <f t="shared" si="39"/>
        <v>47</v>
      </c>
      <c r="S190" s="469">
        <v>0</v>
      </c>
      <c r="T190" s="394">
        <f t="shared" si="40"/>
        <v>47</v>
      </c>
      <c r="U190" s="394">
        <v>4169</v>
      </c>
      <c r="V190" s="404">
        <f t="shared" si="41"/>
        <v>195943</v>
      </c>
      <c r="W190" s="495" t="s">
        <v>1123</v>
      </c>
    </row>
    <row r="191" spans="1:23" s="135" customFormat="1" ht="31.5" x14ac:dyDescent="0.25">
      <c r="A191" s="385">
        <v>187</v>
      </c>
      <c r="B191" s="386" t="s">
        <v>1220</v>
      </c>
      <c r="C191" s="386" t="s">
        <v>1247</v>
      </c>
      <c r="D191" s="386" t="s">
        <v>844</v>
      </c>
      <c r="E191" s="492"/>
      <c r="F191" s="397" t="s">
        <v>339</v>
      </c>
      <c r="G191" s="398" t="s">
        <v>338</v>
      </c>
      <c r="H191" s="389" t="s">
        <v>1244</v>
      </c>
      <c r="I191" s="493"/>
      <c r="J191" s="477">
        <v>4240</v>
      </c>
      <c r="K191" s="390"/>
      <c r="L191" s="526" t="s">
        <v>1205</v>
      </c>
      <c r="M191" s="400" t="s">
        <v>326</v>
      </c>
      <c r="N191" s="468">
        <v>64</v>
      </c>
      <c r="O191" s="392">
        <v>137382</v>
      </c>
      <c r="P191" s="392">
        <v>136103</v>
      </c>
      <c r="Q191" s="389">
        <v>1</v>
      </c>
      <c r="R191" s="494">
        <f>(O191-P191)*Q191</f>
        <v>1279</v>
      </c>
      <c r="S191" s="478">
        <f>ROUND(R191*0.3, 0)</f>
        <v>384</v>
      </c>
      <c r="T191" s="394">
        <f>IF((R191-S191)&gt;0,(R191-S191),0)</f>
        <v>895</v>
      </c>
      <c r="U191" s="394">
        <v>4169</v>
      </c>
      <c r="V191" s="404">
        <f t="shared" si="41"/>
        <v>3731255</v>
      </c>
      <c r="W191" s="495" t="s">
        <v>1123</v>
      </c>
    </row>
    <row r="192" spans="1:23" s="135" customFormat="1" ht="31.5" hidden="1" x14ac:dyDescent="0.25">
      <c r="A192" s="549">
        <v>188</v>
      </c>
      <c r="B192" s="539" t="s">
        <v>1368</v>
      </c>
      <c r="C192" s="539" t="s">
        <v>1247</v>
      </c>
      <c r="D192" s="539" t="s">
        <v>52</v>
      </c>
      <c r="E192" s="387"/>
      <c r="F192" s="541" t="s">
        <v>339</v>
      </c>
      <c r="G192" s="542" t="s">
        <v>338</v>
      </c>
      <c r="H192" s="546" t="s">
        <v>1244</v>
      </c>
      <c r="I192" s="389"/>
      <c r="J192" s="413">
        <v>6120</v>
      </c>
      <c r="K192" s="544"/>
      <c r="L192" s="390" t="s">
        <v>1093</v>
      </c>
      <c r="M192" s="400" t="s">
        <v>56</v>
      </c>
      <c r="N192" s="389">
        <v>64</v>
      </c>
      <c r="O192" s="545"/>
      <c r="P192" s="545"/>
      <c r="Q192" s="546">
        <v>1</v>
      </c>
      <c r="R192" s="393">
        <f t="shared" si="39"/>
        <v>0</v>
      </c>
      <c r="S192" s="394">
        <v>0</v>
      </c>
      <c r="T192" s="547">
        <f t="shared" si="40"/>
        <v>0</v>
      </c>
      <c r="U192" s="547">
        <v>4169</v>
      </c>
      <c r="V192" s="550">
        <f t="shared" si="41"/>
        <v>0</v>
      </c>
      <c r="W192" s="39" t="s">
        <v>1123</v>
      </c>
    </row>
    <row r="193" spans="1:24" s="135" customFormat="1" ht="31.5" x14ac:dyDescent="0.25">
      <c r="A193" s="385">
        <v>189</v>
      </c>
      <c r="B193" s="386" t="s">
        <v>1337</v>
      </c>
      <c r="C193" s="386" t="s">
        <v>1247</v>
      </c>
      <c r="D193" s="386" t="s">
        <v>52</v>
      </c>
      <c r="E193" s="492"/>
      <c r="F193" s="397" t="s">
        <v>339</v>
      </c>
      <c r="G193" s="398" t="s">
        <v>338</v>
      </c>
      <c r="H193" s="389" t="s">
        <v>1244</v>
      </c>
      <c r="I193" s="493"/>
      <c r="J193" s="477">
        <v>1473</v>
      </c>
      <c r="K193" s="390" t="s">
        <v>314</v>
      </c>
      <c r="L193" s="526" t="s">
        <v>1093</v>
      </c>
      <c r="M193" s="400" t="s">
        <v>56</v>
      </c>
      <c r="N193" s="468">
        <v>64</v>
      </c>
      <c r="O193" s="392">
        <v>489647</v>
      </c>
      <c r="P193" s="392">
        <v>488569</v>
      </c>
      <c r="Q193" s="389">
        <v>1</v>
      </c>
      <c r="R193" s="494">
        <f>(O193-P193)*Q193</f>
        <v>1078</v>
      </c>
      <c r="S193" s="478">
        <f>ROUND(R193*0.5, 0)</f>
        <v>539</v>
      </c>
      <c r="T193" s="394">
        <f>IF((R193-S193)&gt;0,(R193-S193),0)</f>
        <v>539</v>
      </c>
      <c r="U193" s="394">
        <v>4169</v>
      </c>
      <c r="V193" s="404">
        <f>T193*U193</f>
        <v>2247091</v>
      </c>
      <c r="W193" s="495" t="s">
        <v>1123</v>
      </c>
      <c r="X193" s="275">
        <f>V193+V191+V190+V189+V188+V187+V186+V185+V184+V183+V182+V180+V179+V178+V177+V176+V175+V174</f>
        <v>63884778</v>
      </c>
    </row>
    <row r="194" spans="1:24" s="135" customFormat="1" ht="47.25" x14ac:dyDescent="0.25">
      <c r="A194" s="385">
        <v>190</v>
      </c>
      <c r="B194" s="386" t="s">
        <v>1007</v>
      </c>
      <c r="C194" s="386" t="s">
        <v>1117</v>
      </c>
      <c r="D194" s="386" t="s">
        <v>1452</v>
      </c>
      <c r="E194" s="497">
        <v>38683907</v>
      </c>
      <c r="F194" s="397" t="s">
        <v>972</v>
      </c>
      <c r="G194" s="398" t="s">
        <v>973</v>
      </c>
      <c r="H194" s="389" t="s">
        <v>1228</v>
      </c>
      <c r="I194" s="493"/>
      <c r="J194" s="470">
        <v>9278</v>
      </c>
      <c r="K194" s="390" t="s">
        <v>334</v>
      </c>
      <c r="L194" s="493" t="s">
        <v>343</v>
      </c>
      <c r="M194" s="400" t="s">
        <v>332</v>
      </c>
      <c r="N194" s="468">
        <v>65</v>
      </c>
      <c r="O194" s="392">
        <v>228688</v>
      </c>
      <c r="P194" s="392">
        <v>226340</v>
      </c>
      <c r="Q194" s="389">
        <v>1</v>
      </c>
      <c r="R194" s="494">
        <f t="shared" ref="R194:R199" si="42">(O194-P194)*Q194</f>
        <v>2348</v>
      </c>
      <c r="S194" s="469">
        <v>0</v>
      </c>
      <c r="T194" s="394">
        <f t="shared" ref="T194:T202" si="43">IF((R194-S194)&gt;0,(R194-S194),0)</f>
        <v>2348</v>
      </c>
      <c r="U194" s="394">
        <v>4169</v>
      </c>
      <c r="V194" s="404">
        <f t="shared" ref="V194:V202" si="44">T194*U194</f>
        <v>9788812</v>
      </c>
      <c r="W194" s="495" t="s">
        <v>1124</v>
      </c>
    </row>
    <row r="195" spans="1:24" s="135" customFormat="1" ht="31.5" x14ac:dyDescent="0.25">
      <c r="A195" s="385">
        <v>191</v>
      </c>
      <c r="B195" s="386" t="s">
        <v>771</v>
      </c>
      <c r="C195" s="386" t="s">
        <v>1414</v>
      </c>
      <c r="D195" s="386" t="s">
        <v>409</v>
      </c>
      <c r="E195" s="497">
        <v>38683907</v>
      </c>
      <c r="F195" s="397" t="s">
        <v>972</v>
      </c>
      <c r="G195" s="398" t="s">
        <v>973</v>
      </c>
      <c r="H195" s="389" t="s">
        <v>826</v>
      </c>
      <c r="I195" s="493"/>
      <c r="J195" s="470">
        <v>4829</v>
      </c>
      <c r="K195" s="390" t="s">
        <v>334</v>
      </c>
      <c r="L195" s="493" t="s">
        <v>406</v>
      </c>
      <c r="M195" s="400" t="s">
        <v>344</v>
      </c>
      <c r="N195" s="468">
        <v>65</v>
      </c>
      <c r="O195" s="392">
        <v>25150</v>
      </c>
      <c r="P195" s="392">
        <v>24903</v>
      </c>
      <c r="Q195" s="389">
        <v>1</v>
      </c>
      <c r="R195" s="494">
        <f t="shared" si="42"/>
        <v>247</v>
      </c>
      <c r="S195" s="469">
        <v>0</v>
      </c>
      <c r="T195" s="394">
        <f t="shared" si="43"/>
        <v>247</v>
      </c>
      <c r="U195" s="394">
        <v>4169</v>
      </c>
      <c r="V195" s="404">
        <f t="shared" si="44"/>
        <v>1029743</v>
      </c>
      <c r="W195" s="495" t="s">
        <v>1125</v>
      </c>
    </row>
    <row r="196" spans="1:24" s="135" customFormat="1" ht="45.75" customHeight="1" x14ac:dyDescent="0.25">
      <c r="A196" s="385">
        <v>192</v>
      </c>
      <c r="B196" s="386" t="s">
        <v>1006</v>
      </c>
      <c r="C196" s="386" t="s">
        <v>1442</v>
      </c>
      <c r="D196" s="386" t="s">
        <v>1453</v>
      </c>
      <c r="E196" s="503" t="s">
        <v>1450</v>
      </c>
      <c r="F196" s="397" t="s">
        <v>978</v>
      </c>
      <c r="G196" s="388" t="s">
        <v>979</v>
      </c>
      <c r="H196" s="389" t="s">
        <v>1228</v>
      </c>
      <c r="I196" s="493"/>
      <c r="J196" s="470" t="s">
        <v>98</v>
      </c>
      <c r="K196" s="390" t="s">
        <v>334</v>
      </c>
      <c r="L196" s="493" t="s">
        <v>370</v>
      </c>
      <c r="M196" s="400" t="s">
        <v>332</v>
      </c>
      <c r="N196" s="468">
        <v>65</v>
      </c>
      <c r="O196" s="392">
        <v>272595</v>
      </c>
      <c r="P196" s="392">
        <v>269671</v>
      </c>
      <c r="Q196" s="389">
        <v>1</v>
      </c>
      <c r="R196" s="494">
        <f t="shared" si="42"/>
        <v>2924</v>
      </c>
      <c r="S196" s="469">
        <v>0</v>
      </c>
      <c r="T196" s="394">
        <f t="shared" si="43"/>
        <v>2924</v>
      </c>
      <c r="U196" s="394">
        <v>4169</v>
      </c>
      <c r="V196" s="404">
        <f t="shared" si="44"/>
        <v>12190156</v>
      </c>
      <c r="W196" s="495" t="s">
        <v>1124</v>
      </c>
    </row>
    <row r="197" spans="1:24" s="135" customFormat="1" ht="39" customHeight="1" x14ac:dyDescent="0.25">
      <c r="A197" s="385">
        <v>193</v>
      </c>
      <c r="B197" s="386" t="s">
        <v>1531</v>
      </c>
      <c r="C197" s="386" t="s">
        <v>1415</v>
      </c>
      <c r="D197" s="386" t="s">
        <v>409</v>
      </c>
      <c r="E197" s="503" t="s">
        <v>974</v>
      </c>
      <c r="F197" s="397" t="s">
        <v>978</v>
      </c>
      <c r="G197" s="388" t="s">
        <v>979</v>
      </c>
      <c r="H197" s="389" t="s">
        <v>826</v>
      </c>
      <c r="I197" s="493"/>
      <c r="J197" s="470">
        <v>50952</v>
      </c>
      <c r="K197" s="390" t="s">
        <v>334</v>
      </c>
      <c r="L197" s="493" t="s">
        <v>406</v>
      </c>
      <c r="M197" s="400" t="s">
        <v>344</v>
      </c>
      <c r="N197" s="468">
        <v>65</v>
      </c>
      <c r="O197" s="392">
        <v>11280</v>
      </c>
      <c r="P197" s="392">
        <v>10770</v>
      </c>
      <c r="Q197" s="389">
        <v>1</v>
      </c>
      <c r="R197" s="494">
        <f t="shared" si="42"/>
        <v>510</v>
      </c>
      <c r="S197" s="469">
        <v>0</v>
      </c>
      <c r="T197" s="394">
        <f t="shared" si="43"/>
        <v>510</v>
      </c>
      <c r="U197" s="394">
        <v>4169</v>
      </c>
      <c r="V197" s="404">
        <f t="shared" si="44"/>
        <v>2126190</v>
      </c>
      <c r="W197" s="495" t="s">
        <v>1125</v>
      </c>
    </row>
    <row r="198" spans="1:24" s="135" customFormat="1" ht="31.5" x14ac:dyDescent="0.25">
      <c r="A198" s="385">
        <v>194</v>
      </c>
      <c r="B198" s="386" t="s">
        <v>1008</v>
      </c>
      <c r="C198" s="386" t="s">
        <v>762</v>
      </c>
      <c r="D198" s="386" t="s">
        <v>409</v>
      </c>
      <c r="E198" s="497">
        <v>39447683</v>
      </c>
      <c r="F198" s="397" t="s">
        <v>732</v>
      </c>
      <c r="G198" s="388" t="s">
        <v>733</v>
      </c>
      <c r="H198" s="389" t="s">
        <v>826</v>
      </c>
      <c r="I198" s="493"/>
      <c r="J198" s="470">
        <v>6156</v>
      </c>
      <c r="K198" s="390" t="s">
        <v>334</v>
      </c>
      <c r="L198" s="493" t="s">
        <v>826</v>
      </c>
      <c r="M198" s="400" t="s">
        <v>344</v>
      </c>
      <c r="N198" s="468">
        <v>65</v>
      </c>
      <c r="O198" s="392">
        <v>14198</v>
      </c>
      <c r="P198" s="392">
        <v>13968</v>
      </c>
      <c r="Q198" s="389">
        <v>1</v>
      </c>
      <c r="R198" s="494">
        <f t="shared" si="42"/>
        <v>230</v>
      </c>
      <c r="S198" s="469">
        <v>0</v>
      </c>
      <c r="T198" s="394">
        <f t="shared" si="43"/>
        <v>230</v>
      </c>
      <c r="U198" s="394">
        <v>4169</v>
      </c>
      <c r="V198" s="404">
        <f t="shared" si="44"/>
        <v>958870</v>
      </c>
      <c r="W198" s="495" t="s">
        <v>1125</v>
      </c>
    </row>
    <row r="199" spans="1:24" s="135" customFormat="1" x14ac:dyDescent="0.25">
      <c r="A199" s="385">
        <v>195</v>
      </c>
      <c r="B199" s="386" t="s">
        <v>1517</v>
      </c>
      <c r="C199" s="386" t="s">
        <v>1043</v>
      </c>
      <c r="D199" s="395" t="s">
        <v>1310</v>
      </c>
      <c r="E199" s="512"/>
      <c r="F199" s="397" t="s">
        <v>653</v>
      </c>
      <c r="G199" s="398" t="s">
        <v>635</v>
      </c>
      <c r="H199" s="396" t="s">
        <v>332</v>
      </c>
      <c r="I199" s="506"/>
      <c r="J199" s="471">
        <v>2360</v>
      </c>
      <c r="K199" s="390" t="s">
        <v>334</v>
      </c>
      <c r="L199" s="506" t="s">
        <v>1419</v>
      </c>
      <c r="M199" s="391" t="s">
        <v>332</v>
      </c>
      <c r="N199" s="474">
        <v>95</v>
      </c>
      <c r="O199" s="392">
        <v>82800</v>
      </c>
      <c r="P199" s="392">
        <v>80493</v>
      </c>
      <c r="Q199" s="389">
        <v>1</v>
      </c>
      <c r="R199" s="494">
        <f t="shared" si="42"/>
        <v>2307</v>
      </c>
      <c r="S199" s="469">
        <v>0</v>
      </c>
      <c r="T199" s="394">
        <f t="shared" si="43"/>
        <v>2307</v>
      </c>
      <c r="U199" s="394">
        <v>4169</v>
      </c>
      <c r="V199" s="404">
        <f t="shared" si="44"/>
        <v>9617883</v>
      </c>
      <c r="W199" s="495" t="s">
        <v>1123</v>
      </c>
    </row>
    <row r="200" spans="1:24" s="135" customFormat="1" x14ac:dyDescent="0.25">
      <c r="A200" s="385">
        <v>196</v>
      </c>
      <c r="B200" s="386" t="s">
        <v>1518</v>
      </c>
      <c r="C200" s="386" t="s">
        <v>1043</v>
      </c>
      <c r="D200" s="395" t="s">
        <v>1086</v>
      </c>
      <c r="E200" s="512"/>
      <c r="F200" s="397" t="s">
        <v>653</v>
      </c>
      <c r="G200" s="398" t="s">
        <v>635</v>
      </c>
      <c r="H200" s="396" t="s">
        <v>911</v>
      </c>
      <c r="I200" s="506"/>
      <c r="J200" s="471">
        <v>1861</v>
      </c>
      <c r="K200" s="390" t="s">
        <v>334</v>
      </c>
      <c r="L200" s="506" t="s">
        <v>1416</v>
      </c>
      <c r="M200" s="400" t="s">
        <v>681</v>
      </c>
      <c r="N200" s="474">
        <v>95</v>
      </c>
      <c r="O200" s="392">
        <v>51268</v>
      </c>
      <c r="P200" s="392">
        <v>48457</v>
      </c>
      <c r="Q200" s="389">
        <v>1</v>
      </c>
      <c r="R200" s="528">
        <f>O200-P200</f>
        <v>2811</v>
      </c>
      <c r="S200" s="469">
        <v>0</v>
      </c>
      <c r="T200" s="394">
        <f t="shared" si="43"/>
        <v>2811</v>
      </c>
      <c r="U200" s="394">
        <v>4169</v>
      </c>
      <c r="V200" s="404">
        <f t="shared" si="44"/>
        <v>11719059</v>
      </c>
      <c r="W200" s="495" t="s">
        <v>1122</v>
      </c>
    </row>
    <row r="201" spans="1:24" s="135" customFormat="1" ht="31.5" x14ac:dyDescent="0.25">
      <c r="A201" s="385">
        <v>197</v>
      </c>
      <c r="B201" s="386" t="s">
        <v>946</v>
      </c>
      <c r="C201" s="386" t="s">
        <v>1369</v>
      </c>
      <c r="D201" s="386" t="s">
        <v>1085</v>
      </c>
      <c r="E201" s="496"/>
      <c r="F201" s="402" t="s">
        <v>947</v>
      </c>
      <c r="G201" s="388" t="s">
        <v>948</v>
      </c>
      <c r="H201" s="389" t="s">
        <v>681</v>
      </c>
      <c r="I201" s="493"/>
      <c r="J201" s="470">
        <v>4413</v>
      </c>
      <c r="K201" s="390" t="s">
        <v>334</v>
      </c>
      <c r="L201" s="493" t="s">
        <v>1418</v>
      </c>
      <c r="M201" s="400" t="s">
        <v>681</v>
      </c>
      <c r="N201" s="468">
        <v>95</v>
      </c>
      <c r="O201" s="392">
        <v>37974</v>
      </c>
      <c r="P201" s="392">
        <v>33701</v>
      </c>
      <c r="Q201" s="389">
        <v>1</v>
      </c>
      <c r="R201" s="494">
        <f>(O201-P201)*Q201</f>
        <v>4273</v>
      </c>
      <c r="S201" s="469">
        <v>0</v>
      </c>
      <c r="T201" s="394">
        <f t="shared" si="43"/>
        <v>4273</v>
      </c>
      <c r="U201" s="394">
        <v>4169</v>
      </c>
      <c r="V201" s="404">
        <f t="shared" si="44"/>
        <v>17814137</v>
      </c>
      <c r="W201" s="495" t="s">
        <v>1125</v>
      </c>
    </row>
    <row r="202" spans="1:24" s="135" customFormat="1" ht="78.75" x14ac:dyDescent="0.25">
      <c r="A202" s="385">
        <v>198</v>
      </c>
      <c r="B202" s="436" t="s">
        <v>1515</v>
      </c>
      <c r="C202" s="450" t="s">
        <v>1556</v>
      </c>
      <c r="D202" s="450" t="s">
        <v>1568</v>
      </c>
      <c r="E202" s="527"/>
      <c r="F202" s="450" t="s">
        <v>1556</v>
      </c>
      <c r="G202" s="388" t="s">
        <v>1456</v>
      </c>
      <c r="H202" s="389"/>
      <c r="I202" s="493"/>
      <c r="J202" s="471">
        <v>13833</v>
      </c>
      <c r="K202" s="390" t="s">
        <v>334</v>
      </c>
      <c r="L202" s="493" t="s">
        <v>1417</v>
      </c>
      <c r="M202" s="400" t="s">
        <v>681</v>
      </c>
      <c r="N202" s="468">
        <v>67</v>
      </c>
      <c r="O202" s="392">
        <v>71148</v>
      </c>
      <c r="P202" s="392">
        <v>68944</v>
      </c>
      <c r="Q202" s="389">
        <v>1</v>
      </c>
      <c r="R202" s="494">
        <f>(O202-P202)*Q202</f>
        <v>2204</v>
      </c>
      <c r="S202" s="469">
        <v>0</v>
      </c>
      <c r="T202" s="394">
        <f t="shared" si="43"/>
        <v>2204</v>
      </c>
      <c r="U202" s="394">
        <v>4169</v>
      </c>
      <c r="V202" s="404">
        <f t="shared" si="44"/>
        <v>9188476</v>
      </c>
      <c r="W202" s="495" t="s">
        <v>1122</v>
      </c>
    </row>
    <row r="203" spans="1:24" s="135" customFormat="1" ht="31.5" x14ac:dyDescent="0.25">
      <c r="A203" s="385">
        <v>199</v>
      </c>
      <c r="B203" s="422" t="s">
        <v>1520</v>
      </c>
      <c r="C203" s="422" t="s">
        <v>1520</v>
      </c>
      <c r="D203" s="436" t="s">
        <v>1521</v>
      </c>
      <c r="E203" s="512"/>
      <c r="F203" s="397" t="s">
        <v>1485</v>
      </c>
      <c r="G203" s="437" t="s">
        <v>1484</v>
      </c>
      <c r="H203" s="396" t="s">
        <v>1482</v>
      </c>
      <c r="I203" s="506"/>
      <c r="J203" s="471">
        <v>5846</v>
      </c>
      <c r="K203" s="390"/>
      <c r="L203" s="506" t="s">
        <v>1494</v>
      </c>
      <c r="M203" s="400" t="s">
        <v>1482</v>
      </c>
      <c r="N203" s="468">
        <v>67</v>
      </c>
      <c r="O203" s="459">
        <v>2985</v>
      </c>
      <c r="P203" s="459">
        <v>2740</v>
      </c>
      <c r="Q203" s="389">
        <v>1</v>
      </c>
      <c r="R203" s="494">
        <f t="shared" ref="R203:R215" si="45">(O203-P203)*Q203</f>
        <v>245</v>
      </c>
      <c r="S203" s="469">
        <v>0</v>
      </c>
      <c r="T203" s="394">
        <f t="shared" ref="T203:T221" si="46">IF((R203-S203)&gt;0,(R203-S203),0)</f>
        <v>245</v>
      </c>
      <c r="U203" s="394">
        <v>4169</v>
      </c>
      <c r="V203" s="404">
        <f t="shared" ref="V203:V222" si="47">T203*U203</f>
        <v>1021405</v>
      </c>
      <c r="W203" s="495" t="s">
        <v>1124</v>
      </c>
    </row>
    <row r="204" spans="1:24" s="135" customFormat="1" ht="31.5" x14ac:dyDescent="0.25">
      <c r="A204" s="385">
        <v>200</v>
      </c>
      <c r="B204" s="422" t="s">
        <v>1520</v>
      </c>
      <c r="C204" s="422" t="s">
        <v>1520</v>
      </c>
      <c r="D204" s="436" t="s">
        <v>1521</v>
      </c>
      <c r="E204" s="497"/>
      <c r="F204" s="386" t="s">
        <v>1485</v>
      </c>
      <c r="G204" s="388" t="s">
        <v>1484</v>
      </c>
      <c r="H204" s="389" t="s">
        <v>1482</v>
      </c>
      <c r="I204" s="493"/>
      <c r="J204" s="470">
        <v>5558</v>
      </c>
      <c r="K204" s="390" t="s">
        <v>334</v>
      </c>
      <c r="L204" s="506" t="s">
        <v>1495</v>
      </c>
      <c r="M204" s="400" t="s">
        <v>1482</v>
      </c>
      <c r="N204" s="468">
        <v>67</v>
      </c>
      <c r="O204" s="459">
        <v>8772</v>
      </c>
      <c r="P204" s="459">
        <v>8048</v>
      </c>
      <c r="Q204" s="389">
        <v>1</v>
      </c>
      <c r="R204" s="494">
        <f t="shared" si="45"/>
        <v>724</v>
      </c>
      <c r="S204" s="469">
        <v>0</v>
      </c>
      <c r="T204" s="394">
        <f t="shared" si="46"/>
        <v>724</v>
      </c>
      <c r="U204" s="394">
        <v>4169</v>
      </c>
      <c r="V204" s="404">
        <f t="shared" si="47"/>
        <v>3018356</v>
      </c>
      <c r="W204" s="529" t="s">
        <v>1124</v>
      </c>
    </row>
    <row r="205" spans="1:24" s="135" customFormat="1" ht="31.5" x14ac:dyDescent="0.25">
      <c r="A205" s="385">
        <v>201</v>
      </c>
      <c r="B205" s="422" t="s">
        <v>1458</v>
      </c>
      <c r="C205" s="422" t="s">
        <v>1458</v>
      </c>
      <c r="D205" s="422" t="s">
        <v>1519</v>
      </c>
      <c r="E205" s="497"/>
      <c r="F205" s="386" t="s">
        <v>1459</v>
      </c>
      <c r="G205" s="388" t="s">
        <v>1460</v>
      </c>
      <c r="H205" s="389" t="s">
        <v>1443</v>
      </c>
      <c r="I205" s="493"/>
      <c r="J205" s="470">
        <v>8057</v>
      </c>
      <c r="K205" s="390" t="s">
        <v>334</v>
      </c>
      <c r="L205" s="493" t="s">
        <v>316</v>
      </c>
      <c r="M205" s="400" t="s">
        <v>315</v>
      </c>
      <c r="N205" s="468">
        <v>67</v>
      </c>
      <c r="O205" s="392">
        <v>35671</v>
      </c>
      <c r="P205" s="392">
        <v>33721</v>
      </c>
      <c r="Q205" s="389">
        <v>1</v>
      </c>
      <c r="R205" s="494">
        <f t="shared" si="45"/>
        <v>1950</v>
      </c>
      <c r="S205" s="469">
        <v>0</v>
      </c>
      <c r="T205" s="394">
        <f t="shared" si="46"/>
        <v>1950</v>
      </c>
      <c r="U205" s="394">
        <v>4169</v>
      </c>
      <c r="V205" s="404">
        <f t="shared" si="47"/>
        <v>8129550</v>
      </c>
      <c r="W205" s="495" t="s">
        <v>1124</v>
      </c>
    </row>
    <row r="206" spans="1:24" s="135" customFormat="1" ht="31.5" x14ac:dyDescent="0.25">
      <c r="A206" s="385">
        <v>202</v>
      </c>
      <c r="B206" s="422" t="s">
        <v>1520</v>
      </c>
      <c r="C206" s="422" t="s">
        <v>1520</v>
      </c>
      <c r="D206" s="422" t="s">
        <v>1523</v>
      </c>
      <c r="E206" s="497"/>
      <c r="F206" s="386" t="s">
        <v>1485</v>
      </c>
      <c r="G206" s="388" t="s">
        <v>1484</v>
      </c>
      <c r="H206" s="389" t="s">
        <v>910</v>
      </c>
      <c r="I206" s="493"/>
      <c r="J206" s="470">
        <v>9962</v>
      </c>
      <c r="K206" s="390" t="s">
        <v>334</v>
      </c>
      <c r="L206" s="493" t="s">
        <v>1486</v>
      </c>
      <c r="M206" s="400" t="s">
        <v>681</v>
      </c>
      <c r="N206" s="468">
        <v>68</v>
      </c>
      <c r="O206" s="392">
        <v>9693</v>
      </c>
      <c r="P206" s="392">
        <v>6484</v>
      </c>
      <c r="Q206" s="389">
        <v>1</v>
      </c>
      <c r="R206" s="494">
        <f t="shared" si="45"/>
        <v>3209</v>
      </c>
      <c r="S206" s="469">
        <v>0</v>
      </c>
      <c r="T206" s="394">
        <f t="shared" si="46"/>
        <v>3209</v>
      </c>
      <c r="U206" s="394">
        <v>4169</v>
      </c>
      <c r="V206" s="404">
        <f t="shared" si="47"/>
        <v>13378321</v>
      </c>
      <c r="W206" s="495" t="s">
        <v>1122</v>
      </c>
    </row>
    <row r="207" spans="1:24" s="135" customFormat="1" hidden="1" x14ac:dyDescent="0.25">
      <c r="A207" s="538">
        <v>203</v>
      </c>
      <c r="B207" s="539" t="s">
        <v>975</v>
      </c>
      <c r="C207" s="539" t="s">
        <v>734</v>
      </c>
      <c r="D207" s="539" t="s">
        <v>1317</v>
      </c>
      <c r="E207" s="394"/>
      <c r="F207" s="541" t="s">
        <v>944</v>
      </c>
      <c r="G207" s="569" t="s">
        <v>945</v>
      </c>
      <c r="H207" s="546" t="s">
        <v>1213</v>
      </c>
      <c r="I207" s="389"/>
      <c r="J207" s="403">
        <v>5829</v>
      </c>
      <c r="K207" s="544"/>
      <c r="L207" s="389"/>
      <c r="M207" s="400" t="s">
        <v>668</v>
      </c>
      <c r="N207" s="389">
        <v>68</v>
      </c>
      <c r="O207" s="570">
        <v>73382</v>
      </c>
      <c r="P207" s="570">
        <v>73382</v>
      </c>
      <c r="Q207" s="546">
        <v>1</v>
      </c>
      <c r="R207" s="393">
        <f>(O207-P207)*Q207</f>
        <v>0</v>
      </c>
      <c r="S207" s="394">
        <v>0</v>
      </c>
      <c r="T207" s="547">
        <f>IF((R207-S207)&gt;0,(R207-S207),0)</f>
        <v>0</v>
      </c>
      <c r="U207" s="547">
        <v>4169</v>
      </c>
      <c r="V207" s="550">
        <f>T207*U207</f>
        <v>0</v>
      </c>
      <c r="W207" s="39" t="s">
        <v>1126</v>
      </c>
    </row>
    <row r="208" spans="1:24" s="135" customFormat="1" hidden="1" x14ac:dyDescent="0.25">
      <c r="A208" s="385">
        <v>204</v>
      </c>
      <c r="B208" s="386" t="s">
        <v>1599</v>
      </c>
      <c r="C208" s="386" t="s">
        <v>734</v>
      </c>
      <c r="D208" s="386" t="s">
        <v>1088</v>
      </c>
      <c r="E208" s="394"/>
      <c r="F208" s="386" t="s">
        <v>959</v>
      </c>
      <c r="G208" s="388" t="s">
        <v>960</v>
      </c>
      <c r="H208" s="389" t="s">
        <v>332</v>
      </c>
      <c r="I208" s="389"/>
      <c r="J208" s="403">
        <v>3855</v>
      </c>
      <c r="K208" s="390"/>
      <c r="L208" s="389" t="s">
        <v>1185</v>
      </c>
      <c r="M208" s="400" t="s">
        <v>332</v>
      </c>
      <c r="N208" s="389">
        <v>68</v>
      </c>
      <c r="O208" s="438">
        <v>9120</v>
      </c>
      <c r="P208" s="438">
        <v>9120</v>
      </c>
      <c r="Q208" s="389">
        <v>1</v>
      </c>
      <c r="R208" s="393">
        <f>(O208-P208)*Q208</f>
        <v>0</v>
      </c>
      <c r="S208" s="394">
        <v>0</v>
      </c>
      <c r="T208" s="394">
        <f>IF((R208-S208)&gt;0,(R208-S208),0)</f>
        <v>0</v>
      </c>
      <c r="U208" s="394">
        <v>4169</v>
      </c>
      <c r="V208" s="404">
        <f>T208*U208</f>
        <v>0</v>
      </c>
      <c r="W208" s="39" t="s">
        <v>1126</v>
      </c>
    </row>
    <row r="209" spans="1:23" s="135" customFormat="1" hidden="1" x14ac:dyDescent="0.25">
      <c r="A209" s="371">
        <v>205</v>
      </c>
      <c r="B209" s="386" t="s">
        <v>1598</v>
      </c>
      <c r="C209" s="386" t="s">
        <v>734</v>
      </c>
      <c r="D209" s="395" t="s">
        <v>1085</v>
      </c>
      <c r="E209" s="396"/>
      <c r="F209" s="397" t="s">
        <v>944</v>
      </c>
      <c r="G209" s="437" t="s">
        <v>945</v>
      </c>
      <c r="H209" s="396" t="s">
        <v>681</v>
      </c>
      <c r="I209" s="396"/>
      <c r="J209" s="399">
        <v>4824</v>
      </c>
      <c r="K209" s="390"/>
      <c r="L209" s="396"/>
      <c r="M209" s="400" t="s">
        <v>681</v>
      </c>
      <c r="N209" s="389">
        <v>68</v>
      </c>
      <c r="O209" s="438">
        <v>69960</v>
      </c>
      <c r="P209" s="438">
        <v>69960</v>
      </c>
      <c r="Q209" s="389">
        <v>1</v>
      </c>
      <c r="R209" s="393">
        <f>(O209-P209)*Q209</f>
        <v>0</v>
      </c>
      <c r="S209" s="394">
        <v>0</v>
      </c>
      <c r="T209" s="394">
        <f>IF((R209-S209)&gt;0,(R209-S209),0)</f>
        <v>0</v>
      </c>
      <c r="U209" s="394">
        <v>4169</v>
      </c>
      <c r="V209" s="404">
        <f>T209*U209</f>
        <v>0</v>
      </c>
      <c r="W209" s="39" t="s">
        <v>1126</v>
      </c>
    </row>
    <row r="210" spans="1:23" s="135" customFormat="1" hidden="1" x14ac:dyDescent="0.25">
      <c r="A210" s="385">
        <v>206</v>
      </c>
      <c r="B210" s="386" t="s">
        <v>997</v>
      </c>
      <c r="C210" s="386" t="s">
        <v>734</v>
      </c>
      <c r="D210" s="386" t="s">
        <v>1087</v>
      </c>
      <c r="E210" s="394"/>
      <c r="F210" s="386" t="s">
        <v>959</v>
      </c>
      <c r="G210" s="388" t="s">
        <v>960</v>
      </c>
      <c r="H210" s="389" t="s">
        <v>1208</v>
      </c>
      <c r="I210" s="389"/>
      <c r="J210" s="403">
        <v>3749</v>
      </c>
      <c r="K210" s="390" t="s">
        <v>334</v>
      </c>
      <c r="L210" s="389" t="s">
        <v>1184</v>
      </c>
      <c r="M210" s="400" t="s">
        <v>315</v>
      </c>
      <c r="N210" s="389">
        <v>68</v>
      </c>
      <c r="O210" s="438">
        <v>10975</v>
      </c>
      <c r="P210" s="438">
        <v>10975</v>
      </c>
      <c r="Q210" s="389">
        <v>1</v>
      </c>
      <c r="R210" s="393">
        <f>(O210-P210)*Q210</f>
        <v>0</v>
      </c>
      <c r="S210" s="394">
        <v>0</v>
      </c>
      <c r="T210" s="394">
        <f>IF((R210-S210)&gt;0,(R210-S210),0)</f>
        <v>0</v>
      </c>
      <c r="U210" s="394">
        <v>4169</v>
      </c>
      <c r="V210" s="404">
        <f>T210*U210</f>
        <v>0</v>
      </c>
      <c r="W210" s="246" t="s">
        <v>1126</v>
      </c>
    </row>
    <row r="211" spans="1:23" s="135" customFormat="1" ht="31.5" x14ac:dyDescent="0.25">
      <c r="A211" s="385">
        <v>207</v>
      </c>
      <c r="B211" s="422" t="s">
        <v>1458</v>
      </c>
      <c r="C211" s="422" t="s">
        <v>1458</v>
      </c>
      <c r="D211" s="422" t="s">
        <v>1522</v>
      </c>
      <c r="E211" s="497"/>
      <c r="F211" s="386" t="s">
        <v>1459</v>
      </c>
      <c r="G211" s="388" t="s">
        <v>1460</v>
      </c>
      <c r="H211" s="389" t="s">
        <v>909</v>
      </c>
      <c r="I211" s="493"/>
      <c r="J211" s="470">
        <v>1761</v>
      </c>
      <c r="K211" s="390" t="s">
        <v>334</v>
      </c>
      <c r="L211" s="493" t="s">
        <v>316</v>
      </c>
      <c r="M211" s="400" t="s">
        <v>344</v>
      </c>
      <c r="N211" s="468">
        <v>68</v>
      </c>
      <c r="O211" s="392">
        <v>9087</v>
      </c>
      <c r="P211" s="392">
        <v>8274</v>
      </c>
      <c r="Q211" s="389">
        <v>1</v>
      </c>
      <c r="R211" s="494">
        <f t="shared" si="45"/>
        <v>813</v>
      </c>
      <c r="S211" s="469">
        <v>0</v>
      </c>
      <c r="T211" s="394">
        <f t="shared" si="46"/>
        <v>813</v>
      </c>
      <c r="U211" s="394">
        <v>4169</v>
      </c>
      <c r="V211" s="404">
        <f t="shared" si="47"/>
        <v>3389397</v>
      </c>
      <c r="W211" s="495" t="s">
        <v>1125</v>
      </c>
    </row>
    <row r="212" spans="1:23" s="135" customFormat="1" ht="51" x14ac:dyDescent="0.25">
      <c r="A212" s="385">
        <v>208</v>
      </c>
      <c r="B212" s="395" t="s">
        <v>1240</v>
      </c>
      <c r="C212" s="395" t="s">
        <v>1191</v>
      </c>
      <c r="D212" s="395" t="s">
        <v>1605</v>
      </c>
      <c r="E212" s="530"/>
      <c r="F212" s="395" t="s">
        <v>1192</v>
      </c>
      <c r="G212" s="388" t="s">
        <v>1193</v>
      </c>
      <c r="H212" s="406"/>
      <c r="I212" s="531"/>
      <c r="J212" s="487" t="s">
        <v>1413</v>
      </c>
      <c r="K212" s="390" t="s">
        <v>334</v>
      </c>
      <c r="L212" s="532"/>
      <c r="M212" s="439" t="s">
        <v>1208</v>
      </c>
      <c r="N212" s="488">
        <v>69</v>
      </c>
      <c r="O212" s="392">
        <v>2760</v>
      </c>
      <c r="P212" s="392">
        <v>0</v>
      </c>
      <c r="Q212" s="389">
        <v>1</v>
      </c>
      <c r="R212" s="509">
        <f t="shared" si="45"/>
        <v>2760</v>
      </c>
      <c r="S212" s="476">
        <v>0</v>
      </c>
      <c r="T212" s="394">
        <f t="shared" si="46"/>
        <v>2760</v>
      </c>
      <c r="U212" s="394">
        <v>4169</v>
      </c>
      <c r="V212" s="404">
        <f t="shared" si="47"/>
        <v>11506440</v>
      </c>
      <c r="W212" s="510" t="s">
        <v>1122</v>
      </c>
    </row>
    <row r="213" spans="1:23" s="135" customFormat="1" ht="31.5" x14ac:dyDescent="0.25">
      <c r="A213" s="385">
        <v>209</v>
      </c>
      <c r="B213" s="395" t="s">
        <v>1541</v>
      </c>
      <c r="C213" s="395" t="s">
        <v>1049</v>
      </c>
      <c r="D213" s="395" t="s">
        <v>1544</v>
      </c>
      <c r="E213" s="530"/>
      <c r="F213" s="395"/>
      <c r="G213" s="425" t="s">
        <v>1555</v>
      </c>
      <c r="H213" s="406"/>
      <c r="I213" s="531"/>
      <c r="J213" s="487" t="s">
        <v>1050</v>
      </c>
      <c r="K213" s="390" t="s">
        <v>334</v>
      </c>
      <c r="L213" s="532"/>
      <c r="M213" s="439" t="s">
        <v>344</v>
      </c>
      <c r="N213" s="488">
        <v>70</v>
      </c>
      <c r="O213" s="460">
        <v>553</v>
      </c>
      <c r="P213" s="460">
        <v>0</v>
      </c>
      <c r="Q213" s="389">
        <v>1</v>
      </c>
      <c r="R213" s="509">
        <f t="shared" si="45"/>
        <v>553</v>
      </c>
      <c r="S213" s="476">
        <v>0</v>
      </c>
      <c r="T213" s="394">
        <f t="shared" si="46"/>
        <v>553</v>
      </c>
      <c r="U213" s="394">
        <v>4169</v>
      </c>
      <c r="V213" s="404">
        <f t="shared" si="47"/>
        <v>2305457</v>
      </c>
      <c r="W213" s="510" t="s">
        <v>1126</v>
      </c>
    </row>
    <row r="214" spans="1:23" s="135" customFormat="1" ht="31.5" x14ac:dyDescent="0.25">
      <c r="A214" s="385">
        <v>210</v>
      </c>
      <c r="B214" s="386" t="s">
        <v>1543</v>
      </c>
      <c r="C214" s="386"/>
      <c r="D214" s="386" t="s">
        <v>1186</v>
      </c>
      <c r="E214" s="501"/>
      <c r="F214" s="386" t="s">
        <v>1112</v>
      </c>
      <c r="G214" s="388" t="s">
        <v>1113</v>
      </c>
      <c r="H214" s="389"/>
      <c r="I214" s="507"/>
      <c r="J214" s="472" t="s">
        <v>1114</v>
      </c>
      <c r="K214" s="390" t="s">
        <v>334</v>
      </c>
      <c r="L214" s="507"/>
      <c r="M214" s="409" t="s">
        <v>681</v>
      </c>
      <c r="N214" s="475">
        <v>71</v>
      </c>
      <c r="O214" s="392">
        <v>1180</v>
      </c>
      <c r="P214" s="392">
        <v>0</v>
      </c>
      <c r="Q214" s="389">
        <v>1</v>
      </c>
      <c r="R214" s="509">
        <f t="shared" si="45"/>
        <v>1180</v>
      </c>
      <c r="S214" s="476">
        <v>0</v>
      </c>
      <c r="T214" s="394">
        <f t="shared" si="46"/>
        <v>1180</v>
      </c>
      <c r="U214" s="394">
        <v>4169</v>
      </c>
      <c r="V214" s="404">
        <f t="shared" si="47"/>
        <v>4919420</v>
      </c>
      <c r="W214" s="510" t="s">
        <v>1126</v>
      </c>
    </row>
    <row r="215" spans="1:23" s="135" customFormat="1" ht="31.5" x14ac:dyDescent="0.25">
      <c r="A215" s="385">
        <v>211</v>
      </c>
      <c r="B215" s="422" t="s">
        <v>1594</v>
      </c>
      <c r="C215" s="422" t="s">
        <v>1570</v>
      </c>
      <c r="D215" s="436" t="s">
        <v>1571</v>
      </c>
      <c r="E215" s="497"/>
      <c r="F215" s="386" t="s">
        <v>1572</v>
      </c>
      <c r="G215" s="388" t="s">
        <v>1573</v>
      </c>
      <c r="H215" s="389"/>
      <c r="I215" s="493"/>
      <c r="J215" s="470">
        <v>9735</v>
      </c>
      <c r="K215" s="390" t="s">
        <v>334</v>
      </c>
      <c r="L215" s="506" t="s">
        <v>1574</v>
      </c>
      <c r="M215" s="400" t="s">
        <v>1482</v>
      </c>
      <c r="N215" s="468">
        <v>72</v>
      </c>
      <c r="O215" s="459">
        <v>757</v>
      </c>
      <c r="P215" s="459">
        <v>633</v>
      </c>
      <c r="Q215" s="389">
        <v>1</v>
      </c>
      <c r="R215" s="494">
        <f t="shared" si="45"/>
        <v>124</v>
      </c>
      <c r="S215" s="469">
        <v>0</v>
      </c>
      <c r="T215" s="394">
        <f t="shared" si="46"/>
        <v>124</v>
      </c>
      <c r="U215" s="394">
        <v>4169</v>
      </c>
      <c r="V215" s="404">
        <f t="shared" si="47"/>
        <v>516956</v>
      </c>
      <c r="W215" s="529" t="s">
        <v>1124</v>
      </c>
    </row>
    <row r="216" spans="1:23" s="135" customFormat="1" x14ac:dyDescent="0.25">
      <c r="A216" s="385">
        <v>212</v>
      </c>
      <c r="B216" s="386" t="s">
        <v>1602</v>
      </c>
      <c r="C216" s="386"/>
      <c r="D216" s="395" t="s">
        <v>1595</v>
      </c>
      <c r="E216" s="512"/>
      <c r="F216" s="397" t="s">
        <v>1596</v>
      </c>
      <c r="G216" s="388" t="s">
        <v>1597</v>
      </c>
      <c r="H216" s="396" t="s">
        <v>681</v>
      </c>
      <c r="I216" s="506"/>
      <c r="J216" s="471">
        <v>6957</v>
      </c>
      <c r="K216" s="390" t="s">
        <v>334</v>
      </c>
      <c r="L216" s="506"/>
      <c r="M216" s="400" t="s">
        <v>681</v>
      </c>
      <c r="N216" s="474">
        <v>72</v>
      </c>
      <c r="O216" s="392">
        <v>220</v>
      </c>
      <c r="P216" s="392">
        <v>62</v>
      </c>
      <c r="Q216" s="389">
        <v>1</v>
      </c>
      <c r="R216" s="528">
        <f>O216-P216</f>
        <v>158</v>
      </c>
      <c r="S216" s="469">
        <v>0</v>
      </c>
      <c r="T216" s="394">
        <f t="shared" si="46"/>
        <v>158</v>
      </c>
      <c r="U216" s="394">
        <v>4169</v>
      </c>
      <c r="V216" s="404">
        <f t="shared" si="47"/>
        <v>658702</v>
      </c>
      <c r="W216" s="495" t="s">
        <v>1125</v>
      </c>
    </row>
    <row r="217" spans="1:23" s="135" customFormat="1" x14ac:dyDescent="0.25">
      <c r="A217" s="385">
        <v>213</v>
      </c>
      <c r="B217" s="386" t="s">
        <v>1601</v>
      </c>
      <c r="C217" s="386"/>
      <c r="D217" s="386" t="s">
        <v>1595</v>
      </c>
      <c r="E217" s="496"/>
      <c r="F217" s="402" t="s">
        <v>1596</v>
      </c>
      <c r="G217" s="388" t="s">
        <v>1597</v>
      </c>
      <c r="H217" s="389" t="s">
        <v>681</v>
      </c>
      <c r="I217" s="493"/>
      <c r="J217" s="470">
        <v>1984</v>
      </c>
      <c r="K217" s="390" t="s">
        <v>334</v>
      </c>
      <c r="L217" s="493"/>
      <c r="M217" s="400" t="s">
        <v>681</v>
      </c>
      <c r="N217" s="468">
        <v>72</v>
      </c>
      <c r="O217" s="392">
        <v>459</v>
      </c>
      <c r="P217" s="392">
        <v>99</v>
      </c>
      <c r="Q217" s="389">
        <v>1</v>
      </c>
      <c r="R217" s="494">
        <f>(O217-P217)*Q217</f>
        <v>360</v>
      </c>
      <c r="S217" s="469">
        <v>0</v>
      </c>
      <c r="T217" s="394">
        <f t="shared" si="46"/>
        <v>360</v>
      </c>
      <c r="U217" s="394">
        <v>4169</v>
      </c>
      <c r="V217" s="404">
        <f t="shared" si="47"/>
        <v>1500840</v>
      </c>
      <c r="W217" s="495" t="s">
        <v>1125</v>
      </c>
    </row>
    <row r="218" spans="1:23" s="135" customFormat="1" ht="31.5" hidden="1" x14ac:dyDescent="0.25">
      <c r="A218" s="549">
        <v>214</v>
      </c>
      <c r="B218" s="539" t="s">
        <v>1170</v>
      </c>
      <c r="C218" s="539" t="s">
        <v>1043</v>
      </c>
      <c r="D218" s="571" t="s">
        <v>1258</v>
      </c>
      <c r="E218" s="440"/>
      <c r="F218" s="572" t="s">
        <v>653</v>
      </c>
      <c r="G218" s="573" t="s">
        <v>635</v>
      </c>
      <c r="H218" s="574" t="s">
        <v>1213</v>
      </c>
      <c r="I218" s="440"/>
      <c r="J218" s="441">
        <v>9221</v>
      </c>
      <c r="K218" s="575" t="s">
        <v>334</v>
      </c>
      <c r="L218" s="440" t="s">
        <v>1260</v>
      </c>
      <c r="M218" s="442" t="s">
        <v>668</v>
      </c>
      <c r="N218" s="440" t="s">
        <v>668</v>
      </c>
      <c r="O218" s="545">
        <v>51583</v>
      </c>
      <c r="P218" s="576">
        <v>51583</v>
      </c>
      <c r="Q218" s="566">
        <v>1</v>
      </c>
      <c r="R218" s="430">
        <f>(O218-P218)*Q218</f>
        <v>0</v>
      </c>
      <c r="S218" s="394">
        <v>0</v>
      </c>
      <c r="T218" s="577">
        <f t="shared" si="46"/>
        <v>0</v>
      </c>
      <c r="U218" s="547">
        <v>4169</v>
      </c>
      <c r="V218" s="550">
        <f t="shared" si="47"/>
        <v>0</v>
      </c>
      <c r="W218" s="147" t="s">
        <v>1304</v>
      </c>
    </row>
    <row r="219" spans="1:23" s="135" customFormat="1" ht="31.5" hidden="1" x14ac:dyDescent="0.25">
      <c r="A219" s="371">
        <v>215</v>
      </c>
      <c r="B219" s="386" t="s">
        <v>1170</v>
      </c>
      <c r="C219" s="386" t="s">
        <v>1043</v>
      </c>
      <c r="D219" s="436" t="s">
        <v>1259</v>
      </c>
      <c r="E219" s="440"/>
      <c r="F219" s="424" t="s">
        <v>653</v>
      </c>
      <c r="G219" s="427" t="s">
        <v>635</v>
      </c>
      <c r="H219" s="440" t="s">
        <v>1214</v>
      </c>
      <c r="I219" s="440"/>
      <c r="J219" s="441">
        <v>1736</v>
      </c>
      <c r="K219" s="434" t="s">
        <v>334</v>
      </c>
      <c r="L219" s="440" t="s">
        <v>1261</v>
      </c>
      <c r="M219" s="442" t="s">
        <v>668</v>
      </c>
      <c r="N219" s="440" t="s">
        <v>668</v>
      </c>
      <c r="O219" s="392">
        <v>91531</v>
      </c>
      <c r="P219" s="443">
        <v>91531</v>
      </c>
      <c r="Q219" s="426">
        <v>1</v>
      </c>
      <c r="R219" s="430">
        <f>(O219-P219)*Q219</f>
        <v>0</v>
      </c>
      <c r="S219" s="394">
        <v>0</v>
      </c>
      <c r="T219" s="412">
        <f t="shared" si="46"/>
        <v>0</v>
      </c>
      <c r="U219" s="394">
        <v>4169</v>
      </c>
      <c r="V219" s="404">
        <f t="shared" si="47"/>
        <v>0</v>
      </c>
      <c r="W219" s="147" t="s">
        <v>1304</v>
      </c>
    </row>
    <row r="220" spans="1:23" s="135" customFormat="1" ht="157.5" hidden="1" x14ac:dyDescent="0.25">
      <c r="A220" s="385">
        <v>216</v>
      </c>
      <c r="B220" s="386" t="s">
        <v>1031</v>
      </c>
      <c r="C220" s="386" t="s">
        <v>736</v>
      </c>
      <c r="D220" s="386" t="s">
        <v>1089</v>
      </c>
      <c r="E220" s="401" t="s">
        <v>752</v>
      </c>
      <c r="F220" s="402" t="s">
        <v>1476</v>
      </c>
      <c r="G220" s="444" t="s">
        <v>753</v>
      </c>
      <c r="H220" s="389" t="s">
        <v>1213</v>
      </c>
      <c r="I220" s="389"/>
      <c r="J220" s="403">
        <v>3750</v>
      </c>
      <c r="K220" s="390" t="s">
        <v>334</v>
      </c>
      <c r="L220" s="389" t="s">
        <v>1260</v>
      </c>
      <c r="M220" s="400" t="s">
        <v>668</v>
      </c>
      <c r="N220" s="389" t="s">
        <v>668</v>
      </c>
      <c r="O220" s="392">
        <v>31847</v>
      </c>
      <c r="P220" s="443">
        <v>31847</v>
      </c>
      <c r="Q220" s="389">
        <v>1</v>
      </c>
      <c r="R220" s="393">
        <f>(O220-P220)*Q220</f>
        <v>0</v>
      </c>
      <c r="S220" s="394">
        <v>0</v>
      </c>
      <c r="T220" s="394">
        <f t="shared" si="46"/>
        <v>0</v>
      </c>
      <c r="U220" s="394">
        <v>4169</v>
      </c>
      <c r="V220" s="404">
        <f t="shared" si="47"/>
        <v>0</v>
      </c>
      <c r="W220" s="147" t="s">
        <v>1304</v>
      </c>
    </row>
    <row r="221" spans="1:23" s="135" customFormat="1" ht="157.5" hidden="1" x14ac:dyDescent="0.25">
      <c r="A221" s="371">
        <v>217</v>
      </c>
      <c r="B221" s="386" t="s">
        <v>1538</v>
      </c>
      <c r="C221" s="386" t="s">
        <v>1536</v>
      </c>
      <c r="D221" s="386"/>
      <c r="E221" s="401" t="s">
        <v>1537</v>
      </c>
      <c r="F221" s="402" t="s">
        <v>1540</v>
      </c>
      <c r="G221" s="444" t="s">
        <v>1514</v>
      </c>
      <c r="H221" s="389" t="s">
        <v>1210</v>
      </c>
      <c r="I221" s="389"/>
      <c r="J221" s="403">
        <v>6553</v>
      </c>
      <c r="K221" s="390" t="s">
        <v>334</v>
      </c>
      <c r="L221" s="389" t="s">
        <v>426</v>
      </c>
      <c r="M221" s="400" t="s">
        <v>326</v>
      </c>
      <c r="N221" s="389"/>
      <c r="O221" s="392"/>
      <c r="P221" s="392"/>
      <c r="Q221" s="389">
        <v>1</v>
      </c>
      <c r="R221" s="393">
        <f>(O221-P221)*Q221</f>
        <v>0</v>
      </c>
      <c r="S221" s="394">
        <v>0</v>
      </c>
      <c r="T221" s="394">
        <f t="shared" si="46"/>
        <v>0</v>
      </c>
      <c r="U221" s="394">
        <v>4169</v>
      </c>
      <c r="V221" s="404">
        <f t="shared" si="47"/>
        <v>0</v>
      </c>
      <c r="W221" s="39" t="s">
        <v>1123</v>
      </c>
    </row>
    <row r="222" spans="1:23" s="135" customFormat="1" hidden="1" x14ac:dyDescent="0.25">
      <c r="A222" s="385">
        <v>218</v>
      </c>
      <c r="B222" s="386" t="s">
        <v>1530</v>
      </c>
      <c r="C222" s="386"/>
      <c r="D222" s="386"/>
      <c r="E222" s="401"/>
      <c r="F222" s="402" t="s">
        <v>1600</v>
      </c>
      <c r="G222" s="444"/>
      <c r="H222" s="389" t="s">
        <v>1208</v>
      </c>
      <c r="I222" s="389"/>
      <c r="J222" s="403"/>
      <c r="K222" s="390"/>
      <c r="L222" s="389"/>
      <c r="M222" s="400"/>
      <c r="N222" s="389"/>
      <c r="O222" s="392"/>
      <c r="P222" s="392"/>
      <c r="Q222" s="389"/>
      <c r="R222" s="393"/>
      <c r="S222" s="394"/>
      <c r="T222" s="394"/>
      <c r="U222" s="394"/>
      <c r="V222" s="404">
        <f t="shared" si="47"/>
        <v>0</v>
      </c>
      <c r="W222" s="147" t="s">
        <v>1122</v>
      </c>
    </row>
    <row r="223" spans="1:23" s="135" customFormat="1" x14ac:dyDescent="0.25">
      <c r="A223" s="385">
        <v>219</v>
      </c>
      <c r="B223" s="386" t="s">
        <v>1581</v>
      </c>
      <c r="C223" s="386"/>
      <c r="D223" s="386"/>
      <c r="E223" s="496"/>
      <c r="F223" s="402"/>
      <c r="G223" s="452"/>
      <c r="H223" s="389"/>
      <c r="I223" s="493"/>
      <c r="J223" s="470"/>
      <c r="K223" s="390"/>
      <c r="L223" s="493"/>
      <c r="M223" s="400"/>
      <c r="N223" s="468"/>
      <c r="O223" s="392"/>
      <c r="P223" s="392"/>
      <c r="Q223" s="389"/>
      <c r="R223" s="494"/>
      <c r="S223" s="469"/>
      <c r="T223" s="394"/>
      <c r="U223" s="394"/>
      <c r="V223" s="404"/>
      <c r="W223" s="525"/>
    </row>
    <row r="224" spans="1:23" s="135" customFormat="1" x14ac:dyDescent="0.25">
      <c r="A224" s="385">
        <v>220</v>
      </c>
      <c r="B224" s="386" t="s">
        <v>1614</v>
      </c>
      <c r="C224" s="386"/>
      <c r="D224" s="386"/>
      <c r="E224" s="496"/>
      <c r="F224" s="402"/>
      <c r="G224" s="452"/>
      <c r="H224" s="389"/>
      <c r="I224" s="493"/>
      <c r="J224" s="470"/>
      <c r="K224" s="390"/>
      <c r="L224" s="493"/>
      <c r="M224" s="400"/>
      <c r="N224" s="468"/>
      <c r="O224" s="392"/>
      <c r="P224" s="392"/>
      <c r="Q224" s="389"/>
      <c r="R224" s="494"/>
      <c r="S224" s="469"/>
      <c r="T224" s="394"/>
      <c r="U224" s="394"/>
      <c r="V224" s="404"/>
      <c r="W224" s="525"/>
    </row>
    <row r="225" spans="1:25" s="135" customFormat="1" x14ac:dyDescent="0.25">
      <c r="A225" s="385">
        <v>221</v>
      </c>
      <c r="B225" s="386" t="s">
        <v>1615</v>
      </c>
      <c r="C225" s="386"/>
      <c r="D225" s="386"/>
      <c r="E225" s="496"/>
      <c r="F225" s="402"/>
      <c r="G225" s="452"/>
      <c r="H225" s="389"/>
      <c r="I225" s="493"/>
      <c r="J225" s="470"/>
      <c r="K225" s="390"/>
      <c r="L225" s="493"/>
      <c r="M225" s="400"/>
      <c r="N225" s="468"/>
      <c r="O225" s="392"/>
      <c r="P225" s="392"/>
      <c r="Q225" s="389"/>
      <c r="R225" s="494"/>
      <c r="S225" s="469"/>
      <c r="T225" s="394"/>
      <c r="U225" s="394"/>
      <c r="V225" s="404"/>
      <c r="W225" s="525"/>
    </row>
    <row r="226" spans="1:25" s="135" customFormat="1" x14ac:dyDescent="0.25">
      <c r="A226" s="385">
        <v>222</v>
      </c>
      <c r="B226" s="386" t="s">
        <v>1542</v>
      </c>
      <c r="C226" s="386"/>
      <c r="D226" s="386"/>
      <c r="E226" s="496"/>
      <c r="F226" s="402"/>
      <c r="G226" s="452"/>
      <c r="H226" s="389"/>
      <c r="I226" s="493"/>
      <c r="J226" s="470"/>
      <c r="K226" s="390"/>
      <c r="L226" s="493"/>
      <c r="M226" s="400"/>
      <c r="N226" s="468"/>
      <c r="O226" s="392"/>
      <c r="P226" s="392"/>
      <c r="Q226" s="389"/>
      <c r="R226" s="494"/>
      <c r="S226" s="469"/>
      <c r="T226" s="394"/>
      <c r="U226" s="394"/>
      <c r="V226" s="404"/>
      <c r="W226" s="525"/>
    </row>
    <row r="227" spans="1:25" s="135" customFormat="1" x14ac:dyDescent="0.25">
      <c r="A227" s="385"/>
      <c r="B227" s="406"/>
      <c r="C227" s="445" t="s">
        <v>520</v>
      </c>
      <c r="D227" s="446"/>
      <c r="E227" s="497"/>
      <c r="F227" s="447"/>
      <c r="G227" s="398"/>
      <c r="H227" s="389"/>
      <c r="I227" s="493"/>
      <c r="J227" s="471"/>
      <c r="K227" s="390"/>
      <c r="L227" s="493"/>
      <c r="M227" s="400"/>
      <c r="N227" s="468"/>
      <c r="O227" s="393"/>
      <c r="P227" s="393"/>
      <c r="Q227" s="389"/>
      <c r="R227" s="494">
        <f>SUM(R5:R220)</f>
        <v>738236</v>
      </c>
      <c r="S227" s="469">
        <f>SUM(S5:S220)</f>
        <v>8948</v>
      </c>
      <c r="T227" s="448">
        <f>SUM(T5:T220)</f>
        <v>399994</v>
      </c>
      <c r="U227" s="449"/>
      <c r="V227" s="448">
        <f>SUM(V5:V220)</f>
        <v>1507355636</v>
      </c>
      <c r="W227" s="533"/>
    </row>
    <row r="228" spans="1:25" s="208" customFormat="1" x14ac:dyDescent="0.25">
      <c r="A228" s="453"/>
      <c r="B228" s="222"/>
      <c r="C228" s="454"/>
      <c r="D228" s="454"/>
      <c r="F228" s="455"/>
      <c r="G228" s="456"/>
      <c r="H228" s="457"/>
      <c r="I228" s="211"/>
      <c r="J228" s="212"/>
      <c r="K228" s="458"/>
      <c r="L228" s="214"/>
      <c r="M228" s="215"/>
      <c r="N228" s="211"/>
      <c r="O228" s="216"/>
      <c r="P228" s="216"/>
      <c r="Q228" s="457"/>
      <c r="R228" s="217"/>
      <c r="T228" s="223" t="s">
        <v>1621</v>
      </c>
      <c r="U228" s="223"/>
      <c r="V228" s="223"/>
      <c r="W228" s="221"/>
    </row>
    <row r="229" spans="1:25" s="208" customFormat="1" x14ac:dyDescent="0.25">
      <c r="A229" s="453"/>
      <c r="B229" s="222"/>
      <c r="C229" s="454"/>
      <c r="D229" s="454"/>
      <c r="F229" s="455"/>
      <c r="G229" s="456"/>
      <c r="H229" s="457"/>
      <c r="I229" s="211"/>
      <c r="J229" s="212"/>
      <c r="K229" s="458"/>
      <c r="L229" s="214"/>
      <c r="M229" s="215"/>
      <c r="N229" s="211"/>
      <c r="O229" s="216"/>
      <c r="P229" s="216"/>
      <c r="Q229" s="457"/>
      <c r="R229" s="217"/>
      <c r="T229" s="223" t="s">
        <v>1068</v>
      </c>
      <c r="U229" s="223"/>
      <c r="V229" s="223"/>
      <c r="W229" s="221"/>
    </row>
    <row r="230" spans="1:25" s="208" customFormat="1" x14ac:dyDescent="0.2">
      <c r="A230" s="205"/>
      <c r="B230" s="206"/>
      <c r="C230" s="207"/>
      <c r="D230" s="207"/>
      <c r="F230" s="209"/>
      <c r="G230" s="210"/>
      <c r="H230" s="211"/>
      <c r="I230" s="211"/>
      <c r="J230" s="212"/>
      <c r="K230" s="213"/>
      <c r="L230" s="214"/>
      <c r="M230" s="215"/>
      <c r="N230" s="211"/>
      <c r="O230" s="216"/>
      <c r="P230" s="217"/>
      <c r="Q230" s="211"/>
      <c r="R230" s="217"/>
      <c r="T230" s="217"/>
      <c r="U230" s="224"/>
      <c r="W230" s="225"/>
    </row>
    <row r="231" spans="1:25" s="167" customFormat="1" x14ac:dyDescent="0.2">
      <c r="A231" s="164"/>
      <c r="B231" s="165"/>
      <c r="C231" s="166"/>
      <c r="D231" s="166"/>
      <c r="F231" s="168"/>
      <c r="G231" s="169"/>
      <c r="H231" s="170"/>
      <c r="I231" s="170"/>
      <c r="J231" s="171"/>
      <c r="K231" s="172"/>
      <c r="L231" s="173"/>
      <c r="M231" s="174"/>
      <c r="N231" s="170"/>
      <c r="O231" s="175"/>
      <c r="P231" s="176"/>
      <c r="Q231" s="170"/>
      <c r="R231" s="176"/>
      <c r="T231" s="176"/>
      <c r="U231" s="177"/>
      <c r="W231" s="178"/>
    </row>
    <row r="234" spans="1:25" ht="12.75" x14ac:dyDescent="0.2">
      <c r="A234" s="167"/>
      <c r="B234" s="167"/>
      <c r="C234" s="167"/>
      <c r="D234" s="242"/>
      <c r="E234" s="243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T234" s="167"/>
      <c r="U234" s="167"/>
      <c r="W234" s="167"/>
      <c r="X234" s="23"/>
      <c r="Y234" s="23"/>
    </row>
    <row r="235" spans="1:25" ht="12.75" x14ac:dyDescent="0.2">
      <c r="A235" s="167"/>
      <c r="B235" s="167"/>
      <c r="C235" s="167"/>
      <c r="D235" s="242"/>
      <c r="E235" s="244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T235" s="167"/>
      <c r="U235" s="167"/>
      <c r="W235" s="167"/>
      <c r="X235" s="23"/>
      <c r="Y235" s="23"/>
    </row>
    <row r="236" spans="1:25" ht="12.75" x14ac:dyDescent="0.2">
      <c r="A236" s="167"/>
      <c r="B236" s="167"/>
      <c r="C236" s="167"/>
      <c r="E236" s="244"/>
      <c r="G236" s="245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T236" s="167"/>
      <c r="U236" s="167"/>
      <c r="W236" s="167"/>
      <c r="X236" s="23"/>
      <c r="Y236" s="23"/>
    </row>
    <row r="237" spans="1:25" ht="12.75" x14ac:dyDescent="0.2">
      <c r="A237" s="167"/>
      <c r="B237" s="167"/>
      <c r="C237" s="167"/>
      <c r="E237" s="244"/>
      <c r="G237" s="245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T237" s="167"/>
      <c r="U237" s="167"/>
      <c r="W237" s="167"/>
      <c r="X237" s="23"/>
      <c r="Y237" s="23"/>
    </row>
    <row r="238" spans="1:25" ht="12.75" x14ac:dyDescent="0.2">
      <c r="A238" s="167"/>
      <c r="B238" s="167"/>
      <c r="C238" s="167"/>
      <c r="E238" s="243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T238" s="167"/>
      <c r="U238" s="167"/>
      <c r="W238" s="167"/>
      <c r="X238" s="23"/>
      <c r="Y238" s="23"/>
    </row>
    <row r="239" spans="1:25" ht="12.75" x14ac:dyDescent="0.2">
      <c r="A239" s="167"/>
      <c r="B239" s="167"/>
      <c r="C239" s="167"/>
      <c r="E239" s="244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T239" s="167"/>
      <c r="U239" s="167"/>
      <c r="W239" s="167"/>
      <c r="X239" s="23"/>
      <c r="Y239" s="23"/>
    </row>
    <row r="240" spans="1:25" ht="12.75" x14ac:dyDescent="0.2">
      <c r="A240" s="167"/>
      <c r="B240" s="167"/>
      <c r="C240" s="167"/>
      <c r="E240" s="244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T240" s="167"/>
      <c r="U240" s="167"/>
      <c r="W240" s="167"/>
      <c r="X240" s="23"/>
      <c r="Y240" s="23"/>
    </row>
  </sheetData>
  <sheetProtection formatCells="0" formatColumns="0" formatRows="0" insertColumns="0" insertRows="0" insertHyperlinks="0" deleteColumns="0" deleteRows="0" sort="0" autoFilter="0" pivotTables="0"/>
  <autoFilter ref="A3:W229" xr:uid="{0E330D70-CED1-4169-AEDF-15BB0B40F29F}">
    <filterColumn colId="21">
      <filters blank="1">
        <filter val="(22)"/>
        <filter val="1.021.405"/>
        <filter val="1.029.743"/>
        <filter val="1.038.081"/>
        <filter val="1.040.985"/>
        <filter val="1.076.035"/>
        <filter val="1.200.672"/>
        <filter val="1.258.295"/>
        <filter val="1.331.900"/>
        <filter val="1.384.108"/>
        <filter val="1.425.798"/>
        <filter val="1.446.643"/>
        <filter val="1.463.319"/>
        <filter val="1.472.100"/>
        <filter val="1.486.120"/>
        <filter val="1.500.840"/>
        <filter val="1.507.355.636"/>
        <filter val="1.549.210"/>
        <filter val="1.864.660"/>
        <filter val="10.068.135"/>
        <filter val="10.129.450"/>
        <filter val="10.447.514"/>
        <filter val="10.893.540"/>
        <filter val="106.531.875"/>
        <filter val="108.394"/>
        <filter val="11.506.440"/>
        <filter val="11.719.059"/>
        <filter val="11.744.073"/>
        <filter val="12.048.410"/>
        <filter val="12.077.593"/>
        <filter val="12.190.156"/>
        <filter val="12.273.536"/>
        <filter val="12.754.695"/>
        <filter val="12.757.140"/>
        <filter val="12.886.379"/>
        <filter val="13.231.375"/>
        <filter val="13.340.800"/>
        <filter val="13.378.321"/>
        <filter val="13.782.714"/>
        <filter val="13.795.221"/>
        <filter val="136.695"/>
        <filter val="14.240.815"/>
        <filter val="14.710.485"/>
        <filter val="14.931.300"/>
        <filter val="15.029.245"/>
        <filter val="15.087.611"/>
        <filter val="15.971.439"/>
        <filter val="16.350.825"/>
        <filter val="17.092.900"/>
        <filter val="17.393.068"/>
        <filter val="17.759.940"/>
        <filter val="17.814.137"/>
        <filter val="18.502.022"/>
        <filter val="19.964.480"/>
        <filter val="195.943"/>
        <filter val="2.032.900"/>
        <filter val="2.080.331"/>
        <filter val="2.097.007"/>
        <filter val="2.126.190"/>
        <filter val="2.127.535"/>
        <filter val="2.134.545"/>
        <filter val="2.173.100"/>
        <filter val="2.208.150"/>
        <filter val="2.247.091"/>
        <filter val="2.305.457"/>
        <filter val="2.322.133"/>
        <filter val="2.388.837"/>
        <filter val="2.563.935"/>
        <filter val="2.797.399"/>
        <filter val="2.944.200"/>
        <filter val="2.965.230"/>
        <filter val="2.975.745"/>
        <filter val="20.329.000"/>
        <filter val="20.565.677"/>
        <filter val="20.786.634"/>
        <filter val="21.157.675"/>
        <filter val="22.229.108"/>
        <filter val="22.629.332"/>
        <filter val="23.054.570"/>
        <filter val="23.276.705"/>
        <filter val="24.394.800"/>
        <filter val="25.404.240"/>
        <filter val="25.977.039"/>
        <filter val="250.140"/>
        <filter val="262.875"/>
        <filter val="269.885"/>
        <filter val="27.936.469"/>
        <filter val="28.159.170"/>
        <filter val="29.795.843"/>
        <filter val="3.010.795"/>
        <filter val="3.018.356"/>
        <filter val="3.230.975"/>
        <filter val="3.350.780"/>
        <filter val="3.364.800"/>
        <filter val="3.389.397"/>
        <filter val="3.505.000"/>
        <filter val="3.518.636"/>
        <filter val="3.522.805"/>
        <filter val="3.606.645"/>
        <filter val="3.639.537"/>
        <filter val="3.690.450"/>
        <filter val="3.731.255"/>
        <filter val="3.739.593"/>
        <filter val="3.960.550"/>
        <filter val="332.975"/>
        <filter val="34.957.065"/>
        <filter val="350.500"/>
        <filter val="36.874.805"/>
        <filter val="364.520"/>
        <filter val="37.854.000"/>
        <filter val="38.555.000"/>
        <filter val="4.065.800"/>
        <filter val="4.353.210"/>
        <filter val="4.485.844"/>
        <filter val="4.633.610"/>
        <filter val="4.665.155"/>
        <filter val="4.679.175"/>
        <filter val="4.690.125"/>
        <filter val="4.919.420"/>
        <filter val="4.931.927"/>
        <filter val="438.125"/>
        <filter val="494.205"/>
        <filter val="496.111"/>
        <filter val="5.117.300"/>
        <filter val="5.239.975"/>
        <filter val="5.415.225"/>
        <filter val="5.528.094"/>
        <filter val="5.690.685"/>
        <filter val="51.370.418"/>
        <filter val="516.956"/>
        <filter val="522.245"/>
        <filter val="529.255"/>
        <filter val="539.770"/>
        <filter val="550.308"/>
        <filter val="558.646"/>
        <filter val="595.850"/>
        <filter val="6.245.162"/>
        <filter val="6.253.500"/>
        <filter val="6.449.200"/>
        <filter val="6.716.259"/>
        <filter val="658.702"/>
        <filter val="686.980"/>
        <filter val="7.058.117"/>
        <filter val="7.528.740"/>
        <filter val="7.562.566"/>
        <filter val="7.570.904"/>
        <filter val="7.654.284"/>
        <filter val="7.670.960"/>
        <filter val="7.781.100"/>
        <filter val="704.505"/>
        <filter val="704.561"/>
        <filter val="715.020"/>
        <filter val="792.110"/>
        <filter val="795.635"/>
        <filter val="8.129.550"/>
        <filter val="8.142.057"/>
        <filter val="8.212.215"/>
        <filter val="8.379.690"/>
        <filter val="8.412.000"/>
        <filter val="8.618.795"/>
        <filter val="8.622.300"/>
        <filter val="829.631"/>
        <filter val="871.321"/>
        <filter val="9.188.476"/>
        <filter val="9.438.965"/>
        <filter val="9.463.500"/>
        <filter val="9.533.600"/>
        <filter val="9.580.362"/>
        <filter val="9.617.883"/>
        <filter val="9.788.812"/>
        <filter val="9.982.240"/>
        <filter val="907.795"/>
        <filter val="958.870"/>
      </filters>
    </filterColumn>
    <sortState xmlns:xlrd2="http://schemas.microsoft.com/office/spreadsheetml/2017/richdata2" ref="A4:W204">
      <sortCondition ref="M3:M204"/>
    </sortState>
  </autoFilter>
  <phoneticPr fontId="3" type="noConversion"/>
  <printOptions horizontalCentered="1"/>
  <pageMargins left="0.25" right="0.25" top="0.25" bottom="0.25" header="0.27559055118110198" footer="0.23622047244094499"/>
  <pageSetup paperSize="9" scale="6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39C7-9F06-4642-A86F-D5228889ED1A}">
  <dimension ref="A1:P266"/>
  <sheetViews>
    <sheetView topLeftCell="F55" zoomScale="145" zoomScaleNormal="145" workbookViewId="0">
      <selection activeCell="P77" sqref="P77"/>
    </sheetView>
  </sheetViews>
  <sheetFormatPr defaultRowHeight="12.75" x14ac:dyDescent="0.2"/>
  <cols>
    <col min="1" max="1" width="4.28515625" style="25" bestFit="1" customWidth="1"/>
    <col min="2" max="2" width="62.5703125" style="25" customWidth="1"/>
    <col min="3" max="3" width="63.85546875" style="25" customWidth="1"/>
    <col min="4" max="4" width="42.140625" style="25" bestFit="1" customWidth="1"/>
    <col min="5" max="5" width="15" style="24" customWidth="1"/>
    <col min="6" max="6" width="27.5703125" style="25" bestFit="1" customWidth="1"/>
    <col min="7" max="7" width="13.42578125" style="30" customWidth="1"/>
    <col min="8" max="8" width="9.140625" style="25"/>
    <col min="9" max="9" width="9" style="25" customWidth="1"/>
    <col min="10" max="10" width="10.85546875" style="35" customWidth="1"/>
    <col min="11" max="11" width="9.140625" style="30"/>
    <col min="12" max="12" width="23.42578125" style="25" bestFit="1" customWidth="1"/>
    <col min="13" max="14" width="9.140625" style="30"/>
    <col min="15" max="16384" width="9.140625" style="25"/>
  </cols>
  <sheetData>
    <row r="1" spans="1:16" x14ac:dyDescent="0.2">
      <c r="A1" s="359" t="s">
        <v>872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</row>
    <row r="3" spans="1:16" s="26" customFormat="1" ht="25.5" x14ac:dyDescent="0.2">
      <c r="A3" s="31" t="s">
        <v>272</v>
      </c>
      <c r="B3" s="31" t="s">
        <v>280</v>
      </c>
      <c r="C3" s="31" t="s">
        <v>469</v>
      </c>
      <c r="D3" s="31" t="s">
        <v>281</v>
      </c>
      <c r="E3" s="31" t="s">
        <v>282</v>
      </c>
      <c r="F3" s="31" t="s">
        <v>468</v>
      </c>
      <c r="G3" s="31" t="s">
        <v>283</v>
      </c>
      <c r="H3" s="31" t="s">
        <v>529</v>
      </c>
      <c r="I3" s="31" t="s">
        <v>528</v>
      </c>
      <c r="J3" s="31" t="s">
        <v>271</v>
      </c>
      <c r="K3" s="31" t="s">
        <v>270</v>
      </c>
      <c r="L3" s="31" t="s">
        <v>269</v>
      </c>
      <c r="M3" s="31" t="s">
        <v>284</v>
      </c>
      <c r="N3" s="31" t="s">
        <v>925</v>
      </c>
      <c r="O3" s="31" t="s">
        <v>923</v>
      </c>
      <c r="P3" s="31" t="s">
        <v>924</v>
      </c>
    </row>
    <row r="4" spans="1:16" ht="25.5" x14ac:dyDescent="0.2">
      <c r="A4" s="32">
        <v>1</v>
      </c>
      <c r="B4" s="32" t="s">
        <v>723</v>
      </c>
      <c r="C4" s="32" t="s">
        <v>723</v>
      </c>
      <c r="D4" s="32" t="s">
        <v>462</v>
      </c>
      <c r="E4" s="33">
        <v>36230870</v>
      </c>
      <c r="F4" s="32" t="s">
        <v>719</v>
      </c>
      <c r="G4" s="34" t="s">
        <v>8</v>
      </c>
      <c r="H4" s="32"/>
      <c r="I4" s="32"/>
      <c r="J4" s="34" t="s">
        <v>355</v>
      </c>
      <c r="K4" s="34" t="s">
        <v>334</v>
      </c>
      <c r="L4" s="32" t="s">
        <v>345</v>
      </c>
      <c r="M4" s="34" t="s">
        <v>344</v>
      </c>
      <c r="N4" s="34">
        <v>1</v>
      </c>
      <c r="O4" s="32">
        <v>48551</v>
      </c>
      <c r="P4" s="32">
        <v>48551</v>
      </c>
    </row>
    <row r="5" spans="1:16" ht="25.5" x14ac:dyDescent="0.2">
      <c r="A5" s="32">
        <v>2</v>
      </c>
      <c r="B5" s="32" t="s">
        <v>723</v>
      </c>
      <c r="C5" s="32" t="s">
        <v>723</v>
      </c>
      <c r="D5" s="32" t="s">
        <v>462</v>
      </c>
      <c r="E5" s="33">
        <v>36230870</v>
      </c>
      <c r="F5" s="32" t="s">
        <v>719</v>
      </c>
      <c r="G5" s="34" t="s">
        <v>8</v>
      </c>
      <c r="H5" s="32"/>
      <c r="I5" s="32"/>
      <c r="J5" s="34" t="s">
        <v>346</v>
      </c>
      <c r="K5" s="34" t="s">
        <v>334</v>
      </c>
      <c r="L5" s="32" t="s">
        <v>345</v>
      </c>
      <c r="M5" s="34" t="s">
        <v>344</v>
      </c>
      <c r="N5" s="34">
        <v>1</v>
      </c>
      <c r="O5" s="32">
        <v>48198</v>
      </c>
      <c r="P5" s="32">
        <v>48198</v>
      </c>
    </row>
    <row r="6" spans="1:16" ht="25.5" x14ac:dyDescent="0.2">
      <c r="A6" s="32">
        <v>3</v>
      </c>
      <c r="B6" s="32" t="s">
        <v>723</v>
      </c>
      <c r="C6" s="32" t="s">
        <v>723</v>
      </c>
      <c r="D6" s="32" t="s">
        <v>184</v>
      </c>
      <c r="E6" s="33">
        <v>36230870</v>
      </c>
      <c r="F6" s="32" t="s">
        <v>719</v>
      </c>
      <c r="G6" s="34" t="s">
        <v>8</v>
      </c>
      <c r="H6" s="32"/>
      <c r="I6" s="32"/>
      <c r="J6" s="34" t="s">
        <v>95</v>
      </c>
      <c r="K6" s="34" t="s">
        <v>314</v>
      </c>
      <c r="L6" s="32" t="s">
        <v>183</v>
      </c>
      <c r="M6" s="34" t="s">
        <v>332</v>
      </c>
      <c r="N6" s="34">
        <v>1</v>
      </c>
      <c r="O6" s="32">
        <v>453883</v>
      </c>
      <c r="P6" s="32">
        <v>451798</v>
      </c>
    </row>
    <row r="7" spans="1:16" ht="25.5" x14ac:dyDescent="0.2">
      <c r="A7" s="32">
        <v>4</v>
      </c>
      <c r="B7" s="32" t="s">
        <v>667</v>
      </c>
      <c r="C7" s="32" t="s">
        <v>658</v>
      </c>
      <c r="D7" s="32" t="s">
        <v>371</v>
      </c>
      <c r="E7" s="33"/>
      <c r="F7" s="32" t="s">
        <v>643</v>
      </c>
      <c r="G7" s="34" t="s">
        <v>347</v>
      </c>
      <c r="H7" s="32"/>
      <c r="I7" s="32"/>
      <c r="J7" s="34" t="s">
        <v>84</v>
      </c>
      <c r="K7" s="34" t="s">
        <v>314</v>
      </c>
      <c r="L7" s="32" t="s">
        <v>370</v>
      </c>
      <c r="M7" s="34" t="s">
        <v>332</v>
      </c>
      <c r="N7" s="34">
        <v>1</v>
      </c>
      <c r="O7" s="32">
        <v>99205</v>
      </c>
      <c r="P7" s="32">
        <v>98401</v>
      </c>
    </row>
    <row r="8" spans="1:16" x14ac:dyDescent="0.2">
      <c r="A8" s="32">
        <v>5</v>
      </c>
      <c r="B8" s="32" t="s">
        <v>297</v>
      </c>
      <c r="C8" s="32" t="s">
        <v>658</v>
      </c>
      <c r="D8" s="32" t="s">
        <v>378</v>
      </c>
      <c r="E8" s="33">
        <v>38680003</v>
      </c>
      <c r="F8" s="32" t="s">
        <v>656</v>
      </c>
      <c r="G8" s="34" t="s">
        <v>926</v>
      </c>
      <c r="H8" s="32"/>
      <c r="I8" s="32"/>
      <c r="J8" s="34" t="s">
        <v>101</v>
      </c>
      <c r="K8" s="34" t="s">
        <v>314</v>
      </c>
      <c r="L8" s="32" t="s">
        <v>370</v>
      </c>
      <c r="M8" s="34" t="s">
        <v>332</v>
      </c>
      <c r="N8" s="34">
        <v>1</v>
      </c>
      <c r="O8" s="32">
        <v>56199</v>
      </c>
      <c r="P8" s="32">
        <v>55842</v>
      </c>
    </row>
    <row r="9" spans="1:16" x14ac:dyDescent="0.2">
      <c r="A9" s="32">
        <v>6</v>
      </c>
      <c r="B9" s="32" t="s">
        <v>658</v>
      </c>
      <c r="C9" s="32" t="s">
        <v>658</v>
      </c>
      <c r="D9" s="32" t="s">
        <v>81</v>
      </c>
      <c r="E9" s="33"/>
      <c r="F9" s="32" t="s">
        <v>348</v>
      </c>
      <c r="G9" s="34" t="s">
        <v>92</v>
      </c>
      <c r="H9" s="32"/>
      <c r="I9" s="32"/>
      <c r="J9" s="34" t="s">
        <v>82</v>
      </c>
      <c r="K9" s="34" t="s">
        <v>314</v>
      </c>
      <c r="L9" s="32" t="s">
        <v>83</v>
      </c>
      <c r="M9" s="34" t="s">
        <v>332</v>
      </c>
      <c r="N9" s="34">
        <v>1</v>
      </c>
      <c r="O9" s="32">
        <v>61945</v>
      </c>
      <c r="P9" s="32">
        <v>61623</v>
      </c>
    </row>
    <row r="10" spans="1:16" x14ac:dyDescent="0.2">
      <c r="A10" s="32">
        <v>7</v>
      </c>
      <c r="B10" s="32" t="s">
        <v>658</v>
      </c>
      <c r="C10" s="32" t="s">
        <v>658</v>
      </c>
      <c r="D10" s="32" t="s">
        <v>376</v>
      </c>
      <c r="E10" s="33">
        <v>38683713</v>
      </c>
      <c r="F10" s="32" t="s">
        <v>348</v>
      </c>
      <c r="G10" s="34" t="s">
        <v>92</v>
      </c>
      <c r="H10" s="32"/>
      <c r="I10" s="32"/>
      <c r="J10" s="34" t="s">
        <v>103</v>
      </c>
      <c r="K10" s="34" t="s">
        <v>314</v>
      </c>
      <c r="L10" s="32" t="s">
        <v>370</v>
      </c>
      <c r="M10" s="34" t="s">
        <v>332</v>
      </c>
      <c r="N10" s="34">
        <v>1</v>
      </c>
      <c r="O10" s="32">
        <v>391339</v>
      </c>
      <c r="P10" s="32">
        <v>389910</v>
      </c>
    </row>
    <row r="11" spans="1:16" x14ac:dyDescent="0.2">
      <c r="A11" s="32">
        <v>8</v>
      </c>
      <c r="B11" s="32" t="s">
        <v>612</v>
      </c>
      <c r="C11" s="32" t="s">
        <v>658</v>
      </c>
      <c r="D11" s="32" t="s">
        <v>93</v>
      </c>
      <c r="E11" s="33"/>
      <c r="F11" s="32" t="s">
        <v>348</v>
      </c>
      <c r="G11" s="34" t="s">
        <v>92</v>
      </c>
      <c r="H11" s="32"/>
      <c r="I11" s="32"/>
      <c r="J11" s="34">
        <v>23720</v>
      </c>
      <c r="K11" s="34" t="s">
        <v>314</v>
      </c>
      <c r="L11" s="32" t="s">
        <v>659</v>
      </c>
      <c r="M11" s="34" t="s">
        <v>56</v>
      </c>
      <c r="N11" s="34">
        <v>100</v>
      </c>
      <c r="O11" s="32">
        <v>6879</v>
      </c>
      <c r="P11" s="32">
        <v>6821</v>
      </c>
    </row>
    <row r="12" spans="1:16" x14ac:dyDescent="0.2">
      <c r="A12" s="32">
        <v>9</v>
      </c>
      <c r="B12" s="32" t="s">
        <v>845</v>
      </c>
      <c r="C12" s="32" t="s">
        <v>658</v>
      </c>
      <c r="D12" s="32" t="s">
        <v>215</v>
      </c>
      <c r="E12" s="33"/>
      <c r="F12" s="32" t="s">
        <v>348</v>
      </c>
      <c r="G12" s="34" t="s">
        <v>92</v>
      </c>
      <c r="H12" s="32"/>
      <c r="I12" s="32"/>
      <c r="J12" s="34" t="s">
        <v>214</v>
      </c>
      <c r="K12" s="34" t="s">
        <v>314</v>
      </c>
      <c r="L12" s="32" t="s">
        <v>213</v>
      </c>
      <c r="M12" s="34" t="s">
        <v>326</v>
      </c>
      <c r="N12" s="34">
        <v>1</v>
      </c>
      <c r="O12" s="32">
        <v>579923</v>
      </c>
      <c r="P12" s="32">
        <v>579042</v>
      </c>
    </row>
    <row r="13" spans="1:16" x14ac:dyDescent="0.2">
      <c r="A13" s="32">
        <v>10</v>
      </c>
      <c r="B13" s="32" t="s">
        <v>845</v>
      </c>
      <c r="C13" s="32" t="s">
        <v>658</v>
      </c>
      <c r="D13" s="32" t="s">
        <v>215</v>
      </c>
      <c r="E13" s="33"/>
      <c r="F13" s="32" t="s">
        <v>348</v>
      </c>
      <c r="G13" s="34" t="s">
        <v>92</v>
      </c>
      <c r="H13" s="32"/>
      <c r="I13" s="32"/>
      <c r="J13" s="34">
        <v>2130</v>
      </c>
      <c r="K13" s="34" t="s">
        <v>314</v>
      </c>
      <c r="L13" s="32"/>
      <c r="M13" s="34" t="s">
        <v>326</v>
      </c>
      <c r="N13" s="34">
        <v>1</v>
      </c>
      <c r="O13" s="32">
        <v>47280</v>
      </c>
      <c r="P13" s="32">
        <v>47001</v>
      </c>
    </row>
    <row r="14" spans="1:16" x14ac:dyDescent="0.2">
      <c r="A14" s="32">
        <v>11</v>
      </c>
      <c r="B14" s="32" t="s">
        <v>747</v>
      </c>
      <c r="C14" s="32" t="s">
        <v>658</v>
      </c>
      <c r="D14" s="32" t="s">
        <v>377</v>
      </c>
      <c r="E14" s="33">
        <v>38681016</v>
      </c>
      <c r="F14" s="32" t="s">
        <v>375</v>
      </c>
      <c r="G14" s="34" t="s">
        <v>374</v>
      </c>
      <c r="H14" s="32"/>
      <c r="I14" s="32"/>
      <c r="J14" s="34" t="s">
        <v>102</v>
      </c>
      <c r="K14" s="34" t="s">
        <v>334</v>
      </c>
      <c r="L14" s="32" t="s">
        <v>370</v>
      </c>
      <c r="M14" s="34" t="s">
        <v>332</v>
      </c>
      <c r="N14" s="34">
        <v>1</v>
      </c>
      <c r="O14" s="32">
        <v>175447</v>
      </c>
      <c r="P14" s="32">
        <v>174008</v>
      </c>
    </row>
    <row r="15" spans="1:16" x14ac:dyDescent="0.2">
      <c r="A15" s="32">
        <v>12</v>
      </c>
      <c r="B15" s="32" t="s">
        <v>658</v>
      </c>
      <c r="C15" s="32" t="s">
        <v>658</v>
      </c>
      <c r="D15" s="32" t="s">
        <v>435</v>
      </c>
      <c r="E15" s="33">
        <v>38681016</v>
      </c>
      <c r="F15" s="32" t="s">
        <v>375</v>
      </c>
      <c r="G15" s="34" t="s">
        <v>374</v>
      </c>
      <c r="H15" s="32"/>
      <c r="I15" s="32"/>
      <c r="J15" s="34" t="s">
        <v>104</v>
      </c>
      <c r="K15" s="34" t="s">
        <v>314</v>
      </c>
      <c r="L15" s="32" t="s">
        <v>370</v>
      </c>
      <c r="M15" s="34" t="s">
        <v>332</v>
      </c>
      <c r="N15" s="34">
        <v>1</v>
      </c>
      <c r="O15" s="32">
        <v>188916</v>
      </c>
      <c r="P15" s="32">
        <v>186510</v>
      </c>
    </row>
    <row r="16" spans="1:16" x14ac:dyDescent="0.2">
      <c r="A16" s="32"/>
      <c r="B16" s="32"/>
      <c r="C16" s="32"/>
      <c r="D16" s="32"/>
      <c r="E16" s="33"/>
      <c r="F16" s="32"/>
      <c r="G16" s="34"/>
      <c r="H16" s="32"/>
      <c r="I16" s="32"/>
      <c r="J16" s="34"/>
      <c r="K16" s="34"/>
      <c r="L16" s="32"/>
      <c r="M16" s="34"/>
      <c r="N16" s="34"/>
      <c r="O16" s="32"/>
      <c r="P16" s="32"/>
    </row>
    <row r="17" spans="1:16" x14ac:dyDescent="0.2">
      <c r="A17" s="32"/>
      <c r="B17" s="32"/>
      <c r="C17" s="32"/>
      <c r="D17" s="32"/>
      <c r="E17" s="33"/>
      <c r="F17" s="32"/>
      <c r="G17" s="34"/>
      <c r="H17" s="32"/>
      <c r="I17" s="32"/>
      <c r="J17" s="34"/>
      <c r="K17" s="34"/>
      <c r="L17" s="32"/>
      <c r="M17" s="34"/>
      <c r="N17" s="34"/>
      <c r="O17" s="32"/>
      <c r="P17" s="32"/>
    </row>
    <row r="18" spans="1:16" x14ac:dyDescent="0.2">
      <c r="A18" s="32">
        <v>15</v>
      </c>
      <c r="B18" s="32" t="s">
        <v>396</v>
      </c>
      <c r="C18" s="32" t="s">
        <v>396</v>
      </c>
      <c r="D18" s="32" t="s">
        <v>700</v>
      </c>
      <c r="E18" s="33" t="s">
        <v>621</v>
      </c>
      <c r="F18" s="32" t="s">
        <v>619</v>
      </c>
      <c r="G18" s="34" t="s">
        <v>621</v>
      </c>
      <c r="H18" s="32"/>
      <c r="I18" s="32"/>
      <c r="J18" s="34">
        <v>4936</v>
      </c>
      <c r="K18" s="34" t="s">
        <v>334</v>
      </c>
      <c r="L18" s="32" t="s">
        <v>397</v>
      </c>
      <c r="M18" s="34" t="s">
        <v>332</v>
      </c>
      <c r="N18" s="34">
        <v>1</v>
      </c>
      <c r="O18" s="32">
        <v>24535</v>
      </c>
      <c r="P18" s="32">
        <v>24117</v>
      </c>
    </row>
    <row r="19" spans="1:16" x14ac:dyDescent="0.2">
      <c r="A19" s="32">
        <v>16</v>
      </c>
      <c r="B19" s="32" t="s">
        <v>396</v>
      </c>
      <c r="C19" s="32" t="s">
        <v>396</v>
      </c>
      <c r="D19" s="32" t="s">
        <v>395</v>
      </c>
      <c r="E19" s="33" t="s">
        <v>621</v>
      </c>
      <c r="F19" s="32" t="s">
        <v>620</v>
      </c>
      <c r="G19" s="34" t="s">
        <v>621</v>
      </c>
      <c r="H19" s="32"/>
      <c r="I19" s="32"/>
      <c r="J19" s="34" t="s">
        <v>394</v>
      </c>
      <c r="K19" s="34" t="s">
        <v>314</v>
      </c>
      <c r="L19" s="32" t="s">
        <v>393</v>
      </c>
      <c r="M19" s="34" t="s">
        <v>332</v>
      </c>
      <c r="N19" s="34">
        <v>1</v>
      </c>
      <c r="O19" s="32">
        <v>91236</v>
      </c>
      <c r="P19" s="32">
        <v>90531</v>
      </c>
    </row>
    <row r="20" spans="1:16" x14ac:dyDescent="0.2">
      <c r="A20" s="32">
        <v>17</v>
      </c>
      <c r="B20" s="32" t="s">
        <v>110</v>
      </c>
      <c r="C20" s="32" t="s">
        <v>110</v>
      </c>
      <c r="D20" s="32" t="s">
        <v>111</v>
      </c>
      <c r="E20" s="33"/>
      <c r="F20" s="32" t="s">
        <v>650</v>
      </c>
      <c r="G20" s="34" t="s">
        <v>19</v>
      </c>
      <c r="H20" s="32"/>
      <c r="I20" s="32"/>
      <c r="J20" s="34" t="s">
        <v>229</v>
      </c>
      <c r="K20" s="34" t="s">
        <v>314</v>
      </c>
      <c r="L20" s="32" t="s">
        <v>228</v>
      </c>
      <c r="M20" s="34" t="s">
        <v>681</v>
      </c>
      <c r="N20" s="34">
        <v>1</v>
      </c>
      <c r="O20" s="32">
        <v>60870</v>
      </c>
      <c r="P20" s="32">
        <v>60670</v>
      </c>
    </row>
    <row r="21" spans="1:16" ht="38.25" x14ac:dyDescent="0.2">
      <c r="A21" s="32">
        <v>18</v>
      </c>
      <c r="B21" s="32" t="s">
        <v>711</v>
      </c>
      <c r="C21" s="32" t="s">
        <v>63</v>
      </c>
      <c r="D21" s="32" t="s">
        <v>158</v>
      </c>
      <c r="E21" s="33"/>
      <c r="F21" s="32" t="s">
        <v>64</v>
      </c>
      <c r="G21" s="34" t="s">
        <v>65</v>
      </c>
      <c r="H21" s="32"/>
      <c r="I21" s="32"/>
      <c r="J21" s="34" t="s">
        <v>779</v>
      </c>
      <c r="K21" s="34"/>
      <c r="L21" s="32" t="s">
        <v>287</v>
      </c>
      <c r="M21" s="34" t="s">
        <v>681</v>
      </c>
      <c r="N21" s="34">
        <v>1</v>
      </c>
      <c r="O21" s="32">
        <v>1101</v>
      </c>
      <c r="P21" s="32">
        <v>946</v>
      </c>
    </row>
    <row r="22" spans="1:16" x14ac:dyDescent="0.2">
      <c r="A22" s="32">
        <v>19</v>
      </c>
      <c r="B22" s="32" t="s">
        <v>66</v>
      </c>
      <c r="C22" s="32" t="s">
        <v>63</v>
      </c>
      <c r="D22" s="32" t="s">
        <v>149</v>
      </c>
      <c r="E22" s="33">
        <v>38681686</v>
      </c>
      <c r="F22" s="32" t="s">
        <v>64</v>
      </c>
      <c r="G22" s="34" t="s">
        <v>65</v>
      </c>
      <c r="H22" s="32"/>
      <c r="I22" s="32"/>
      <c r="J22" s="34" t="s">
        <v>148</v>
      </c>
      <c r="K22" s="34" t="s">
        <v>314</v>
      </c>
      <c r="L22" s="32" t="s">
        <v>540</v>
      </c>
      <c r="M22" s="34" t="s">
        <v>329</v>
      </c>
      <c r="N22" s="34">
        <v>1</v>
      </c>
      <c r="O22" s="32">
        <v>0</v>
      </c>
      <c r="P22" s="32">
        <v>0</v>
      </c>
    </row>
    <row r="23" spans="1:16" x14ac:dyDescent="0.2">
      <c r="A23" s="32">
        <v>20</v>
      </c>
      <c r="B23" s="32" t="s">
        <v>710</v>
      </c>
      <c r="C23" s="32" t="s">
        <v>710</v>
      </c>
      <c r="D23" s="32" t="s">
        <v>476</v>
      </c>
      <c r="E23" s="33">
        <v>38692332</v>
      </c>
      <c r="F23" s="32" t="s">
        <v>818</v>
      </c>
      <c r="G23" s="34" t="s">
        <v>819</v>
      </c>
      <c r="H23" s="32"/>
      <c r="I23" s="32"/>
      <c r="J23" s="34" t="s">
        <v>245</v>
      </c>
      <c r="K23" s="34" t="s">
        <v>314</v>
      </c>
      <c r="L23" s="32" t="s">
        <v>244</v>
      </c>
      <c r="M23" s="34" t="s">
        <v>242</v>
      </c>
      <c r="N23" s="34">
        <v>40</v>
      </c>
      <c r="O23" s="32">
        <v>15724</v>
      </c>
      <c r="P23" s="32">
        <v>15690</v>
      </c>
    </row>
    <row r="24" spans="1:16" x14ac:dyDescent="0.2">
      <c r="A24" s="27">
        <v>166</v>
      </c>
      <c r="B24" s="27" t="s">
        <v>856</v>
      </c>
      <c r="C24" s="27" t="s">
        <v>177</v>
      </c>
      <c r="D24" s="27"/>
      <c r="E24" s="28" t="s">
        <v>576</v>
      </c>
      <c r="F24" s="27" t="s">
        <v>818</v>
      </c>
      <c r="G24" s="29" t="s">
        <v>819</v>
      </c>
      <c r="H24" s="27"/>
      <c r="I24" s="27"/>
      <c r="J24" s="34" t="s">
        <v>207</v>
      </c>
      <c r="K24" s="29" t="s">
        <v>314</v>
      </c>
      <c r="L24" s="27" t="s">
        <v>392</v>
      </c>
      <c r="M24" s="29" t="s">
        <v>668</v>
      </c>
      <c r="N24" s="29">
        <v>1</v>
      </c>
      <c r="O24" s="27"/>
      <c r="P24" s="27">
        <v>117987</v>
      </c>
    </row>
    <row r="25" spans="1:16" x14ac:dyDescent="0.2">
      <c r="A25" s="27">
        <v>167</v>
      </c>
      <c r="B25" s="27" t="s">
        <v>856</v>
      </c>
      <c r="C25" s="27" t="s">
        <v>177</v>
      </c>
      <c r="D25" s="27"/>
      <c r="E25" s="28"/>
      <c r="F25" s="27" t="s">
        <v>818</v>
      </c>
      <c r="G25" s="29" t="s">
        <v>819</v>
      </c>
      <c r="H25" s="27"/>
      <c r="I25" s="27"/>
      <c r="J25" s="34">
        <v>6837</v>
      </c>
      <c r="K25" s="29" t="s">
        <v>314</v>
      </c>
      <c r="L25" s="27" t="s">
        <v>398</v>
      </c>
      <c r="M25" s="29" t="s">
        <v>668</v>
      </c>
      <c r="N25" s="29">
        <v>1</v>
      </c>
      <c r="O25" s="27"/>
      <c r="P25" s="27">
        <v>205115</v>
      </c>
    </row>
    <row r="26" spans="1:16" x14ac:dyDescent="0.2">
      <c r="A26" s="32"/>
      <c r="B26" s="32"/>
      <c r="C26" s="32"/>
      <c r="D26" s="32"/>
      <c r="E26" s="33"/>
      <c r="F26" s="32"/>
      <c r="G26" s="34"/>
      <c r="H26" s="32"/>
      <c r="I26" s="32"/>
      <c r="J26" s="34"/>
      <c r="K26" s="34"/>
      <c r="L26" s="32"/>
      <c r="M26" s="34"/>
      <c r="N26" s="34"/>
      <c r="O26" s="32"/>
      <c r="P26" s="32"/>
    </row>
    <row r="27" spans="1:16" x14ac:dyDescent="0.2">
      <c r="A27" s="32"/>
      <c r="B27" s="32"/>
      <c r="C27" s="32"/>
      <c r="D27" s="32"/>
      <c r="E27" s="33"/>
      <c r="F27" s="32"/>
      <c r="G27" s="34"/>
      <c r="H27" s="32"/>
      <c r="I27" s="32"/>
      <c r="J27" s="34"/>
      <c r="K27" s="34"/>
      <c r="L27" s="32"/>
      <c r="M27" s="34"/>
      <c r="N27" s="34"/>
      <c r="O27" s="32"/>
      <c r="P27" s="32"/>
    </row>
    <row r="28" spans="1:16" ht="25.5" x14ac:dyDescent="0.2">
      <c r="A28" s="32">
        <v>21</v>
      </c>
      <c r="B28" s="32" t="s">
        <v>782</v>
      </c>
      <c r="C28" s="32" t="s">
        <v>523</v>
      </c>
      <c r="D28" s="32" t="s">
        <v>470</v>
      </c>
      <c r="E28" s="33">
        <v>38692384</v>
      </c>
      <c r="F28" s="32" t="s">
        <v>731</v>
      </c>
      <c r="G28" s="34" t="s">
        <v>880</v>
      </c>
      <c r="H28" s="32"/>
      <c r="I28" s="32"/>
      <c r="J28" s="34" t="s">
        <v>200</v>
      </c>
      <c r="K28" s="34" t="s">
        <v>314</v>
      </c>
      <c r="L28" s="32" t="s">
        <v>199</v>
      </c>
      <c r="M28" s="34" t="s">
        <v>668</v>
      </c>
      <c r="N28" s="34">
        <v>1</v>
      </c>
      <c r="O28" s="32"/>
      <c r="P28" s="32">
        <v>44329</v>
      </c>
    </row>
    <row r="29" spans="1:16" x14ac:dyDescent="0.2">
      <c r="A29" s="32">
        <v>22</v>
      </c>
      <c r="B29" s="32" t="s">
        <v>13</v>
      </c>
      <c r="C29" s="32" t="s">
        <v>33</v>
      </c>
      <c r="D29" s="32" t="s">
        <v>464</v>
      </c>
      <c r="E29" s="33">
        <v>38694323</v>
      </c>
      <c r="F29" s="32" t="s">
        <v>78</v>
      </c>
      <c r="G29" s="34" t="s">
        <v>79</v>
      </c>
      <c r="H29" s="32"/>
      <c r="I29" s="32"/>
      <c r="J29" s="34" t="s">
        <v>331</v>
      </c>
      <c r="K29" s="34" t="s">
        <v>314</v>
      </c>
      <c r="L29" s="32" t="s">
        <v>330</v>
      </c>
      <c r="M29" s="34" t="s">
        <v>329</v>
      </c>
      <c r="N29" s="34">
        <v>1</v>
      </c>
      <c r="O29" s="32">
        <v>2155</v>
      </c>
      <c r="P29" s="32">
        <v>0</v>
      </c>
    </row>
    <row r="30" spans="1:16" x14ac:dyDescent="0.2">
      <c r="A30" s="32">
        <v>23</v>
      </c>
      <c r="B30" s="32" t="s">
        <v>769</v>
      </c>
      <c r="C30" s="32" t="s">
        <v>657</v>
      </c>
      <c r="D30" s="32" t="s">
        <v>384</v>
      </c>
      <c r="E30" s="33">
        <v>38683907</v>
      </c>
      <c r="F30" s="32" t="s">
        <v>383</v>
      </c>
      <c r="G30" s="34" t="s">
        <v>382</v>
      </c>
      <c r="H30" s="32"/>
      <c r="I30" s="32"/>
      <c r="J30" s="34">
        <v>9278</v>
      </c>
      <c r="K30" s="34" t="s">
        <v>334</v>
      </c>
      <c r="L30" s="32" t="s">
        <v>343</v>
      </c>
      <c r="M30" s="34" t="s">
        <v>332</v>
      </c>
      <c r="N30" s="34">
        <v>1</v>
      </c>
      <c r="O30" s="32">
        <v>115119</v>
      </c>
      <c r="P30" s="32">
        <v>113401</v>
      </c>
    </row>
    <row r="31" spans="1:16" x14ac:dyDescent="0.2">
      <c r="A31" s="32">
        <v>24</v>
      </c>
      <c r="B31" s="32" t="s">
        <v>771</v>
      </c>
      <c r="C31" s="32" t="s">
        <v>657</v>
      </c>
      <c r="D31" s="32" t="s">
        <v>409</v>
      </c>
      <c r="E31" s="33">
        <v>38683907</v>
      </c>
      <c r="F31" s="32" t="s">
        <v>383</v>
      </c>
      <c r="G31" s="34" t="s">
        <v>382</v>
      </c>
      <c r="H31" s="32"/>
      <c r="I31" s="32"/>
      <c r="J31" s="34">
        <v>4829</v>
      </c>
      <c r="K31" s="34" t="s">
        <v>334</v>
      </c>
      <c r="L31" s="32" t="s">
        <v>826</v>
      </c>
      <c r="M31" s="34" t="s">
        <v>344</v>
      </c>
      <c r="N31" s="34">
        <v>1</v>
      </c>
      <c r="O31" s="32">
        <v>5367</v>
      </c>
      <c r="P31" s="32">
        <v>4900</v>
      </c>
    </row>
    <row r="32" spans="1:16" x14ac:dyDescent="0.2">
      <c r="A32" s="32">
        <v>25</v>
      </c>
      <c r="B32" s="32" t="s">
        <v>762</v>
      </c>
      <c r="C32" s="32" t="s">
        <v>762</v>
      </c>
      <c r="D32" s="32" t="s">
        <v>354</v>
      </c>
      <c r="E32" s="33">
        <v>39447683</v>
      </c>
      <c r="F32" s="32" t="s">
        <v>732</v>
      </c>
      <c r="G32" s="34" t="s">
        <v>733</v>
      </c>
      <c r="H32" s="32"/>
      <c r="I32" s="32"/>
      <c r="J32" s="34">
        <v>6156</v>
      </c>
      <c r="K32" s="34" t="s">
        <v>334</v>
      </c>
      <c r="L32" s="32" t="s">
        <v>826</v>
      </c>
      <c r="M32" s="34" t="s">
        <v>344</v>
      </c>
      <c r="N32" s="34">
        <v>1</v>
      </c>
      <c r="O32" s="32">
        <v>2025</v>
      </c>
      <c r="P32" s="32">
        <v>1784</v>
      </c>
    </row>
    <row r="33" spans="1:16" x14ac:dyDescent="0.2">
      <c r="A33" s="32">
        <v>26</v>
      </c>
      <c r="B33" s="32" t="s">
        <v>770</v>
      </c>
      <c r="C33" s="32" t="s">
        <v>611</v>
      </c>
      <c r="D33" s="32" t="s">
        <v>381</v>
      </c>
      <c r="E33" s="33"/>
      <c r="F33" s="32"/>
      <c r="G33" s="34"/>
      <c r="H33" s="32"/>
      <c r="I33" s="32"/>
      <c r="J33" s="34" t="s">
        <v>98</v>
      </c>
      <c r="K33" s="34" t="s">
        <v>334</v>
      </c>
      <c r="L33" s="32" t="s">
        <v>370</v>
      </c>
      <c r="M33" s="34" t="s">
        <v>332</v>
      </c>
      <c r="N33" s="34">
        <v>1</v>
      </c>
      <c r="O33" s="32">
        <v>150621</v>
      </c>
      <c r="P33" s="32">
        <v>149262</v>
      </c>
    </row>
    <row r="34" spans="1:16" x14ac:dyDescent="0.2">
      <c r="A34" s="32">
        <v>27</v>
      </c>
      <c r="B34" s="32" t="s">
        <v>611</v>
      </c>
      <c r="C34" s="32" t="s">
        <v>611</v>
      </c>
      <c r="D34" s="32" t="s">
        <v>409</v>
      </c>
      <c r="E34" s="33"/>
      <c r="F34" s="32"/>
      <c r="G34" s="34"/>
      <c r="H34" s="32"/>
      <c r="I34" s="32"/>
      <c r="J34" s="34">
        <v>50952</v>
      </c>
      <c r="K34" s="34" t="s">
        <v>334</v>
      </c>
      <c r="L34" s="32" t="s">
        <v>406</v>
      </c>
      <c r="M34" s="34" t="s">
        <v>344</v>
      </c>
      <c r="N34" s="34">
        <v>1</v>
      </c>
      <c r="O34" s="32">
        <v>60926</v>
      </c>
      <c r="P34" s="32">
        <v>59837</v>
      </c>
    </row>
    <row r="35" spans="1:16" x14ac:dyDescent="0.2">
      <c r="A35" s="32">
        <v>28</v>
      </c>
      <c r="B35" s="32" t="s">
        <v>778</v>
      </c>
      <c r="C35" s="32" t="s">
        <v>410</v>
      </c>
      <c r="D35" s="32" t="s">
        <v>409</v>
      </c>
      <c r="E35" s="33"/>
      <c r="F35" s="32" t="s">
        <v>408</v>
      </c>
      <c r="G35" s="34" t="s">
        <v>407</v>
      </c>
      <c r="H35" s="32"/>
      <c r="I35" s="32"/>
      <c r="J35" s="34">
        <v>2261</v>
      </c>
      <c r="K35" s="34" t="s">
        <v>334</v>
      </c>
      <c r="L35" s="32" t="s">
        <v>406</v>
      </c>
      <c r="M35" s="34" t="s">
        <v>344</v>
      </c>
      <c r="N35" s="34">
        <v>1</v>
      </c>
      <c r="O35" s="32"/>
      <c r="P35" s="32">
        <v>0</v>
      </c>
    </row>
    <row r="36" spans="1:16" x14ac:dyDescent="0.2">
      <c r="A36" s="32">
        <v>29</v>
      </c>
      <c r="B36" s="32" t="s">
        <v>537</v>
      </c>
      <c r="C36" s="32" t="s">
        <v>537</v>
      </c>
      <c r="D36" s="32" t="s">
        <v>182</v>
      </c>
      <c r="E36" s="33">
        <v>38684569</v>
      </c>
      <c r="F36" s="32" t="s">
        <v>181</v>
      </c>
      <c r="G36" s="34" t="s">
        <v>180</v>
      </c>
      <c r="H36" s="32"/>
      <c r="I36" s="32"/>
      <c r="J36" s="34" t="s">
        <v>179</v>
      </c>
      <c r="K36" s="34" t="s">
        <v>314</v>
      </c>
      <c r="L36" s="32" t="s">
        <v>178</v>
      </c>
      <c r="M36" s="34" t="s">
        <v>326</v>
      </c>
      <c r="N36" s="34">
        <v>1</v>
      </c>
      <c r="O36" s="32">
        <v>108683</v>
      </c>
      <c r="P36" s="32">
        <v>108344</v>
      </c>
    </row>
    <row r="37" spans="1:16" x14ac:dyDescent="0.2">
      <c r="A37" s="32">
        <v>30</v>
      </c>
      <c r="B37" s="32" t="s">
        <v>789</v>
      </c>
      <c r="C37" s="32" t="s">
        <v>537</v>
      </c>
      <c r="D37" s="32" t="s">
        <v>235</v>
      </c>
      <c r="E37" s="33">
        <v>38682917</v>
      </c>
      <c r="F37" s="32" t="s">
        <v>386</v>
      </c>
      <c r="G37" s="34" t="s">
        <v>385</v>
      </c>
      <c r="H37" s="32"/>
      <c r="I37" s="32"/>
      <c r="J37" s="34" t="s">
        <v>58</v>
      </c>
      <c r="K37" s="34" t="s">
        <v>334</v>
      </c>
      <c r="L37" s="32" t="s">
        <v>692</v>
      </c>
      <c r="M37" s="34" t="s">
        <v>315</v>
      </c>
      <c r="N37" s="34">
        <v>1</v>
      </c>
      <c r="O37" s="32">
        <v>5186</v>
      </c>
      <c r="P37" s="32">
        <v>5161</v>
      </c>
    </row>
    <row r="38" spans="1:16" x14ac:dyDescent="0.2">
      <c r="A38" s="32">
        <v>31</v>
      </c>
      <c r="B38" s="32" t="s">
        <v>788</v>
      </c>
      <c r="C38" s="32" t="s">
        <v>783</v>
      </c>
      <c r="D38" s="32" t="s">
        <v>387</v>
      </c>
      <c r="E38" s="33">
        <v>38684569</v>
      </c>
      <c r="F38" s="32" t="s">
        <v>386</v>
      </c>
      <c r="G38" s="34" t="s">
        <v>385</v>
      </c>
      <c r="H38" s="32"/>
      <c r="I38" s="32"/>
      <c r="J38" s="34" t="s">
        <v>97</v>
      </c>
      <c r="K38" s="34" t="s">
        <v>334</v>
      </c>
      <c r="L38" s="32" t="s">
        <v>343</v>
      </c>
      <c r="M38" s="34" t="s">
        <v>332</v>
      </c>
      <c r="N38" s="34">
        <v>1</v>
      </c>
      <c r="O38" s="32">
        <v>179170</v>
      </c>
      <c r="P38" s="32">
        <v>178161</v>
      </c>
    </row>
    <row r="39" spans="1:16" x14ac:dyDescent="0.2">
      <c r="A39" s="32">
        <v>32</v>
      </c>
      <c r="B39" s="32" t="s">
        <v>788</v>
      </c>
      <c r="C39" s="32" t="s">
        <v>783</v>
      </c>
      <c r="D39" s="32" t="s">
        <v>380</v>
      </c>
      <c r="E39" s="33">
        <v>36230568</v>
      </c>
      <c r="F39" s="32" t="s">
        <v>386</v>
      </c>
      <c r="G39" s="34" t="s">
        <v>385</v>
      </c>
      <c r="H39" s="32"/>
      <c r="I39" s="32"/>
      <c r="J39" s="34" t="s">
        <v>99</v>
      </c>
      <c r="K39" s="34" t="s">
        <v>334</v>
      </c>
      <c r="L39" s="32" t="s">
        <v>343</v>
      </c>
      <c r="M39" s="34" t="s">
        <v>332</v>
      </c>
      <c r="N39" s="34">
        <v>1</v>
      </c>
      <c r="O39" s="32">
        <v>65237</v>
      </c>
      <c r="P39" s="32">
        <v>64256</v>
      </c>
    </row>
    <row r="40" spans="1:16" x14ac:dyDescent="0.2">
      <c r="A40" s="32">
        <v>33</v>
      </c>
      <c r="B40" s="32" t="s">
        <v>783</v>
      </c>
      <c r="C40" s="32" t="s">
        <v>783</v>
      </c>
      <c r="D40" s="32" t="s">
        <v>783</v>
      </c>
      <c r="E40" s="33"/>
      <c r="F40" s="32" t="s">
        <v>386</v>
      </c>
      <c r="G40" s="34" t="s">
        <v>385</v>
      </c>
      <c r="H40" s="32"/>
      <c r="I40" s="32"/>
      <c r="J40" s="34" t="s">
        <v>542</v>
      </c>
      <c r="K40" s="34" t="s">
        <v>314</v>
      </c>
      <c r="L40" s="32"/>
      <c r="M40" s="34" t="s">
        <v>332</v>
      </c>
      <c r="N40" s="34">
        <v>1</v>
      </c>
      <c r="O40" s="32">
        <v>78073</v>
      </c>
      <c r="P40" s="32">
        <v>78073</v>
      </c>
    </row>
    <row r="41" spans="1:16" x14ac:dyDescent="0.2">
      <c r="A41" s="32">
        <v>34</v>
      </c>
      <c r="B41" s="32" t="s">
        <v>205</v>
      </c>
      <c r="C41" s="32" t="s">
        <v>205</v>
      </c>
      <c r="D41" s="32" t="s">
        <v>701</v>
      </c>
      <c r="E41" s="33"/>
      <c r="F41" s="32" t="s">
        <v>204</v>
      </c>
      <c r="G41" s="34" t="s">
        <v>203</v>
      </c>
      <c r="H41" s="32"/>
      <c r="I41" s="32"/>
      <c r="J41" s="34" t="s">
        <v>88</v>
      </c>
      <c r="K41" s="34" t="s">
        <v>314</v>
      </c>
      <c r="L41" s="32" t="s">
        <v>398</v>
      </c>
      <c r="M41" s="34" t="s">
        <v>332</v>
      </c>
      <c r="N41" s="34">
        <v>1</v>
      </c>
      <c r="O41" s="32"/>
      <c r="P41" s="32"/>
    </row>
    <row r="42" spans="1:16" x14ac:dyDescent="0.2">
      <c r="A42" s="32">
        <v>35</v>
      </c>
      <c r="B42" s="32" t="s">
        <v>205</v>
      </c>
      <c r="C42" s="32" t="s">
        <v>205</v>
      </c>
      <c r="D42" s="32" t="s">
        <v>701</v>
      </c>
      <c r="E42" s="33"/>
      <c r="F42" s="32" t="s">
        <v>204</v>
      </c>
      <c r="G42" s="34" t="s">
        <v>203</v>
      </c>
      <c r="H42" s="32"/>
      <c r="I42" s="32"/>
      <c r="J42" s="34">
        <v>23804</v>
      </c>
      <c r="K42" s="34" t="s">
        <v>314</v>
      </c>
      <c r="L42" s="32" t="s">
        <v>398</v>
      </c>
      <c r="M42" s="34" t="s">
        <v>668</v>
      </c>
      <c r="N42" s="34">
        <v>30</v>
      </c>
      <c r="O42" s="32">
        <v>3892</v>
      </c>
      <c r="P42" s="32">
        <v>3867</v>
      </c>
    </row>
    <row r="43" spans="1:16" x14ac:dyDescent="0.2">
      <c r="A43" s="32">
        <v>36</v>
      </c>
      <c r="B43" s="32" t="s">
        <v>669</v>
      </c>
      <c r="C43" s="32" t="s">
        <v>671</v>
      </c>
      <c r="D43" s="32" t="s">
        <v>299</v>
      </c>
      <c r="E43" s="33">
        <v>38694242</v>
      </c>
      <c r="F43" s="32" t="s">
        <v>363</v>
      </c>
      <c r="G43" s="34" t="s">
        <v>927</v>
      </c>
      <c r="H43" s="32"/>
      <c r="I43" s="32"/>
      <c r="J43" s="34" t="s">
        <v>362</v>
      </c>
      <c r="K43" s="34" t="s">
        <v>334</v>
      </c>
      <c r="L43" s="32" t="s">
        <v>358</v>
      </c>
      <c r="M43" s="34" t="s">
        <v>668</v>
      </c>
      <c r="N43" s="34">
        <v>1</v>
      </c>
      <c r="O43" s="32">
        <v>10194</v>
      </c>
      <c r="P43" s="32">
        <v>10057</v>
      </c>
    </row>
    <row r="44" spans="1:16" x14ac:dyDescent="0.2">
      <c r="A44" s="32">
        <v>37</v>
      </c>
      <c r="B44" s="32" t="s">
        <v>670</v>
      </c>
      <c r="C44" s="32" t="s">
        <v>671</v>
      </c>
      <c r="D44" s="32" t="s">
        <v>299</v>
      </c>
      <c r="E44" s="33">
        <v>38694242</v>
      </c>
      <c r="F44" s="32" t="s">
        <v>360</v>
      </c>
      <c r="G44" s="34" t="s">
        <v>359</v>
      </c>
      <c r="H44" s="32"/>
      <c r="I44" s="32"/>
      <c r="J44" s="34">
        <v>1780</v>
      </c>
      <c r="K44" s="34" t="s">
        <v>334</v>
      </c>
      <c r="L44" s="32" t="s">
        <v>358</v>
      </c>
      <c r="M44" s="34" t="s">
        <v>668</v>
      </c>
      <c r="N44" s="34">
        <v>1</v>
      </c>
      <c r="O44" s="32">
        <v>1375</v>
      </c>
      <c r="P44" s="32">
        <v>1375</v>
      </c>
    </row>
    <row r="45" spans="1:16" x14ac:dyDescent="0.2">
      <c r="A45" s="32">
        <v>38</v>
      </c>
      <c r="B45" s="32" t="s">
        <v>85</v>
      </c>
      <c r="C45" s="32" t="s">
        <v>671</v>
      </c>
      <c r="D45" s="32" t="s">
        <v>299</v>
      </c>
      <c r="E45" s="33" t="s">
        <v>86</v>
      </c>
      <c r="F45" s="32" t="s">
        <v>85</v>
      </c>
      <c r="G45" s="34" t="s">
        <v>86</v>
      </c>
      <c r="H45" s="32"/>
      <c r="I45" s="32"/>
      <c r="J45" s="34" t="s">
        <v>9</v>
      </c>
      <c r="K45" s="34" t="s">
        <v>334</v>
      </c>
      <c r="L45" s="32" t="s">
        <v>358</v>
      </c>
      <c r="M45" s="34" t="s">
        <v>668</v>
      </c>
      <c r="N45" s="34">
        <v>1</v>
      </c>
      <c r="O45" s="32">
        <v>13356</v>
      </c>
      <c r="P45" s="32">
        <v>13293</v>
      </c>
    </row>
    <row r="46" spans="1:16" x14ac:dyDescent="0.2">
      <c r="A46" s="32">
        <v>39</v>
      </c>
      <c r="B46" s="32" t="s">
        <v>453</v>
      </c>
      <c r="C46" s="32" t="s">
        <v>881</v>
      </c>
      <c r="D46" s="32" t="s">
        <v>454</v>
      </c>
      <c r="E46" s="33" t="s">
        <v>817</v>
      </c>
      <c r="F46" s="32" t="s">
        <v>405</v>
      </c>
      <c r="G46" s="34"/>
      <c r="H46" s="32"/>
      <c r="I46" s="32"/>
      <c r="J46" s="34" t="s">
        <v>433</v>
      </c>
      <c r="K46" s="34" t="s">
        <v>334</v>
      </c>
      <c r="L46" s="32" t="s">
        <v>404</v>
      </c>
      <c r="M46" s="34" t="s">
        <v>326</v>
      </c>
      <c r="N46" s="34">
        <v>1</v>
      </c>
      <c r="O46" s="32">
        <v>13218</v>
      </c>
      <c r="P46" s="32">
        <v>13171</v>
      </c>
    </row>
    <row r="47" spans="1:16" x14ac:dyDescent="0.2">
      <c r="A47" s="32">
        <v>40</v>
      </c>
      <c r="B47" s="32" t="s">
        <v>298</v>
      </c>
      <c r="C47" s="32" t="s">
        <v>881</v>
      </c>
      <c r="D47" s="32" t="s">
        <v>298</v>
      </c>
      <c r="E47" s="33"/>
      <c r="F47" s="32" t="s">
        <v>846</v>
      </c>
      <c r="G47" s="34" t="s">
        <v>847</v>
      </c>
      <c r="H47" s="32"/>
      <c r="I47" s="32"/>
      <c r="J47" s="34">
        <v>6385</v>
      </c>
      <c r="K47" s="34" t="s">
        <v>334</v>
      </c>
      <c r="L47" s="32" t="s">
        <v>298</v>
      </c>
      <c r="M47" s="34" t="s">
        <v>315</v>
      </c>
      <c r="N47" s="34">
        <v>1</v>
      </c>
      <c r="O47" s="32"/>
      <c r="P47" s="32">
        <v>22728</v>
      </c>
    </row>
    <row r="48" spans="1:16" x14ac:dyDescent="0.2">
      <c r="A48" s="32">
        <v>41</v>
      </c>
      <c r="B48" s="32" t="s">
        <v>424</v>
      </c>
      <c r="C48" s="32" t="s">
        <v>881</v>
      </c>
      <c r="D48" s="32" t="s">
        <v>425</v>
      </c>
      <c r="E48" s="33"/>
      <c r="F48" s="32" t="s">
        <v>846</v>
      </c>
      <c r="G48" s="34" t="s">
        <v>847</v>
      </c>
      <c r="H48" s="32"/>
      <c r="I48" s="32"/>
      <c r="J48" s="34">
        <v>5545</v>
      </c>
      <c r="K48" s="34" t="s">
        <v>334</v>
      </c>
      <c r="L48" s="32" t="s">
        <v>424</v>
      </c>
      <c r="M48" s="34" t="s">
        <v>227</v>
      </c>
      <c r="N48" s="34">
        <v>1</v>
      </c>
      <c r="O48" s="32">
        <v>28451</v>
      </c>
      <c r="P48" s="32">
        <v>27926</v>
      </c>
    </row>
    <row r="49" spans="1:16" ht="25.5" x14ac:dyDescent="0.2">
      <c r="A49" s="32">
        <v>42</v>
      </c>
      <c r="B49" s="32" t="s">
        <v>772</v>
      </c>
      <c r="C49" s="32" t="s">
        <v>881</v>
      </c>
      <c r="D49" s="32" t="s">
        <v>96</v>
      </c>
      <c r="E49" s="33"/>
      <c r="F49" s="32" t="s">
        <v>553</v>
      </c>
      <c r="G49" s="34" t="s">
        <v>928</v>
      </c>
      <c r="H49" s="32"/>
      <c r="I49" s="32"/>
      <c r="J49" s="34" t="s">
        <v>423</v>
      </c>
      <c r="K49" s="34" t="s">
        <v>334</v>
      </c>
      <c r="L49" s="32" t="s">
        <v>422</v>
      </c>
      <c r="M49" s="34" t="s">
        <v>681</v>
      </c>
      <c r="N49" s="34">
        <v>1</v>
      </c>
      <c r="O49" s="32">
        <v>35617</v>
      </c>
      <c r="P49" s="32">
        <v>35539</v>
      </c>
    </row>
    <row r="50" spans="1:16" x14ac:dyDescent="0.2">
      <c r="A50" s="32">
        <v>43</v>
      </c>
      <c r="B50" s="32" t="s">
        <v>672</v>
      </c>
      <c r="C50" s="32" t="s">
        <v>881</v>
      </c>
      <c r="D50" s="32" t="s">
        <v>444</v>
      </c>
      <c r="E50" s="33"/>
      <c r="F50" s="32" t="s">
        <v>508</v>
      </c>
      <c r="G50" s="34" t="s">
        <v>509</v>
      </c>
      <c r="H50" s="32"/>
      <c r="I50" s="32"/>
      <c r="J50" s="34" t="s">
        <v>417</v>
      </c>
      <c r="K50" s="34" t="s">
        <v>334</v>
      </c>
      <c r="L50" s="32" t="s">
        <v>416</v>
      </c>
      <c r="M50" s="34" t="s">
        <v>344</v>
      </c>
      <c r="N50" s="34">
        <v>1</v>
      </c>
      <c r="O50" s="32">
        <v>1555</v>
      </c>
      <c r="P50" s="32">
        <v>1463</v>
      </c>
    </row>
    <row r="51" spans="1:16" x14ac:dyDescent="0.2">
      <c r="A51" s="32">
        <v>44</v>
      </c>
      <c r="B51" s="32" t="s">
        <v>496</v>
      </c>
      <c r="C51" s="32" t="s">
        <v>881</v>
      </c>
      <c r="D51" s="32" t="s">
        <v>444</v>
      </c>
      <c r="E51" s="33"/>
      <c r="F51" s="32" t="s">
        <v>496</v>
      </c>
      <c r="G51" s="34" t="s">
        <v>497</v>
      </c>
      <c r="H51" s="32"/>
      <c r="I51" s="32"/>
      <c r="J51" s="34" t="s">
        <v>434</v>
      </c>
      <c r="K51" s="34" t="s">
        <v>334</v>
      </c>
      <c r="L51" s="32" t="s">
        <v>388</v>
      </c>
      <c r="M51" s="34" t="s">
        <v>344</v>
      </c>
      <c r="N51" s="34">
        <v>1</v>
      </c>
      <c r="O51" s="32">
        <v>6014</v>
      </c>
      <c r="P51" s="32">
        <v>5944</v>
      </c>
    </row>
    <row r="52" spans="1:16" x14ac:dyDescent="0.2">
      <c r="A52" s="32">
        <v>45</v>
      </c>
      <c r="B52" s="32" t="s">
        <v>882</v>
      </c>
      <c r="C52" s="32" t="s">
        <v>881</v>
      </c>
      <c r="D52" s="32" t="s">
        <v>481</v>
      </c>
      <c r="E52" s="33"/>
      <c r="F52" s="32" t="s">
        <v>421</v>
      </c>
      <c r="G52" s="34" t="s">
        <v>420</v>
      </c>
      <c r="H52" s="32"/>
      <c r="I52" s="32"/>
      <c r="J52" s="34" t="s">
        <v>419</v>
      </c>
      <c r="K52" s="34" t="s">
        <v>334</v>
      </c>
      <c r="L52" s="32" t="s">
        <v>418</v>
      </c>
      <c r="M52" s="34" t="s">
        <v>344</v>
      </c>
      <c r="N52" s="34">
        <v>1</v>
      </c>
      <c r="O52" s="32"/>
      <c r="P52" s="32">
        <v>25115</v>
      </c>
    </row>
    <row r="53" spans="1:16" x14ac:dyDescent="0.2">
      <c r="A53" s="32">
        <v>46</v>
      </c>
      <c r="B53" s="32" t="s">
        <v>673</v>
      </c>
      <c r="C53" s="32" t="s">
        <v>881</v>
      </c>
      <c r="D53" s="32" t="s">
        <v>446</v>
      </c>
      <c r="E53" s="33"/>
      <c r="F53" s="32" t="s">
        <v>452</v>
      </c>
      <c r="G53" s="34" t="s">
        <v>411</v>
      </c>
      <c r="H53" s="32"/>
      <c r="I53" s="32"/>
      <c r="J53" s="34">
        <v>9876</v>
      </c>
      <c r="K53" s="34" t="s">
        <v>334</v>
      </c>
      <c r="L53" s="32" t="s">
        <v>412</v>
      </c>
      <c r="M53" s="34" t="s">
        <v>344</v>
      </c>
      <c r="N53" s="34">
        <v>1</v>
      </c>
      <c r="O53" s="32">
        <v>47034</v>
      </c>
      <c r="P53" s="32">
        <v>46891</v>
      </c>
    </row>
    <row r="54" spans="1:16" x14ac:dyDescent="0.2">
      <c r="A54" s="32">
        <v>47</v>
      </c>
      <c r="B54" s="32" t="s">
        <v>674</v>
      </c>
      <c r="C54" s="32" t="s">
        <v>881</v>
      </c>
      <c r="D54" s="32" t="s">
        <v>445</v>
      </c>
      <c r="E54" s="33">
        <v>38692116</v>
      </c>
      <c r="F54" s="32" t="s">
        <v>538</v>
      </c>
      <c r="G54" s="34" t="s">
        <v>415</v>
      </c>
      <c r="H54" s="32"/>
      <c r="I54" s="32"/>
      <c r="J54" s="34" t="s">
        <v>431</v>
      </c>
      <c r="K54" s="34" t="s">
        <v>334</v>
      </c>
      <c r="L54" s="32" t="s">
        <v>414</v>
      </c>
      <c r="M54" s="34" t="s">
        <v>344</v>
      </c>
      <c r="N54" s="34">
        <v>1</v>
      </c>
      <c r="O54" s="32">
        <v>12205</v>
      </c>
      <c r="P54" s="32">
        <v>12080</v>
      </c>
    </row>
    <row r="55" spans="1:16" x14ac:dyDescent="0.2">
      <c r="A55" s="32">
        <v>48</v>
      </c>
      <c r="B55" s="32" t="s">
        <v>675</v>
      </c>
      <c r="C55" s="32" t="s">
        <v>881</v>
      </c>
      <c r="D55" s="32" t="s">
        <v>446</v>
      </c>
      <c r="E55" s="33">
        <v>38694529</v>
      </c>
      <c r="F55" s="32" t="s">
        <v>539</v>
      </c>
      <c r="G55" s="34" t="s">
        <v>413</v>
      </c>
      <c r="H55" s="32"/>
      <c r="I55" s="32"/>
      <c r="J55" s="34" t="s">
        <v>432</v>
      </c>
      <c r="K55" s="34" t="s">
        <v>334</v>
      </c>
      <c r="L55" s="32" t="s">
        <v>412</v>
      </c>
      <c r="M55" s="34" t="s">
        <v>344</v>
      </c>
      <c r="N55" s="34">
        <v>1</v>
      </c>
      <c r="O55" s="32">
        <v>15528</v>
      </c>
      <c r="P55" s="32">
        <v>15487</v>
      </c>
    </row>
    <row r="56" spans="1:16" x14ac:dyDescent="0.2">
      <c r="A56" s="32">
        <v>49</v>
      </c>
      <c r="B56" s="32" t="s">
        <v>884</v>
      </c>
      <c r="C56" s="32" t="s">
        <v>884</v>
      </c>
      <c r="D56" s="32" t="s">
        <v>885</v>
      </c>
      <c r="E56" s="33"/>
      <c r="F56" s="32"/>
      <c r="G56" s="34"/>
      <c r="H56" s="32"/>
      <c r="I56" s="32"/>
      <c r="J56" s="34">
        <v>1489</v>
      </c>
      <c r="K56" s="34" t="s">
        <v>314</v>
      </c>
      <c r="L56" s="32" t="s">
        <v>688</v>
      </c>
      <c r="M56" s="34" t="s">
        <v>668</v>
      </c>
      <c r="N56" s="34"/>
      <c r="O56" s="32"/>
      <c r="P56" s="32">
        <v>3841</v>
      </c>
    </row>
    <row r="57" spans="1:16" x14ac:dyDescent="0.2">
      <c r="A57" s="27">
        <v>127</v>
      </c>
      <c r="B57" s="27" t="s">
        <v>813</v>
      </c>
      <c r="C57" s="27" t="s">
        <v>400</v>
      </c>
      <c r="D57" s="27" t="s">
        <v>541</v>
      </c>
      <c r="E57" s="28"/>
      <c r="F57" s="27" t="s">
        <v>814</v>
      </c>
      <c r="G57" s="29" t="s">
        <v>815</v>
      </c>
      <c r="H57" s="27"/>
      <c r="I57" s="27"/>
      <c r="J57" s="34">
        <v>52594</v>
      </c>
      <c r="K57" s="29" t="s">
        <v>334</v>
      </c>
      <c r="L57" s="27" t="s">
        <v>401</v>
      </c>
      <c r="M57" s="29" t="s">
        <v>326</v>
      </c>
      <c r="N57" s="29">
        <v>1</v>
      </c>
      <c r="O57" s="27"/>
      <c r="P57" s="27">
        <v>23133</v>
      </c>
    </row>
    <row r="58" spans="1:16" x14ac:dyDescent="0.2">
      <c r="A58" s="32">
        <v>50</v>
      </c>
      <c r="B58" s="32" t="s">
        <v>232</v>
      </c>
      <c r="C58" s="32" t="s">
        <v>232</v>
      </c>
      <c r="D58" s="32" t="s">
        <v>231</v>
      </c>
      <c r="E58" s="33">
        <v>38692731</v>
      </c>
      <c r="F58" s="32" t="s">
        <v>883</v>
      </c>
      <c r="G58" s="34"/>
      <c r="H58" s="32"/>
      <c r="I58" s="32"/>
      <c r="J58" s="34" t="s">
        <v>230</v>
      </c>
      <c r="K58" s="34" t="s">
        <v>314</v>
      </c>
      <c r="L58" s="32" t="s">
        <v>168</v>
      </c>
      <c r="M58" s="34" t="s">
        <v>227</v>
      </c>
      <c r="N58" s="34">
        <v>80</v>
      </c>
      <c r="O58" s="32">
        <v>8690</v>
      </c>
      <c r="P58" s="32">
        <v>8677</v>
      </c>
    </row>
    <row r="59" spans="1:16" x14ac:dyDescent="0.2">
      <c r="A59" s="32">
        <v>51</v>
      </c>
      <c r="B59" s="32" t="s">
        <v>805</v>
      </c>
      <c r="C59" s="32" t="s">
        <v>805</v>
      </c>
      <c r="D59" s="32" t="s">
        <v>235</v>
      </c>
      <c r="E59" s="33">
        <v>38682179</v>
      </c>
      <c r="F59" s="32" t="s">
        <v>873</v>
      </c>
      <c r="G59" s="34" t="s">
        <v>874</v>
      </c>
      <c r="H59" s="32"/>
      <c r="I59" s="32"/>
      <c r="J59" s="34" t="s">
        <v>234</v>
      </c>
      <c r="K59" s="34" t="s">
        <v>314</v>
      </c>
      <c r="L59" s="32" t="s">
        <v>233</v>
      </c>
      <c r="M59" s="34" t="s">
        <v>227</v>
      </c>
      <c r="N59" s="34">
        <v>1</v>
      </c>
      <c r="O59" s="32">
        <v>816677</v>
      </c>
      <c r="P59" s="32">
        <v>814586</v>
      </c>
    </row>
    <row r="60" spans="1:16" x14ac:dyDescent="0.2">
      <c r="A60" s="32">
        <v>52</v>
      </c>
      <c r="B60" s="32" t="s">
        <v>805</v>
      </c>
      <c r="C60" s="32" t="s">
        <v>805</v>
      </c>
      <c r="D60" s="32" t="s">
        <v>243</v>
      </c>
      <c r="E60" s="33"/>
      <c r="F60" s="32" t="s">
        <v>873</v>
      </c>
      <c r="G60" s="34" t="s">
        <v>874</v>
      </c>
      <c r="H60" s="32"/>
      <c r="I60" s="32"/>
      <c r="J60" s="34">
        <v>7971</v>
      </c>
      <c r="K60" s="34" t="s">
        <v>314</v>
      </c>
      <c r="L60" s="32" t="s">
        <v>313</v>
      </c>
      <c r="M60" s="34" t="s">
        <v>313</v>
      </c>
      <c r="N60" s="34">
        <v>50</v>
      </c>
      <c r="O60" s="32">
        <v>2090</v>
      </c>
      <c r="P60" s="32">
        <v>2045</v>
      </c>
    </row>
    <row r="61" spans="1:16" x14ac:dyDescent="0.2">
      <c r="A61" s="32">
        <v>53</v>
      </c>
      <c r="B61" s="32" t="s">
        <v>805</v>
      </c>
      <c r="C61" s="32" t="s">
        <v>805</v>
      </c>
      <c r="D61" s="32" t="s">
        <v>41</v>
      </c>
      <c r="E61" s="33">
        <v>38682445</v>
      </c>
      <c r="F61" s="32" t="s">
        <v>873</v>
      </c>
      <c r="G61" s="34" t="s">
        <v>874</v>
      </c>
      <c r="H61" s="32"/>
      <c r="I61" s="32"/>
      <c r="J61" s="34">
        <v>3834</v>
      </c>
      <c r="K61" s="34" t="s">
        <v>334</v>
      </c>
      <c r="L61" s="32" t="s">
        <v>402</v>
      </c>
      <c r="M61" s="34" t="s">
        <v>326</v>
      </c>
      <c r="N61" s="34">
        <v>1</v>
      </c>
      <c r="O61" s="32">
        <v>1047</v>
      </c>
      <c r="P61" s="32">
        <v>1047</v>
      </c>
    </row>
    <row r="62" spans="1:16" x14ac:dyDescent="0.2">
      <c r="A62" s="32">
        <v>54</v>
      </c>
      <c r="B62" s="32" t="s">
        <v>805</v>
      </c>
      <c r="C62" s="32" t="s">
        <v>805</v>
      </c>
      <c r="D62" s="32" t="s">
        <v>68</v>
      </c>
      <c r="E62" s="33">
        <v>36231722</v>
      </c>
      <c r="F62" s="32" t="s">
        <v>873</v>
      </c>
      <c r="G62" s="34" t="s">
        <v>874</v>
      </c>
      <c r="H62" s="32"/>
      <c r="I62" s="32"/>
      <c r="J62" s="34">
        <v>3543</v>
      </c>
      <c r="K62" s="34" t="s">
        <v>334</v>
      </c>
      <c r="L62" s="32" t="s">
        <v>67</v>
      </c>
      <c r="M62" s="34" t="s">
        <v>681</v>
      </c>
      <c r="N62" s="34">
        <v>1</v>
      </c>
      <c r="O62" s="32">
        <v>94212</v>
      </c>
      <c r="P62" s="32">
        <v>94046</v>
      </c>
    </row>
    <row r="63" spans="1:16" x14ac:dyDescent="0.2">
      <c r="A63" s="32">
        <v>55</v>
      </c>
      <c r="B63" s="32" t="s">
        <v>372</v>
      </c>
      <c r="C63" s="32" t="s">
        <v>372</v>
      </c>
      <c r="D63" s="32" t="s">
        <v>320</v>
      </c>
      <c r="E63" s="33">
        <v>38682917</v>
      </c>
      <c r="F63" s="32" t="s">
        <v>319</v>
      </c>
      <c r="G63" s="34" t="s">
        <v>318</v>
      </c>
      <c r="H63" s="32"/>
      <c r="I63" s="32"/>
      <c r="J63" s="34" t="s">
        <v>317</v>
      </c>
      <c r="K63" s="34" t="s">
        <v>314</v>
      </c>
      <c r="L63" s="32" t="s">
        <v>316</v>
      </c>
      <c r="M63" s="34" t="s">
        <v>315</v>
      </c>
      <c r="N63" s="34">
        <v>1</v>
      </c>
      <c r="O63" s="32">
        <v>81923</v>
      </c>
      <c r="P63" s="32">
        <v>81777</v>
      </c>
    </row>
    <row r="64" spans="1:16" x14ac:dyDescent="0.2">
      <c r="A64" s="32">
        <v>56</v>
      </c>
      <c r="B64" s="32" t="s">
        <v>372</v>
      </c>
      <c r="C64" s="32" t="s">
        <v>372</v>
      </c>
      <c r="D64" s="32" t="s">
        <v>212</v>
      </c>
      <c r="E64" s="33">
        <v>38682917</v>
      </c>
      <c r="F64" s="32" t="s">
        <v>319</v>
      </c>
      <c r="G64" s="34" t="s">
        <v>318</v>
      </c>
      <c r="H64" s="32"/>
      <c r="I64" s="32"/>
      <c r="J64" s="34">
        <v>80030</v>
      </c>
      <c r="K64" s="34" t="s">
        <v>314</v>
      </c>
      <c r="L64" s="32" t="s">
        <v>133</v>
      </c>
      <c r="M64" s="34" t="s">
        <v>332</v>
      </c>
      <c r="N64" s="34">
        <v>1</v>
      </c>
      <c r="O64" s="32"/>
      <c r="P64" s="32">
        <v>10122</v>
      </c>
    </row>
    <row r="65" spans="1:16" x14ac:dyDescent="0.2">
      <c r="A65" s="32">
        <v>57</v>
      </c>
      <c r="B65" s="32" t="s">
        <v>465</v>
      </c>
      <c r="C65" s="32" t="s">
        <v>372</v>
      </c>
      <c r="D65" s="32" t="s">
        <v>466</v>
      </c>
      <c r="E65" s="33">
        <v>38682917</v>
      </c>
      <c r="F65" s="32" t="s">
        <v>319</v>
      </c>
      <c r="G65" s="34" t="s">
        <v>318</v>
      </c>
      <c r="H65" s="32"/>
      <c r="I65" s="32"/>
      <c r="J65" s="34">
        <v>1124</v>
      </c>
      <c r="K65" s="34" t="s">
        <v>314</v>
      </c>
      <c r="L65" s="32" t="s">
        <v>356</v>
      </c>
      <c r="M65" s="34" t="s">
        <v>332</v>
      </c>
      <c r="N65" s="34">
        <v>1</v>
      </c>
      <c r="O65" s="32"/>
      <c r="P65" s="32">
        <v>10269</v>
      </c>
    </row>
    <row r="66" spans="1:16" x14ac:dyDescent="0.2">
      <c r="A66" s="32">
        <v>58</v>
      </c>
      <c r="B66" s="32" t="s">
        <v>372</v>
      </c>
      <c r="C66" s="32" t="s">
        <v>372</v>
      </c>
      <c r="D66" s="32" t="s">
        <v>451</v>
      </c>
      <c r="E66" s="33">
        <v>38682917</v>
      </c>
      <c r="F66" s="32" t="s">
        <v>319</v>
      </c>
      <c r="G66" s="34" t="s">
        <v>318</v>
      </c>
      <c r="H66" s="32"/>
      <c r="I66" s="32"/>
      <c r="J66" s="34" t="s">
        <v>430</v>
      </c>
      <c r="K66" s="34" t="s">
        <v>334</v>
      </c>
      <c r="L66" s="32" t="s">
        <v>133</v>
      </c>
      <c r="M66" s="34" t="s">
        <v>668</v>
      </c>
      <c r="N66" s="34">
        <v>1</v>
      </c>
      <c r="O66" s="32"/>
      <c r="P66" s="32">
        <v>51247</v>
      </c>
    </row>
    <row r="67" spans="1:16" x14ac:dyDescent="0.2">
      <c r="A67" s="32">
        <v>59</v>
      </c>
      <c r="B67" s="32" t="s">
        <v>372</v>
      </c>
      <c r="C67" s="32" t="s">
        <v>372</v>
      </c>
      <c r="D67" s="32" t="s">
        <v>451</v>
      </c>
      <c r="E67" s="33">
        <v>38682917</v>
      </c>
      <c r="F67" s="32" t="s">
        <v>319</v>
      </c>
      <c r="G67" s="34" t="s">
        <v>318</v>
      </c>
      <c r="H67" s="32"/>
      <c r="I67" s="32"/>
      <c r="J67" s="34" t="s">
        <v>429</v>
      </c>
      <c r="K67" s="34" t="s">
        <v>314</v>
      </c>
      <c r="L67" s="32" t="s">
        <v>202</v>
      </c>
      <c r="M67" s="34" t="s">
        <v>668</v>
      </c>
      <c r="N67" s="34">
        <v>1</v>
      </c>
      <c r="O67" s="32"/>
      <c r="P67" s="32">
        <v>10555</v>
      </c>
    </row>
    <row r="68" spans="1:16" x14ac:dyDescent="0.2">
      <c r="A68" s="32">
        <v>60</v>
      </c>
      <c r="B68" s="32" t="s">
        <v>21</v>
      </c>
      <c r="C68" s="32" t="s">
        <v>136</v>
      </c>
      <c r="D68" s="32" t="s">
        <v>135</v>
      </c>
      <c r="E68" s="33">
        <v>38682917</v>
      </c>
      <c r="F68" s="32" t="s">
        <v>319</v>
      </c>
      <c r="G68" s="34" t="s">
        <v>318</v>
      </c>
      <c r="H68" s="32"/>
      <c r="I68" s="32"/>
      <c r="J68" s="34" t="s">
        <v>2</v>
      </c>
      <c r="K68" s="34" t="s">
        <v>314</v>
      </c>
      <c r="L68" s="32" t="s">
        <v>370</v>
      </c>
      <c r="M68" s="34" t="s">
        <v>332</v>
      </c>
      <c r="N68" s="34">
        <v>1</v>
      </c>
      <c r="O68" s="32">
        <v>55054</v>
      </c>
      <c r="P68" s="32">
        <v>54738</v>
      </c>
    </row>
    <row r="69" spans="1:16" x14ac:dyDescent="0.2">
      <c r="A69" s="32">
        <v>61</v>
      </c>
      <c r="B69" s="32" t="s">
        <v>12</v>
      </c>
      <c r="C69" s="32" t="s">
        <v>372</v>
      </c>
      <c r="D69" s="32" t="s">
        <v>373</v>
      </c>
      <c r="E69" s="33">
        <v>38682917</v>
      </c>
      <c r="F69" s="32" t="s">
        <v>319</v>
      </c>
      <c r="G69" s="34" t="s">
        <v>318</v>
      </c>
      <c r="H69" s="32"/>
      <c r="I69" s="32"/>
      <c r="J69" s="34" t="s">
        <v>206</v>
      </c>
      <c r="K69" s="34" t="s">
        <v>314</v>
      </c>
      <c r="L69" s="32" t="s">
        <v>343</v>
      </c>
      <c r="M69" s="34" t="s">
        <v>332</v>
      </c>
      <c r="N69" s="34">
        <v>1</v>
      </c>
      <c r="O69" s="32">
        <v>49647</v>
      </c>
      <c r="P69" s="32">
        <v>49323</v>
      </c>
    </row>
    <row r="70" spans="1:16" x14ac:dyDescent="0.2">
      <c r="A70" s="32">
        <v>62</v>
      </c>
      <c r="B70" s="32" t="s">
        <v>12</v>
      </c>
      <c r="C70" s="32" t="s">
        <v>372</v>
      </c>
      <c r="D70" s="32" t="s">
        <v>328</v>
      </c>
      <c r="E70" s="33">
        <v>38682917</v>
      </c>
      <c r="F70" s="32" t="s">
        <v>319</v>
      </c>
      <c r="G70" s="34" t="s">
        <v>318</v>
      </c>
      <c r="H70" s="32"/>
      <c r="I70" s="32"/>
      <c r="J70" s="34" t="s">
        <v>34</v>
      </c>
      <c r="K70" s="34" t="s">
        <v>314</v>
      </c>
      <c r="L70" s="32" t="s">
        <v>327</v>
      </c>
      <c r="M70" s="34" t="s">
        <v>326</v>
      </c>
      <c r="N70" s="34">
        <v>1</v>
      </c>
      <c r="O70" s="32"/>
      <c r="P70" s="32">
        <v>127282</v>
      </c>
    </row>
    <row r="71" spans="1:16" x14ac:dyDescent="0.2">
      <c r="A71" s="32">
        <v>63</v>
      </c>
      <c r="B71" s="32" t="s">
        <v>706</v>
      </c>
      <c r="C71" s="32" t="s">
        <v>372</v>
      </c>
      <c r="D71" s="32" t="s">
        <v>745</v>
      </c>
      <c r="E71" s="33"/>
      <c r="F71" s="32" t="s">
        <v>319</v>
      </c>
      <c r="G71" s="34" t="s">
        <v>318</v>
      </c>
      <c r="H71" s="32"/>
      <c r="I71" s="32"/>
      <c r="J71" s="34" t="s">
        <v>908</v>
      </c>
      <c r="K71" s="34" t="s">
        <v>314</v>
      </c>
      <c r="L71" s="32"/>
      <c r="M71" s="34" t="s">
        <v>332</v>
      </c>
      <c r="N71" s="34">
        <v>1</v>
      </c>
      <c r="O71" s="32">
        <v>163873</v>
      </c>
      <c r="P71" s="32">
        <v>163645</v>
      </c>
    </row>
    <row r="72" spans="1:16" ht="25.5" x14ac:dyDescent="0.2">
      <c r="A72" s="32">
        <v>64</v>
      </c>
      <c r="B72" s="32" t="s">
        <v>848</v>
      </c>
      <c r="C72" s="32" t="s">
        <v>372</v>
      </c>
      <c r="D72" s="32" t="s">
        <v>134</v>
      </c>
      <c r="E72" s="33"/>
      <c r="F72" s="32" t="s">
        <v>319</v>
      </c>
      <c r="G72" s="34" t="s">
        <v>318</v>
      </c>
      <c r="H72" s="32"/>
      <c r="I72" s="32"/>
      <c r="J72" s="34" t="s">
        <v>905</v>
      </c>
      <c r="K72" s="34" t="s">
        <v>314</v>
      </c>
      <c r="L72" s="32" t="s">
        <v>940</v>
      </c>
      <c r="M72" s="34" t="s">
        <v>680</v>
      </c>
      <c r="N72" s="34">
        <v>1</v>
      </c>
      <c r="O72" s="32">
        <v>684</v>
      </c>
      <c r="P72" s="32">
        <v>503</v>
      </c>
    </row>
    <row r="73" spans="1:16" x14ac:dyDescent="0.2">
      <c r="A73" s="32">
        <v>65</v>
      </c>
      <c r="B73" s="32" t="s">
        <v>241</v>
      </c>
      <c r="C73" s="32" t="s">
        <v>241</v>
      </c>
      <c r="D73" s="32" t="s">
        <v>240</v>
      </c>
      <c r="E73" s="33">
        <v>38691420</v>
      </c>
      <c r="F73" s="32" t="s">
        <v>126</v>
      </c>
      <c r="G73" s="34" t="s">
        <v>125</v>
      </c>
      <c r="H73" s="32"/>
      <c r="I73" s="32"/>
      <c r="J73" s="34">
        <v>4840</v>
      </c>
      <c r="K73" s="34" t="s">
        <v>314</v>
      </c>
      <c r="L73" s="32" t="s">
        <v>239</v>
      </c>
      <c r="M73" s="34" t="s">
        <v>313</v>
      </c>
      <c r="N73" s="34">
        <v>30</v>
      </c>
      <c r="O73" s="32">
        <v>276</v>
      </c>
      <c r="P73" s="32">
        <v>276</v>
      </c>
    </row>
    <row r="74" spans="1:16" x14ac:dyDescent="0.2">
      <c r="A74" s="32">
        <v>66</v>
      </c>
      <c r="B74" s="32" t="s">
        <v>450</v>
      </c>
      <c r="C74" s="32" t="s">
        <v>127</v>
      </c>
      <c r="D74" s="32" t="s">
        <v>443</v>
      </c>
      <c r="E74" s="33">
        <v>38691420</v>
      </c>
      <c r="F74" s="32" t="s">
        <v>126</v>
      </c>
      <c r="G74" s="34" t="s">
        <v>125</v>
      </c>
      <c r="H74" s="32"/>
      <c r="I74" s="32"/>
      <c r="J74" s="34" t="s">
        <v>124</v>
      </c>
      <c r="K74" s="34" t="s">
        <v>334</v>
      </c>
      <c r="L74" s="32" t="s">
        <v>123</v>
      </c>
      <c r="M74" s="34" t="s">
        <v>329</v>
      </c>
      <c r="N74" s="34">
        <v>1</v>
      </c>
      <c r="O74" s="32">
        <v>26799</v>
      </c>
      <c r="P74" s="32">
        <v>26565</v>
      </c>
    </row>
    <row r="75" spans="1:16" x14ac:dyDescent="0.2">
      <c r="A75" s="32">
        <v>67</v>
      </c>
      <c r="B75" s="32" t="s">
        <v>449</v>
      </c>
      <c r="C75" s="32" t="s">
        <v>127</v>
      </c>
      <c r="D75" s="32" t="s">
        <v>442</v>
      </c>
      <c r="E75" s="33">
        <v>38692555</v>
      </c>
      <c r="F75" s="32" t="s">
        <v>130</v>
      </c>
      <c r="G75" s="34" t="s">
        <v>129</v>
      </c>
      <c r="H75" s="32"/>
      <c r="I75" s="32"/>
      <c r="J75" s="34" t="s">
        <v>128</v>
      </c>
      <c r="K75" s="34" t="s">
        <v>314</v>
      </c>
      <c r="L75" s="32" t="s">
        <v>316</v>
      </c>
      <c r="M75" s="34" t="s">
        <v>315</v>
      </c>
      <c r="N75" s="34">
        <v>40</v>
      </c>
      <c r="O75" s="32">
        <v>4378</v>
      </c>
      <c r="P75" s="32">
        <v>4352</v>
      </c>
    </row>
    <row r="76" spans="1:16" x14ac:dyDescent="0.2">
      <c r="A76" s="32">
        <v>68</v>
      </c>
      <c r="B76" s="32" t="s">
        <v>261</v>
      </c>
      <c r="C76" s="32" t="s">
        <v>261</v>
      </c>
      <c r="D76" s="32" t="s">
        <v>120</v>
      </c>
      <c r="E76" s="33">
        <v>38681888</v>
      </c>
      <c r="F76" s="32" t="s">
        <v>547</v>
      </c>
      <c r="G76" s="34"/>
      <c r="H76" s="32"/>
      <c r="I76" s="32"/>
      <c r="J76" s="34" t="s">
        <v>260</v>
      </c>
      <c r="K76" s="34" t="s">
        <v>314</v>
      </c>
      <c r="L76" s="32" t="s">
        <v>327</v>
      </c>
      <c r="M76" s="34" t="s">
        <v>315</v>
      </c>
      <c r="N76" s="34">
        <v>1</v>
      </c>
      <c r="O76" s="32">
        <v>220521</v>
      </c>
      <c r="P76" s="32">
        <v>220060</v>
      </c>
    </row>
    <row r="77" spans="1:16" x14ac:dyDescent="0.2">
      <c r="A77" s="32">
        <v>69</v>
      </c>
      <c r="B77" s="32" t="s">
        <v>722</v>
      </c>
      <c r="C77" s="32" t="s">
        <v>722</v>
      </c>
      <c r="D77" s="32" t="s">
        <v>720</v>
      </c>
      <c r="E77" s="33"/>
      <c r="F77" s="32" t="s">
        <v>721</v>
      </c>
      <c r="G77" s="34" t="s">
        <v>725</v>
      </c>
      <c r="H77" s="32"/>
      <c r="I77" s="32"/>
      <c r="J77" s="34">
        <v>6906</v>
      </c>
      <c r="K77" s="34" t="s">
        <v>314</v>
      </c>
      <c r="L77" s="32" t="s">
        <v>327</v>
      </c>
      <c r="M77" s="34" t="s">
        <v>315</v>
      </c>
      <c r="N77" s="34">
        <v>1</v>
      </c>
      <c r="O77" s="32">
        <v>103209</v>
      </c>
      <c r="P77" s="32">
        <v>102870</v>
      </c>
    </row>
    <row r="78" spans="1:16" x14ac:dyDescent="0.2">
      <c r="A78" s="32">
        <v>70</v>
      </c>
      <c r="B78" s="32" t="s">
        <v>737</v>
      </c>
      <c r="C78" s="32" t="s">
        <v>399</v>
      </c>
      <c r="D78" s="32" t="s">
        <v>38</v>
      </c>
      <c r="E78" s="33">
        <v>36230523</v>
      </c>
      <c r="F78" s="32" t="s">
        <v>472</v>
      </c>
      <c r="G78" s="34" t="s">
        <v>929</v>
      </c>
      <c r="H78" s="32"/>
      <c r="I78" s="32"/>
      <c r="J78" s="34" t="s">
        <v>37</v>
      </c>
      <c r="K78" s="34" t="s">
        <v>314</v>
      </c>
      <c r="L78" s="32" t="s">
        <v>754</v>
      </c>
      <c r="M78" s="34" t="s">
        <v>668</v>
      </c>
      <c r="N78" s="34">
        <v>1</v>
      </c>
      <c r="O78" s="32">
        <v>272453</v>
      </c>
      <c r="P78" s="32">
        <v>269077</v>
      </c>
    </row>
    <row r="79" spans="1:16" x14ac:dyDescent="0.2">
      <c r="A79" s="27"/>
      <c r="B79" s="27"/>
      <c r="C79" s="27"/>
      <c r="D79" s="27"/>
      <c r="E79" s="28"/>
      <c r="F79" s="27"/>
      <c r="G79" s="29"/>
      <c r="H79" s="27"/>
      <c r="I79" s="27"/>
      <c r="J79" s="34"/>
      <c r="K79" s="29"/>
      <c r="L79" s="27"/>
      <c r="M79" s="29"/>
      <c r="N79" s="29"/>
      <c r="O79" s="27"/>
      <c r="P79" s="27"/>
    </row>
    <row r="80" spans="1:16" x14ac:dyDescent="0.2">
      <c r="A80" s="27">
        <v>72</v>
      </c>
      <c r="B80" s="27" t="s">
        <v>40</v>
      </c>
      <c r="C80" s="27" t="s">
        <v>399</v>
      </c>
      <c r="D80" s="27" t="s">
        <v>519</v>
      </c>
      <c r="E80" s="28">
        <v>36230523</v>
      </c>
      <c r="F80" s="27" t="s">
        <v>472</v>
      </c>
      <c r="G80" s="29" t="s">
        <v>929</v>
      </c>
      <c r="H80" s="27"/>
      <c r="I80" s="27"/>
      <c r="J80" s="34">
        <v>9456</v>
      </c>
      <c r="K80" s="29" t="s">
        <v>334</v>
      </c>
      <c r="L80" s="27" t="s">
        <v>738</v>
      </c>
      <c r="M80" s="29" t="s">
        <v>332</v>
      </c>
      <c r="N80" s="29">
        <v>1</v>
      </c>
      <c r="O80" s="27">
        <v>37564</v>
      </c>
      <c r="P80" s="27">
        <v>37564</v>
      </c>
    </row>
    <row r="81" spans="1:16" x14ac:dyDescent="0.2">
      <c r="A81" s="27">
        <v>73</v>
      </c>
      <c r="B81" s="27" t="s">
        <v>784</v>
      </c>
      <c r="C81" s="27" t="s">
        <v>399</v>
      </c>
      <c r="D81" s="27" t="s">
        <v>39</v>
      </c>
      <c r="E81" s="28">
        <v>972261616</v>
      </c>
      <c r="F81" s="27" t="s">
        <v>717</v>
      </c>
      <c r="G81" s="29" t="s">
        <v>718</v>
      </c>
      <c r="H81" s="27"/>
      <c r="I81" s="27"/>
      <c r="J81" s="34">
        <v>9307</v>
      </c>
      <c r="K81" s="29" t="s">
        <v>314</v>
      </c>
      <c r="L81" s="27" t="s">
        <v>352</v>
      </c>
      <c r="M81" s="29" t="s">
        <v>332</v>
      </c>
      <c r="N81" s="29">
        <v>1</v>
      </c>
      <c r="O81" s="27">
        <v>19929</v>
      </c>
      <c r="P81" s="27">
        <v>19739</v>
      </c>
    </row>
    <row r="82" spans="1:16" x14ac:dyDescent="0.2">
      <c r="A82" s="27">
        <v>74</v>
      </c>
      <c r="B82" s="27" t="s">
        <v>518</v>
      </c>
      <c r="C82" s="27" t="s">
        <v>399</v>
      </c>
      <c r="D82" s="27" t="s">
        <v>467</v>
      </c>
      <c r="E82" s="28"/>
      <c r="F82" s="27" t="s">
        <v>887</v>
      </c>
      <c r="G82" s="29" t="s">
        <v>510</v>
      </c>
      <c r="H82" s="27"/>
      <c r="I82" s="27"/>
      <c r="J82" s="34" t="s">
        <v>357</v>
      </c>
      <c r="K82" s="29" t="s">
        <v>314</v>
      </c>
      <c r="L82" s="27" t="s">
        <v>738</v>
      </c>
      <c r="M82" s="29" t="s">
        <v>332</v>
      </c>
      <c r="N82" s="29">
        <v>1</v>
      </c>
      <c r="O82" s="27">
        <v>227218</v>
      </c>
      <c r="P82" s="27">
        <v>226118</v>
      </c>
    </row>
    <row r="83" spans="1:16" x14ac:dyDescent="0.2">
      <c r="A83" s="27">
        <v>75</v>
      </c>
      <c r="B83" s="27" t="s">
        <v>916</v>
      </c>
      <c r="C83" s="27" t="s">
        <v>399</v>
      </c>
      <c r="D83" s="27" t="s">
        <v>773</v>
      </c>
      <c r="E83" s="28">
        <v>62781560</v>
      </c>
      <c r="F83" s="27" t="s">
        <v>353</v>
      </c>
      <c r="G83" s="29" t="s">
        <v>662</v>
      </c>
      <c r="H83" s="27"/>
      <c r="I83" s="27"/>
      <c r="J83" s="34">
        <v>3488</v>
      </c>
      <c r="K83" s="29" t="s">
        <v>314</v>
      </c>
      <c r="L83" s="27" t="s">
        <v>352</v>
      </c>
      <c r="M83" s="29" t="s">
        <v>332</v>
      </c>
      <c r="N83" s="29">
        <v>1</v>
      </c>
      <c r="O83" s="27">
        <v>270920</v>
      </c>
      <c r="P83" s="27">
        <v>269026</v>
      </c>
    </row>
    <row r="84" spans="1:16" x14ac:dyDescent="0.2">
      <c r="A84" s="27">
        <v>76</v>
      </c>
      <c r="B84" s="27" t="s">
        <v>610</v>
      </c>
      <c r="C84" s="27" t="s">
        <v>399</v>
      </c>
      <c r="D84" s="27" t="s">
        <v>773</v>
      </c>
      <c r="E84" s="28">
        <v>38240993</v>
      </c>
      <c r="F84" s="27" t="s">
        <v>888</v>
      </c>
      <c r="G84" s="29" t="s">
        <v>889</v>
      </c>
      <c r="H84" s="27"/>
      <c r="I84" s="27"/>
      <c r="J84" s="34">
        <v>2174</v>
      </c>
      <c r="K84" s="29" t="s">
        <v>314</v>
      </c>
      <c r="L84" s="27" t="s">
        <v>352</v>
      </c>
      <c r="M84" s="29" t="s">
        <v>332</v>
      </c>
      <c r="N84" s="29">
        <v>1</v>
      </c>
      <c r="O84" s="27">
        <v>46030</v>
      </c>
      <c r="P84" s="27">
        <v>45619</v>
      </c>
    </row>
    <row r="85" spans="1:16" x14ac:dyDescent="0.2">
      <c r="A85" s="27"/>
      <c r="B85" s="27"/>
      <c r="C85" s="27"/>
      <c r="D85" s="27"/>
      <c r="E85" s="28"/>
      <c r="F85" s="27"/>
      <c r="G85" s="29"/>
      <c r="H85" s="27"/>
      <c r="I85" s="27"/>
      <c r="J85" s="34"/>
      <c r="K85" s="29"/>
      <c r="L85" s="27"/>
      <c r="M85" s="29"/>
      <c r="N85" s="29"/>
      <c r="O85" s="27"/>
      <c r="P85" s="27"/>
    </row>
    <row r="86" spans="1:16" x14ac:dyDescent="0.2">
      <c r="A86" s="27">
        <v>78</v>
      </c>
      <c r="B86" s="27" t="s">
        <v>460</v>
      </c>
      <c r="C86" s="27" t="s">
        <v>399</v>
      </c>
      <c r="D86" s="27" t="s">
        <v>483</v>
      </c>
      <c r="E86" s="28">
        <v>62781536</v>
      </c>
      <c r="F86" s="27" t="s">
        <v>292</v>
      </c>
      <c r="G86" s="29" t="s">
        <v>351</v>
      </c>
      <c r="H86" s="27"/>
      <c r="I86" s="27"/>
      <c r="J86" s="34" t="s">
        <v>436</v>
      </c>
      <c r="K86" s="29" t="s">
        <v>334</v>
      </c>
      <c r="L86" s="27" t="s">
        <v>342</v>
      </c>
      <c r="M86" s="29" t="s">
        <v>332</v>
      </c>
      <c r="N86" s="29">
        <v>1</v>
      </c>
      <c r="O86" s="27">
        <v>262127</v>
      </c>
      <c r="P86" s="27">
        <v>259556</v>
      </c>
    </row>
    <row r="87" spans="1:16" x14ac:dyDescent="0.2">
      <c r="A87" s="27">
        <v>79</v>
      </c>
      <c r="B87" s="27" t="s">
        <v>616</v>
      </c>
      <c r="C87" s="27" t="s">
        <v>399</v>
      </c>
      <c r="D87" s="27" t="s">
        <v>617</v>
      </c>
      <c r="E87" s="28"/>
      <c r="F87" s="27" t="s">
        <v>492</v>
      </c>
      <c r="G87" s="29" t="s">
        <v>618</v>
      </c>
      <c r="H87" s="27"/>
      <c r="I87" s="27"/>
      <c r="J87" s="34">
        <v>4243</v>
      </c>
      <c r="K87" s="29" t="s">
        <v>334</v>
      </c>
      <c r="L87" s="27" t="s">
        <v>693</v>
      </c>
      <c r="M87" s="29" t="s">
        <v>332</v>
      </c>
      <c r="N87" s="29">
        <v>1</v>
      </c>
      <c r="O87" s="27">
        <v>25984</v>
      </c>
      <c r="P87" s="27">
        <v>25690</v>
      </c>
    </row>
    <row r="88" spans="1:16" x14ac:dyDescent="0.2">
      <c r="A88" s="27">
        <v>80</v>
      </c>
      <c r="B88" s="27" t="s">
        <v>849</v>
      </c>
      <c r="C88" s="27" t="s">
        <v>399</v>
      </c>
      <c r="D88" s="27" t="s">
        <v>512</v>
      </c>
      <c r="E88" s="28"/>
      <c r="F88" s="27" t="s">
        <v>850</v>
      </c>
      <c r="G88" s="29" t="s">
        <v>851</v>
      </c>
      <c r="H88" s="27"/>
      <c r="I88" s="27"/>
      <c r="J88" s="34" t="s">
        <v>513</v>
      </c>
      <c r="K88" s="29" t="s">
        <v>334</v>
      </c>
      <c r="L88" s="27" t="s">
        <v>686</v>
      </c>
      <c r="M88" s="29" t="s">
        <v>332</v>
      </c>
      <c r="N88" s="29">
        <v>1</v>
      </c>
      <c r="O88" s="27">
        <v>31944</v>
      </c>
      <c r="P88" s="27">
        <v>31890</v>
      </c>
    </row>
    <row r="89" spans="1:16" x14ac:dyDescent="0.2">
      <c r="A89" s="27">
        <v>81</v>
      </c>
      <c r="B89" s="27" t="s">
        <v>35</v>
      </c>
      <c r="C89" s="27" t="s">
        <v>399</v>
      </c>
      <c r="D89" s="27" t="s">
        <v>30</v>
      </c>
      <c r="E89" s="28">
        <v>36230351</v>
      </c>
      <c r="F89" s="27" t="s">
        <v>26</v>
      </c>
      <c r="G89" s="29"/>
      <c r="H89" s="27"/>
      <c r="I89" s="27"/>
      <c r="J89" s="34">
        <v>21748</v>
      </c>
      <c r="K89" s="29" t="s">
        <v>334</v>
      </c>
      <c r="L89" s="27" t="s">
        <v>367</v>
      </c>
      <c r="M89" s="29" t="s">
        <v>326</v>
      </c>
      <c r="N89" s="29">
        <v>1</v>
      </c>
      <c r="O89" s="27">
        <v>53658</v>
      </c>
      <c r="P89" s="27">
        <v>53532</v>
      </c>
    </row>
    <row r="90" spans="1:16" x14ac:dyDescent="0.2">
      <c r="A90" s="27">
        <v>82</v>
      </c>
      <c r="B90" s="27" t="s">
        <v>35</v>
      </c>
      <c r="C90" s="27" t="s">
        <v>399</v>
      </c>
      <c r="D90" s="27" t="s">
        <v>30</v>
      </c>
      <c r="E90" s="28">
        <v>36230351</v>
      </c>
      <c r="F90" s="27" t="s">
        <v>26</v>
      </c>
      <c r="G90" s="29"/>
      <c r="H90" s="27"/>
      <c r="I90" s="27"/>
      <c r="J90" s="34">
        <v>11098</v>
      </c>
      <c r="K90" s="29" t="s">
        <v>334</v>
      </c>
      <c r="L90" s="27" t="s">
        <v>367</v>
      </c>
      <c r="M90" s="29" t="s">
        <v>326</v>
      </c>
      <c r="N90" s="29">
        <v>1</v>
      </c>
      <c r="O90" s="27">
        <v>49776</v>
      </c>
      <c r="P90" s="27">
        <v>49493</v>
      </c>
    </row>
    <row r="91" spans="1:16" x14ac:dyDescent="0.2">
      <c r="A91" s="27">
        <v>83</v>
      </c>
      <c r="B91" s="27" t="s">
        <v>35</v>
      </c>
      <c r="C91" s="27" t="s">
        <v>399</v>
      </c>
      <c r="D91" s="27" t="s">
        <v>30</v>
      </c>
      <c r="E91" s="28">
        <v>36230351</v>
      </c>
      <c r="F91" s="27" t="s">
        <v>26</v>
      </c>
      <c r="G91" s="29"/>
      <c r="H91" s="27"/>
      <c r="I91" s="27"/>
      <c r="J91" s="34">
        <v>17107</v>
      </c>
      <c r="K91" s="29" t="s">
        <v>334</v>
      </c>
      <c r="L91" s="27" t="s">
        <v>367</v>
      </c>
      <c r="M91" s="29" t="s">
        <v>326</v>
      </c>
      <c r="N91" s="29">
        <v>1</v>
      </c>
      <c r="O91" s="27">
        <v>63791</v>
      </c>
      <c r="P91" s="27">
        <v>63275</v>
      </c>
    </row>
    <row r="92" spans="1:16" x14ac:dyDescent="0.2">
      <c r="A92" s="27">
        <v>84</v>
      </c>
      <c r="B92" s="27" t="s">
        <v>812</v>
      </c>
      <c r="C92" s="27" t="s">
        <v>399</v>
      </c>
      <c r="D92" s="27" t="s">
        <v>31</v>
      </c>
      <c r="E92" s="28"/>
      <c r="F92" s="27" t="s">
        <v>27</v>
      </c>
      <c r="G92" s="29" t="s">
        <v>930</v>
      </c>
      <c r="H92" s="27"/>
      <c r="I92" s="27"/>
      <c r="J92" s="34" t="s">
        <v>806</v>
      </c>
      <c r="K92" s="29" t="s">
        <v>334</v>
      </c>
      <c r="L92" s="27" t="s">
        <v>694</v>
      </c>
      <c r="M92" s="29" t="s">
        <v>326</v>
      </c>
      <c r="N92" s="29">
        <v>1</v>
      </c>
      <c r="O92" s="27">
        <v>5174</v>
      </c>
      <c r="P92" s="27">
        <v>4934</v>
      </c>
    </row>
    <row r="93" spans="1:16" x14ac:dyDescent="0.2">
      <c r="A93" s="27">
        <v>85</v>
      </c>
      <c r="B93" s="27" t="s">
        <v>812</v>
      </c>
      <c r="C93" s="27" t="s">
        <v>399</v>
      </c>
      <c r="D93" s="27" t="s">
        <v>30</v>
      </c>
      <c r="E93" s="28"/>
      <c r="F93" s="27" t="s">
        <v>27</v>
      </c>
      <c r="G93" s="29" t="s">
        <v>29</v>
      </c>
      <c r="H93" s="27"/>
      <c r="I93" s="27"/>
      <c r="J93" s="34">
        <v>1579</v>
      </c>
      <c r="K93" s="29" t="s">
        <v>334</v>
      </c>
      <c r="L93" s="27" t="s">
        <v>694</v>
      </c>
      <c r="M93" s="29" t="s">
        <v>326</v>
      </c>
      <c r="N93" s="29">
        <v>1</v>
      </c>
      <c r="O93" s="27">
        <v>26941</v>
      </c>
      <c r="P93" s="27">
        <v>26920</v>
      </c>
    </row>
    <row r="94" spans="1:16" x14ac:dyDescent="0.2">
      <c r="A94" s="27">
        <v>86</v>
      </c>
      <c r="B94" s="27" t="s">
        <v>812</v>
      </c>
      <c r="C94" s="27" t="s">
        <v>399</v>
      </c>
      <c r="D94" s="27" t="s">
        <v>121</v>
      </c>
      <c r="E94" s="28">
        <v>38618556</v>
      </c>
      <c r="F94" s="27" t="s">
        <v>27</v>
      </c>
      <c r="G94" s="29" t="s">
        <v>930</v>
      </c>
      <c r="H94" s="27"/>
      <c r="I94" s="27"/>
      <c r="J94" s="34" t="s">
        <v>122</v>
      </c>
      <c r="K94" s="29" t="s">
        <v>334</v>
      </c>
      <c r="L94" s="27" t="s">
        <v>367</v>
      </c>
      <c r="M94" s="29" t="s">
        <v>326</v>
      </c>
      <c r="N94" s="29">
        <v>1</v>
      </c>
      <c r="O94" s="27">
        <v>55503</v>
      </c>
      <c r="P94" s="27">
        <v>45500</v>
      </c>
    </row>
    <row r="95" spans="1:16" x14ac:dyDescent="0.2">
      <c r="A95" s="27">
        <v>87</v>
      </c>
      <c r="B95" s="27" t="s">
        <v>812</v>
      </c>
      <c r="C95" s="27" t="s">
        <v>399</v>
      </c>
      <c r="D95" s="27" t="s">
        <v>31</v>
      </c>
      <c r="E95" s="28">
        <v>38694583</v>
      </c>
      <c r="F95" s="27" t="s">
        <v>25</v>
      </c>
      <c r="G95" s="29" t="s">
        <v>930</v>
      </c>
      <c r="H95" s="27"/>
      <c r="I95" s="27"/>
      <c r="J95" s="34" t="s">
        <v>369</v>
      </c>
      <c r="K95" s="29" t="s">
        <v>314</v>
      </c>
      <c r="L95" s="27" t="s">
        <v>368</v>
      </c>
      <c r="M95" s="29" t="s">
        <v>326</v>
      </c>
      <c r="N95" s="29">
        <v>1</v>
      </c>
      <c r="O95" s="27">
        <v>207557</v>
      </c>
      <c r="P95" s="27">
        <v>206070</v>
      </c>
    </row>
    <row r="96" spans="1:16" x14ac:dyDescent="0.2">
      <c r="A96" s="27">
        <v>88</v>
      </c>
      <c r="B96" s="27" t="s">
        <v>812</v>
      </c>
      <c r="C96" s="27" t="s">
        <v>399</v>
      </c>
      <c r="D96" s="27" t="s">
        <v>30</v>
      </c>
      <c r="E96" s="28"/>
      <c r="F96" s="27" t="s">
        <v>27</v>
      </c>
      <c r="G96" s="29" t="s">
        <v>930</v>
      </c>
      <c r="H96" s="27"/>
      <c r="I96" s="27"/>
      <c r="J96" s="34">
        <v>22259</v>
      </c>
      <c r="K96" s="29" t="s">
        <v>334</v>
      </c>
      <c r="L96" s="27" t="s">
        <v>367</v>
      </c>
      <c r="M96" s="29" t="s">
        <v>326</v>
      </c>
      <c r="N96" s="29">
        <v>1</v>
      </c>
      <c r="O96" s="27">
        <v>73282</v>
      </c>
      <c r="P96" s="27">
        <v>72863</v>
      </c>
    </row>
    <row r="97" spans="1:16" x14ac:dyDescent="0.2">
      <c r="A97" s="27">
        <v>89</v>
      </c>
      <c r="B97" s="27" t="s">
        <v>812</v>
      </c>
      <c r="C97" s="27" t="s">
        <v>399</v>
      </c>
      <c r="D97" s="27" t="s">
        <v>30</v>
      </c>
      <c r="E97" s="28"/>
      <c r="F97" s="27" t="s">
        <v>27</v>
      </c>
      <c r="G97" s="29" t="s">
        <v>930</v>
      </c>
      <c r="H97" s="27"/>
      <c r="I97" s="27"/>
      <c r="J97" s="34">
        <v>43743</v>
      </c>
      <c r="K97" s="29" t="s">
        <v>334</v>
      </c>
      <c r="L97" s="27" t="s">
        <v>367</v>
      </c>
      <c r="M97" s="29" t="s">
        <v>326</v>
      </c>
      <c r="N97" s="29">
        <v>1</v>
      </c>
      <c r="O97" s="27">
        <v>43318</v>
      </c>
      <c r="P97" s="27">
        <v>43203</v>
      </c>
    </row>
    <row r="98" spans="1:16" x14ac:dyDescent="0.2">
      <c r="A98" s="27">
        <v>90</v>
      </c>
      <c r="B98" s="27" t="s">
        <v>812</v>
      </c>
      <c r="C98" s="27" t="s">
        <v>399</v>
      </c>
      <c r="D98" s="27" t="s">
        <v>30</v>
      </c>
      <c r="E98" s="28"/>
      <c r="F98" s="27" t="s">
        <v>27</v>
      </c>
      <c r="G98" s="29" t="s">
        <v>930</v>
      </c>
      <c r="H98" s="27"/>
      <c r="I98" s="27"/>
      <c r="J98" s="34">
        <v>43359</v>
      </c>
      <c r="K98" s="29" t="s">
        <v>334</v>
      </c>
      <c r="L98" s="27" t="s">
        <v>367</v>
      </c>
      <c r="M98" s="29" t="s">
        <v>326</v>
      </c>
      <c r="N98" s="29">
        <v>1</v>
      </c>
      <c r="O98" s="27">
        <v>24024</v>
      </c>
      <c r="P98" s="27">
        <v>24022</v>
      </c>
    </row>
    <row r="99" spans="1:16" x14ac:dyDescent="0.2">
      <c r="A99" s="27">
        <v>91</v>
      </c>
      <c r="B99" s="27" t="s">
        <v>35</v>
      </c>
      <c r="C99" s="27" t="s">
        <v>399</v>
      </c>
      <c r="D99" s="27" t="s">
        <v>30</v>
      </c>
      <c r="E99" s="28">
        <v>36230351</v>
      </c>
      <c r="F99" s="27" t="s">
        <v>26</v>
      </c>
      <c r="G99" s="29"/>
      <c r="H99" s="27"/>
      <c r="I99" s="27"/>
      <c r="J99" s="34" t="s">
        <v>640</v>
      </c>
      <c r="K99" s="29" t="s">
        <v>334</v>
      </c>
      <c r="L99" s="27" t="s">
        <v>367</v>
      </c>
      <c r="M99" s="29" t="s">
        <v>326</v>
      </c>
      <c r="N99" s="29">
        <v>1</v>
      </c>
      <c r="O99" s="27">
        <v>45464</v>
      </c>
      <c r="P99" s="27">
        <v>45256</v>
      </c>
    </row>
    <row r="100" spans="1:16" x14ac:dyDescent="0.2">
      <c r="A100" s="27">
        <v>92</v>
      </c>
      <c r="B100" s="27" t="s">
        <v>820</v>
      </c>
      <c r="C100" s="27" t="s">
        <v>399</v>
      </c>
      <c r="D100" s="27" t="s">
        <v>644</v>
      </c>
      <c r="E100" s="28">
        <v>934094589</v>
      </c>
      <c r="F100" s="27" t="s">
        <v>890</v>
      </c>
      <c r="G100" s="29" t="s">
        <v>891</v>
      </c>
      <c r="H100" s="27"/>
      <c r="I100" s="27"/>
      <c r="J100" s="34" t="s">
        <v>100</v>
      </c>
      <c r="K100" s="29" t="s">
        <v>334</v>
      </c>
      <c r="L100" s="27" t="s">
        <v>370</v>
      </c>
      <c r="M100" s="29" t="s">
        <v>332</v>
      </c>
      <c r="N100" s="29">
        <v>1</v>
      </c>
      <c r="O100" s="27">
        <v>33548</v>
      </c>
      <c r="P100" s="27">
        <v>33080</v>
      </c>
    </row>
    <row r="101" spans="1:16" x14ac:dyDescent="0.2">
      <c r="A101" s="27">
        <v>93</v>
      </c>
      <c r="B101" s="27" t="s">
        <v>613</v>
      </c>
      <c r="C101" s="27" t="s">
        <v>399</v>
      </c>
      <c r="D101" s="27" t="s">
        <v>379</v>
      </c>
      <c r="E101" s="28" t="s">
        <v>615</v>
      </c>
      <c r="F101" s="27" t="s">
        <v>614</v>
      </c>
      <c r="G101" s="29" t="s">
        <v>892</v>
      </c>
      <c r="H101" s="27"/>
      <c r="I101" s="27"/>
      <c r="J101" s="34" t="s">
        <v>3</v>
      </c>
      <c r="K101" s="29" t="s">
        <v>314</v>
      </c>
      <c r="L101" s="27" t="s">
        <v>370</v>
      </c>
      <c r="M101" s="29" t="s">
        <v>332</v>
      </c>
      <c r="N101" s="29">
        <v>1</v>
      </c>
      <c r="O101" s="27">
        <v>105782</v>
      </c>
      <c r="P101" s="27">
        <v>105302</v>
      </c>
    </row>
    <row r="102" spans="1:16" x14ac:dyDescent="0.2">
      <c r="A102" s="27">
        <v>94</v>
      </c>
      <c r="B102" s="27" t="s">
        <v>746</v>
      </c>
      <c r="C102" s="27" t="s">
        <v>399</v>
      </c>
      <c r="D102" s="27" t="s">
        <v>555</v>
      </c>
      <c r="E102" s="28">
        <v>36230523</v>
      </c>
      <c r="F102" s="27" t="s">
        <v>739</v>
      </c>
      <c r="G102" s="29" t="s">
        <v>740</v>
      </c>
      <c r="H102" s="27"/>
      <c r="I102" s="27"/>
      <c r="J102" s="34" t="s">
        <v>335</v>
      </c>
      <c r="K102" s="29" t="s">
        <v>334</v>
      </c>
      <c r="L102" s="27" t="s">
        <v>333</v>
      </c>
      <c r="M102" s="29" t="s">
        <v>332</v>
      </c>
      <c r="N102" s="29">
        <v>1</v>
      </c>
      <c r="O102" s="27">
        <v>5553</v>
      </c>
      <c r="P102" s="27">
        <v>5496</v>
      </c>
    </row>
    <row r="103" spans="1:16" x14ac:dyDescent="0.2">
      <c r="A103" s="27">
        <v>95</v>
      </c>
      <c r="B103" s="27" t="s">
        <v>785</v>
      </c>
      <c r="C103" s="27" t="s">
        <v>399</v>
      </c>
      <c r="D103" s="27" t="s">
        <v>773</v>
      </c>
      <c r="E103" s="28" t="s">
        <v>786</v>
      </c>
      <c r="F103" s="27"/>
      <c r="G103" s="29" t="s">
        <v>786</v>
      </c>
      <c r="H103" s="27"/>
      <c r="I103" s="27"/>
      <c r="J103" s="34">
        <v>8259</v>
      </c>
      <c r="K103" s="29" t="s">
        <v>334</v>
      </c>
      <c r="L103" s="27"/>
      <c r="M103" s="29" t="s">
        <v>332</v>
      </c>
      <c r="N103" s="29">
        <v>1</v>
      </c>
      <c r="O103" s="27"/>
      <c r="P103" s="27">
        <v>4554</v>
      </c>
    </row>
    <row r="104" spans="1:16" x14ac:dyDescent="0.2">
      <c r="A104" s="27">
        <v>96</v>
      </c>
      <c r="B104" s="27" t="s">
        <v>807</v>
      </c>
      <c r="C104" s="27"/>
      <c r="D104" s="27" t="s">
        <v>809</v>
      </c>
      <c r="E104" s="28"/>
      <c r="F104" s="27" t="s">
        <v>808</v>
      </c>
      <c r="G104" s="29" t="s">
        <v>810</v>
      </c>
      <c r="H104" s="27"/>
      <c r="I104" s="27"/>
      <c r="J104" s="34">
        <v>4882</v>
      </c>
      <c r="K104" s="29" t="s">
        <v>334</v>
      </c>
      <c r="L104" s="27"/>
      <c r="M104" s="29" t="s">
        <v>332</v>
      </c>
      <c r="N104" s="29">
        <v>1</v>
      </c>
      <c r="O104" s="27">
        <v>20823</v>
      </c>
      <c r="P104" s="27">
        <v>19387</v>
      </c>
    </row>
    <row r="105" spans="1:16" x14ac:dyDescent="0.2">
      <c r="A105" s="27">
        <v>97</v>
      </c>
      <c r="B105" s="27" t="s">
        <v>73</v>
      </c>
      <c r="C105" s="27" t="s">
        <v>340</v>
      </c>
      <c r="D105" s="27" t="s">
        <v>532</v>
      </c>
      <c r="E105" s="28"/>
      <c r="F105" s="27" t="s">
        <v>75</v>
      </c>
      <c r="G105" s="29" t="s">
        <v>173</v>
      </c>
      <c r="H105" s="27"/>
      <c r="I105" s="27"/>
      <c r="J105" s="34">
        <v>651</v>
      </c>
      <c r="K105" s="29" t="s">
        <v>334</v>
      </c>
      <c r="L105" s="27" t="s">
        <v>893</v>
      </c>
      <c r="M105" s="29" t="s">
        <v>332</v>
      </c>
      <c r="N105" s="29">
        <v>1</v>
      </c>
      <c r="O105" s="27">
        <v>12736</v>
      </c>
      <c r="P105" s="27">
        <v>12639</v>
      </c>
    </row>
    <row r="106" spans="1:16" x14ac:dyDescent="0.2">
      <c r="A106" s="27">
        <v>98</v>
      </c>
      <c r="B106" s="27" t="s">
        <v>119</v>
      </c>
      <c r="C106" s="27" t="s">
        <v>340</v>
      </c>
      <c r="D106" s="27" t="s">
        <v>461</v>
      </c>
      <c r="E106" s="28">
        <v>38683885</v>
      </c>
      <c r="F106" s="27" t="s">
        <v>350</v>
      </c>
      <c r="G106" s="29" t="s">
        <v>349</v>
      </c>
      <c r="H106" s="27"/>
      <c r="I106" s="27"/>
      <c r="J106" s="34">
        <v>3218</v>
      </c>
      <c r="K106" s="29" t="s">
        <v>334</v>
      </c>
      <c r="L106" s="27" t="s">
        <v>893</v>
      </c>
      <c r="M106" s="29" t="s">
        <v>332</v>
      </c>
      <c r="N106" s="29">
        <v>1</v>
      </c>
      <c r="O106" s="27">
        <v>4912</v>
      </c>
      <c r="P106" s="27">
        <v>4902</v>
      </c>
    </row>
    <row r="107" spans="1:16" x14ac:dyDescent="0.2">
      <c r="A107" s="27">
        <v>99</v>
      </c>
      <c r="B107" s="27" t="s">
        <v>811</v>
      </c>
      <c r="C107" s="27" t="s">
        <v>340</v>
      </c>
      <c r="D107" s="27" t="s">
        <v>175</v>
      </c>
      <c r="E107" s="28">
        <v>38683885</v>
      </c>
      <c r="F107" s="27" t="s">
        <v>174</v>
      </c>
      <c r="G107" s="29" t="s">
        <v>173</v>
      </c>
      <c r="H107" s="27"/>
      <c r="I107" s="27"/>
      <c r="J107" s="34" t="s">
        <v>172</v>
      </c>
      <c r="K107" s="29" t="s">
        <v>314</v>
      </c>
      <c r="L107" s="27" t="s">
        <v>171</v>
      </c>
      <c r="M107" s="29" t="s">
        <v>332</v>
      </c>
      <c r="N107" s="29">
        <v>1</v>
      </c>
      <c r="O107" s="27">
        <v>440826</v>
      </c>
      <c r="P107" s="27">
        <v>439786</v>
      </c>
    </row>
    <row r="108" spans="1:16" x14ac:dyDescent="0.2">
      <c r="A108" s="27">
        <v>100</v>
      </c>
      <c r="B108" s="27" t="s">
        <v>73</v>
      </c>
      <c r="C108" s="27" t="s">
        <v>340</v>
      </c>
      <c r="D108" s="27" t="s">
        <v>705</v>
      </c>
      <c r="E108" s="28"/>
      <c r="F108" s="27" t="s">
        <v>76</v>
      </c>
      <c r="G108" s="29" t="s">
        <v>173</v>
      </c>
      <c r="H108" s="27"/>
      <c r="I108" s="27"/>
      <c r="J108" s="34" t="s">
        <v>74</v>
      </c>
      <c r="K108" s="29" t="s">
        <v>314</v>
      </c>
      <c r="L108" s="27" t="s">
        <v>691</v>
      </c>
      <c r="M108" s="29" t="s">
        <v>56</v>
      </c>
      <c r="N108" s="29">
        <v>1</v>
      </c>
      <c r="O108" s="27">
        <v>277172</v>
      </c>
      <c r="P108" s="27">
        <v>276944</v>
      </c>
    </row>
    <row r="109" spans="1:16" x14ac:dyDescent="0.2">
      <c r="A109" s="27">
        <v>101</v>
      </c>
      <c r="B109" s="27" t="s">
        <v>11</v>
      </c>
      <c r="C109" s="27" t="s">
        <v>340</v>
      </c>
      <c r="D109" s="27" t="s">
        <v>52</v>
      </c>
      <c r="E109" s="28"/>
      <c r="F109" s="27" t="s">
        <v>59</v>
      </c>
      <c r="G109" s="29" t="s">
        <v>173</v>
      </c>
      <c r="H109" s="27"/>
      <c r="I109" s="27"/>
      <c r="J109" s="34" t="s">
        <v>53</v>
      </c>
      <c r="K109" s="29" t="s">
        <v>334</v>
      </c>
      <c r="L109" s="27" t="s">
        <v>55</v>
      </c>
      <c r="M109" s="29" t="s">
        <v>56</v>
      </c>
      <c r="N109" s="29">
        <v>1</v>
      </c>
      <c r="O109" s="27">
        <v>35751</v>
      </c>
      <c r="P109" s="27">
        <v>35751</v>
      </c>
    </row>
    <row r="110" spans="1:16" x14ac:dyDescent="0.2">
      <c r="A110" s="27">
        <v>102</v>
      </c>
      <c r="B110" s="27" t="s">
        <v>790</v>
      </c>
      <c r="C110" s="27" t="s">
        <v>340</v>
      </c>
      <c r="D110" s="27" t="s">
        <v>790</v>
      </c>
      <c r="E110" s="28"/>
      <c r="F110" s="27" t="s">
        <v>59</v>
      </c>
      <c r="G110" s="29" t="s">
        <v>173</v>
      </c>
      <c r="H110" s="27"/>
      <c r="I110" s="27"/>
      <c r="J110" s="34" t="s">
        <v>57</v>
      </c>
      <c r="K110" s="29" t="s">
        <v>334</v>
      </c>
      <c r="L110" s="27" t="s">
        <v>55</v>
      </c>
      <c r="M110" s="29" t="s">
        <v>56</v>
      </c>
      <c r="N110" s="29">
        <v>1</v>
      </c>
      <c r="O110" s="27"/>
      <c r="P110" s="27">
        <v>27486</v>
      </c>
    </row>
    <row r="111" spans="1:16" x14ac:dyDescent="0.2">
      <c r="A111" s="27">
        <v>103</v>
      </c>
      <c r="B111" s="27" t="s">
        <v>525</v>
      </c>
      <c r="C111" s="27" t="s">
        <v>340</v>
      </c>
      <c r="D111" s="27" t="s">
        <v>439</v>
      </c>
      <c r="E111" s="28">
        <v>38683885</v>
      </c>
      <c r="F111" s="27" t="s">
        <v>109</v>
      </c>
      <c r="G111" s="29" t="s">
        <v>170</v>
      </c>
      <c r="H111" s="27"/>
      <c r="I111" s="27"/>
      <c r="J111" s="34" t="s">
        <v>169</v>
      </c>
      <c r="K111" s="29" t="s">
        <v>314</v>
      </c>
      <c r="L111" s="27" t="s">
        <v>168</v>
      </c>
      <c r="M111" s="29" t="s">
        <v>332</v>
      </c>
      <c r="N111" s="29">
        <v>1</v>
      </c>
      <c r="O111" s="27">
        <v>79235</v>
      </c>
      <c r="P111" s="27">
        <v>77735</v>
      </c>
    </row>
    <row r="112" spans="1:16" x14ac:dyDescent="0.2">
      <c r="A112" s="27">
        <v>104</v>
      </c>
      <c r="B112" s="27" t="s">
        <v>842</v>
      </c>
      <c r="C112" s="27" t="s">
        <v>340</v>
      </c>
      <c r="D112" s="27" t="s">
        <v>844</v>
      </c>
      <c r="E112" s="28"/>
      <c r="F112" s="27" t="s">
        <v>865</v>
      </c>
      <c r="G112" s="29" t="s">
        <v>866</v>
      </c>
      <c r="H112" s="27"/>
      <c r="I112" s="27"/>
      <c r="J112" s="34">
        <v>57684</v>
      </c>
      <c r="K112" s="29" t="s">
        <v>334</v>
      </c>
      <c r="L112" s="27" t="s">
        <v>913</v>
      </c>
      <c r="M112" s="29" t="s">
        <v>332</v>
      </c>
      <c r="N112" s="29">
        <v>1</v>
      </c>
      <c r="O112" s="27">
        <v>1633</v>
      </c>
      <c r="P112" s="27">
        <v>1555</v>
      </c>
    </row>
    <row r="113" spans="1:16" x14ac:dyDescent="0.2">
      <c r="A113" s="27">
        <v>105</v>
      </c>
      <c r="B113" s="27" t="s">
        <v>17</v>
      </c>
      <c r="C113" s="27" t="s">
        <v>340</v>
      </c>
      <c r="D113" s="27" t="s">
        <v>46</v>
      </c>
      <c r="E113" s="28">
        <v>38683885</v>
      </c>
      <c r="F113" s="27" t="s">
        <v>42</v>
      </c>
      <c r="G113" s="29" t="s">
        <v>338</v>
      </c>
      <c r="H113" s="27"/>
      <c r="I113" s="27"/>
      <c r="J113" s="34" t="s">
        <v>43</v>
      </c>
      <c r="K113" s="29" t="s">
        <v>314</v>
      </c>
      <c r="L113" s="27" t="s">
        <v>44</v>
      </c>
      <c r="M113" s="29" t="s">
        <v>56</v>
      </c>
      <c r="N113" s="29">
        <v>1</v>
      </c>
      <c r="O113" s="27">
        <v>272328</v>
      </c>
      <c r="P113" s="27">
        <v>269254</v>
      </c>
    </row>
    <row r="114" spans="1:16" x14ac:dyDescent="0.2">
      <c r="A114" s="27">
        <v>106</v>
      </c>
      <c r="B114" s="27" t="s">
        <v>0</v>
      </c>
      <c r="C114" s="27" t="s">
        <v>340</v>
      </c>
      <c r="D114" s="27" t="s">
        <v>463</v>
      </c>
      <c r="E114" s="28">
        <v>38683885</v>
      </c>
      <c r="F114" s="27" t="s">
        <v>339</v>
      </c>
      <c r="G114" s="29" t="s">
        <v>338</v>
      </c>
      <c r="H114" s="27"/>
      <c r="I114" s="27"/>
      <c r="J114" s="34" t="s">
        <v>341</v>
      </c>
      <c r="K114" s="29" t="s">
        <v>334</v>
      </c>
      <c r="L114" s="27" t="s">
        <v>336</v>
      </c>
      <c r="M114" s="29" t="s">
        <v>56</v>
      </c>
      <c r="N114" s="29">
        <v>1</v>
      </c>
      <c r="O114" s="27">
        <v>80936</v>
      </c>
      <c r="P114" s="27">
        <v>80674</v>
      </c>
    </row>
    <row r="115" spans="1:16" x14ac:dyDescent="0.2">
      <c r="A115" s="27">
        <v>107</v>
      </c>
      <c r="B115" s="27" t="s">
        <v>1</v>
      </c>
      <c r="C115" s="27" t="s">
        <v>340</v>
      </c>
      <c r="D115" s="27" t="s">
        <v>463</v>
      </c>
      <c r="E115" s="28">
        <v>38683885</v>
      </c>
      <c r="F115" s="27" t="s">
        <v>339</v>
      </c>
      <c r="G115" s="29" t="s">
        <v>338</v>
      </c>
      <c r="H115" s="27"/>
      <c r="I115" s="27"/>
      <c r="J115" s="34" t="s">
        <v>337</v>
      </c>
      <c r="K115" s="29" t="s">
        <v>334</v>
      </c>
      <c r="L115" s="27" t="s">
        <v>336</v>
      </c>
      <c r="M115" s="29" t="s">
        <v>56</v>
      </c>
      <c r="N115" s="29">
        <v>1</v>
      </c>
      <c r="O115" s="27">
        <v>33120</v>
      </c>
      <c r="P115" s="27">
        <v>33102</v>
      </c>
    </row>
    <row r="116" spans="1:16" x14ac:dyDescent="0.2">
      <c r="A116" s="27">
        <v>108</v>
      </c>
      <c r="B116" s="27" t="s">
        <v>457</v>
      </c>
      <c r="C116" s="27" t="s">
        <v>340</v>
      </c>
      <c r="D116" s="27" t="s">
        <v>458</v>
      </c>
      <c r="E116" s="28">
        <v>38683885</v>
      </c>
      <c r="F116" s="27" t="s">
        <v>339</v>
      </c>
      <c r="G116" s="29" t="s">
        <v>338</v>
      </c>
      <c r="H116" s="27"/>
      <c r="I116" s="27"/>
      <c r="J116" s="34" t="s">
        <v>391</v>
      </c>
      <c r="K116" s="29" t="s">
        <v>334</v>
      </c>
      <c r="L116" s="27" t="s">
        <v>336</v>
      </c>
      <c r="M116" s="29" t="s">
        <v>56</v>
      </c>
      <c r="N116" s="29">
        <v>1</v>
      </c>
      <c r="O116" s="27">
        <v>7592</v>
      </c>
      <c r="P116" s="27">
        <v>7592</v>
      </c>
    </row>
    <row r="117" spans="1:16" x14ac:dyDescent="0.2">
      <c r="A117" s="27">
        <v>109</v>
      </c>
      <c r="B117" s="27" t="s">
        <v>457</v>
      </c>
      <c r="C117" s="27" t="s">
        <v>340</v>
      </c>
      <c r="D117" s="27" t="s">
        <v>458</v>
      </c>
      <c r="E117" s="28">
        <v>38683885</v>
      </c>
      <c r="F117" s="27" t="s">
        <v>339</v>
      </c>
      <c r="G117" s="29" t="s">
        <v>338</v>
      </c>
      <c r="H117" s="27"/>
      <c r="I117" s="27"/>
      <c r="J117" s="34" t="s">
        <v>390</v>
      </c>
      <c r="K117" s="29" t="s">
        <v>334</v>
      </c>
      <c r="L117" s="27" t="s">
        <v>336</v>
      </c>
      <c r="M117" s="29" t="s">
        <v>56</v>
      </c>
      <c r="N117" s="29">
        <v>1</v>
      </c>
      <c r="O117" s="27">
        <v>32562</v>
      </c>
      <c r="P117" s="27">
        <v>32346</v>
      </c>
    </row>
    <row r="118" spans="1:16" x14ac:dyDescent="0.2">
      <c r="A118" s="27">
        <v>110</v>
      </c>
      <c r="B118" s="27" t="s">
        <v>456</v>
      </c>
      <c r="C118" s="27" t="s">
        <v>340</v>
      </c>
      <c r="D118" s="27" t="s">
        <v>459</v>
      </c>
      <c r="E118" s="28">
        <v>38683885</v>
      </c>
      <c r="F118" s="27" t="s">
        <v>174</v>
      </c>
      <c r="G118" s="29" t="s">
        <v>173</v>
      </c>
      <c r="H118" s="27"/>
      <c r="I118" s="27"/>
      <c r="J118" s="34" t="s">
        <v>285</v>
      </c>
      <c r="K118" s="29" t="s">
        <v>334</v>
      </c>
      <c r="L118" s="27" t="s">
        <v>389</v>
      </c>
      <c r="M118" s="29" t="s">
        <v>680</v>
      </c>
      <c r="N118" s="29">
        <v>1</v>
      </c>
      <c r="O118" s="27">
        <v>24697</v>
      </c>
      <c r="P118" s="27">
        <v>24407</v>
      </c>
    </row>
    <row r="119" spans="1:16" x14ac:dyDescent="0.2">
      <c r="A119" s="27">
        <v>111</v>
      </c>
      <c r="B119" s="27" t="s">
        <v>22</v>
      </c>
      <c r="C119" s="27" t="s">
        <v>340</v>
      </c>
      <c r="D119" s="27" t="s">
        <v>50</v>
      </c>
      <c r="E119" s="28">
        <v>38683885</v>
      </c>
      <c r="F119" s="27" t="s">
        <v>60</v>
      </c>
      <c r="G119" s="29" t="s">
        <v>338</v>
      </c>
      <c r="H119" s="27"/>
      <c r="I119" s="27"/>
      <c r="J119" s="34" t="s">
        <v>51</v>
      </c>
      <c r="K119" s="29" t="s">
        <v>334</v>
      </c>
      <c r="L119" s="27" t="s">
        <v>54</v>
      </c>
      <c r="M119" s="29" t="s">
        <v>56</v>
      </c>
      <c r="N119" s="29">
        <v>1</v>
      </c>
      <c r="O119" s="27">
        <v>36568</v>
      </c>
      <c r="P119" s="27">
        <v>36332</v>
      </c>
    </row>
    <row r="120" spans="1:16" x14ac:dyDescent="0.2">
      <c r="A120" s="27">
        <v>112</v>
      </c>
      <c r="B120" s="27" t="s">
        <v>592</v>
      </c>
      <c r="C120" s="27" t="s">
        <v>340</v>
      </c>
      <c r="D120" s="27" t="s">
        <v>593</v>
      </c>
      <c r="E120" s="28"/>
      <c r="F120" s="27" t="s">
        <v>60</v>
      </c>
      <c r="G120" s="29" t="s">
        <v>338</v>
      </c>
      <c r="H120" s="27"/>
      <c r="I120" s="27"/>
      <c r="J120" s="34">
        <v>3478</v>
      </c>
      <c r="K120" s="29" t="s">
        <v>334</v>
      </c>
      <c r="L120" s="27" t="s">
        <v>695</v>
      </c>
      <c r="M120" s="29" t="s">
        <v>56</v>
      </c>
      <c r="N120" s="29">
        <v>1</v>
      </c>
      <c r="O120" s="27">
        <v>58679</v>
      </c>
      <c r="P120" s="27">
        <v>57928</v>
      </c>
    </row>
    <row r="121" spans="1:16" x14ac:dyDescent="0.2">
      <c r="A121" s="27">
        <v>113</v>
      </c>
      <c r="B121" s="27" t="s">
        <v>836</v>
      </c>
      <c r="C121" s="27" t="s">
        <v>340</v>
      </c>
      <c r="D121" s="27" t="s">
        <v>837</v>
      </c>
      <c r="E121" s="28"/>
      <c r="F121" s="27" t="s">
        <v>339</v>
      </c>
      <c r="G121" s="29" t="s">
        <v>338</v>
      </c>
      <c r="H121" s="27"/>
      <c r="I121" s="27"/>
      <c r="J121" s="36" t="s">
        <v>943</v>
      </c>
      <c r="K121" s="29" t="s">
        <v>334</v>
      </c>
      <c r="L121" s="27"/>
      <c r="M121" s="29" t="s">
        <v>56</v>
      </c>
      <c r="N121" s="29">
        <v>1</v>
      </c>
      <c r="O121" s="27">
        <v>270</v>
      </c>
      <c r="P121" s="27">
        <v>242</v>
      </c>
    </row>
    <row r="122" spans="1:16" x14ac:dyDescent="0.2">
      <c r="A122" s="27">
        <v>114</v>
      </c>
      <c r="B122" s="27" t="s">
        <v>843</v>
      </c>
      <c r="C122" s="27" t="s">
        <v>340</v>
      </c>
      <c r="D122" s="27" t="s">
        <v>586</v>
      </c>
      <c r="E122" s="28"/>
      <c r="F122" s="27" t="s">
        <v>60</v>
      </c>
      <c r="G122" s="29" t="s">
        <v>338</v>
      </c>
      <c r="H122" s="27"/>
      <c r="I122" s="27"/>
      <c r="J122" s="34">
        <v>6352</v>
      </c>
      <c r="K122" s="29" t="s">
        <v>314</v>
      </c>
      <c r="L122" s="27" t="s">
        <v>696</v>
      </c>
      <c r="M122" s="29" t="s">
        <v>668</v>
      </c>
      <c r="N122" s="29">
        <v>1</v>
      </c>
      <c r="O122" s="27">
        <v>69543</v>
      </c>
      <c r="P122" s="27">
        <v>68459</v>
      </c>
    </row>
    <row r="123" spans="1:16" x14ac:dyDescent="0.2">
      <c r="A123" s="27">
        <v>115</v>
      </c>
      <c r="B123" s="27" t="s">
        <v>708</v>
      </c>
      <c r="C123" s="27" t="s">
        <v>708</v>
      </c>
      <c r="D123" s="27" t="s">
        <v>774</v>
      </c>
      <c r="E123" s="28"/>
      <c r="F123" s="27" t="s">
        <v>755</v>
      </c>
      <c r="G123" s="29" t="s">
        <v>756</v>
      </c>
      <c r="H123" s="27"/>
      <c r="I123" s="27"/>
      <c r="J123" s="34">
        <v>4722</v>
      </c>
      <c r="K123" s="29" t="s">
        <v>334</v>
      </c>
      <c r="L123" s="27"/>
      <c r="M123" s="29" t="s">
        <v>56</v>
      </c>
      <c r="N123" s="29">
        <v>1</v>
      </c>
      <c r="O123" s="27"/>
      <c r="P123" s="27">
        <v>7649</v>
      </c>
    </row>
    <row r="124" spans="1:16" x14ac:dyDescent="0.2">
      <c r="A124" s="27">
        <v>116</v>
      </c>
      <c r="B124" s="27" t="s">
        <v>781</v>
      </c>
      <c r="C124" s="27" t="s">
        <v>781</v>
      </c>
      <c r="D124" s="27" t="s">
        <v>780</v>
      </c>
      <c r="E124" s="28"/>
      <c r="F124" s="27" t="s">
        <v>174</v>
      </c>
      <c r="G124" s="29" t="s">
        <v>587</v>
      </c>
      <c r="H124" s="27"/>
      <c r="I124" s="27"/>
      <c r="J124" s="34">
        <v>2130</v>
      </c>
      <c r="K124" s="29" t="s">
        <v>334</v>
      </c>
      <c r="L124" s="27"/>
      <c r="M124" s="29" t="s">
        <v>56</v>
      </c>
      <c r="N124" s="29">
        <v>1</v>
      </c>
      <c r="O124" s="27"/>
      <c r="P124" s="27">
        <v>7276</v>
      </c>
    </row>
    <row r="125" spans="1:16" x14ac:dyDescent="0.2">
      <c r="A125" s="27">
        <v>117</v>
      </c>
      <c r="B125" s="27" t="s">
        <v>438</v>
      </c>
      <c r="C125" s="27" t="s">
        <v>163</v>
      </c>
      <c r="D125" s="27" t="s">
        <v>162</v>
      </c>
      <c r="E125" s="28">
        <v>36230435</v>
      </c>
      <c r="F125" s="27" t="s">
        <v>161</v>
      </c>
      <c r="G125" s="29" t="s">
        <v>160</v>
      </c>
      <c r="H125" s="27"/>
      <c r="I125" s="27"/>
      <c r="J125" s="34" t="s">
        <v>186</v>
      </c>
      <c r="K125" s="29" t="s">
        <v>334</v>
      </c>
      <c r="L125" s="27" t="s">
        <v>327</v>
      </c>
      <c r="M125" s="29" t="s">
        <v>332</v>
      </c>
      <c r="N125" s="29">
        <v>1</v>
      </c>
      <c r="O125" s="27">
        <v>1657</v>
      </c>
      <c r="P125" s="27">
        <v>1657</v>
      </c>
    </row>
    <row r="126" spans="1:16" x14ac:dyDescent="0.2">
      <c r="A126" s="27">
        <v>118</v>
      </c>
      <c r="B126" s="27" t="s">
        <v>163</v>
      </c>
      <c r="C126" s="27" t="s">
        <v>163</v>
      </c>
      <c r="D126" s="27" t="s">
        <v>162</v>
      </c>
      <c r="E126" s="28">
        <v>36230435</v>
      </c>
      <c r="F126" s="27" t="s">
        <v>161</v>
      </c>
      <c r="G126" s="29" t="s">
        <v>160</v>
      </c>
      <c r="H126" s="27"/>
      <c r="I126" s="27"/>
      <c r="J126" s="34" t="s">
        <v>185</v>
      </c>
      <c r="K126" s="29" t="s">
        <v>334</v>
      </c>
      <c r="L126" s="27" t="s">
        <v>327</v>
      </c>
      <c r="M126" s="29" t="s">
        <v>332</v>
      </c>
      <c r="N126" s="29">
        <v>1</v>
      </c>
      <c r="O126" s="27">
        <v>1386</v>
      </c>
      <c r="P126" s="27">
        <v>1386</v>
      </c>
    </row>
    <row r="127" spans="1:16" x14ac:dyDescent="0.2">
      <c r="A127" s="27">
        <v>119</v>
      </c>
      <c r="B127" s="27" t="s">
        <v>440</v>
      </c>
      <c r="C127" s="27" t="s">
        <v>163</v>
      </c>
      <c r="D127" s="27" t="s">
        <v>441</v>
      </c>
      <c r="E127" s="28">
        <v>36230435</v>
      </c>
      <c r="F127" s="27" t="s">
        <v>144</v>
      </c>
      <c r="G127" s="29" t="s">
        <v>143</v>
      </c>
      <c r="H127" s="27"/>
      <c r="I127" s="27"/>
      <c r="J127" s="34" t="s">
        <v>545</v>
      </c>
      <c r="K127" s="29" t="s">
        <v>334</v>
      </c>
      <c r="L127" s="27" t="s">
        <v>289</v>
      </c>
      <c r="M127" s="29" t="s">
        <v>332</v>
      </c>
      <c r="N127" s="29">
        <v>1</v>
      </c>
      <c r="O127" s="27"/>
      <c r="P127" s="27"/>
    </row>
    <row r="128" spans="1:16" x14ac:dyDescent="0.2">
      <c r="A128" s="27">
        <v>120</v>
      </c>
      <c r="B128" s="27" t="s">
        <v>622</v>
      </c>
      <c r="C128" s="27" t="s">
        <v>438</v>
      </c>
      <c r="D128" s="27" t="s">
        <v>428</v>
      </c>
      <c r="E128" s="28"/>
      <c r="F128" s="27" t="s">
        <v>144</v>
      </c>
      <c r="G128" s="29" t="s">
        <v>143</v>
      </c>
      <c r="H128" s="27"/>
      <c r="I128" s="27"/>
      <c r="J128" s="34" t="s">
        <v>471</v>
      </c>
      <c r="K128" s="29" t="s">
        <v>314</v>
      </c>
      <c r="L128" s="27" t="s">
        <v>137</v>
      </c>
      <c r="M128" s="29" t="s">
        <v>681</v>
      </c>
      <c r="N128" s="29">
        <v>1</v>
      </c>
      <c r="O128" s="27">
        <v>514740</v>
      </c>
      <c r="P128" s="27">
        <v>509926</v>
      </c>
    </row>
    <row r="129" spans="1:16" x14ac:dyDescent="0.2">
      <c r="A129" s="27">
        <v>121</v>
      </c>
      <c r="B129" s="27" t="s">
        <v>765</v>
      </c>
      <c r="C129" s="27" t="s">
        <v>142</v>
      </c>
      <c r="D129" s="27" t="s">
        <v>766</v>
      </c>
      <c r="E129" s="28"/>
      <c r="F129" s="27" t="s">
        <v>767</v>
      </c>
      <c r="G129" s="29" t="s">
        <v>768</v>
      </c>
      <c r="H129" s="27"/>
      <c r="I129" s="27"/>
      <c r="J129" s="34" t="s">
        <v>48</v>
      </c>
      <c r="K129" s="29" t="s">
        <v>314</v>
      </c>
      <c r="L129" s="27" t="s">
        <v>289</v>
      </c>
      <c r="M129" s="29" t="s">
        <v>332</v>
      </c>
      <c r="N129" s="29">
        <v>100</v>
      </c>
      <c r="O129" s="27">
        <v>8254</v>
      </c>
      <c r="P129" s="27">
        <v>8200</v>
      </c>
    </row>
    <row r="130" spans="1:16" x14ac:dyDescent="0.2">
      <c r="A130" s="27">
        <v>122</v>
      </c>
      <c r="B130" s="27" t="s">
        <v>544</v>
      </c>
      <c r="C130" s="27" t="s">
        <v>142</v>
      </c>
      <c r="D130" s="27" t="s">
        <v>543</v>
      </c>
      <c r="E130" s="28" t="s">
        <v>490</v>
      </c>
      <c r="F130" s="27" t="s">
        <v>36</v>
      </c>
      <c r="G130" s="29" t="s">
        <v>490</v>
      </c>
      <c r="H130" s="27"/>
      <c r="I130" s="27"/>
      <c r="J130" s="34">
        <v>387</v>
      </c>
      <c r="K130" s="29" t="s">
        <v>314</v>
      </c>
      <c r="L130" s="27" t="s">
        <v>491</v>
      </c>
      <c r="M130" s="29" t="s">
        <v>668</v>
      </c>
      <c r="N130" s="29">
        <v>1</v>
      </c>
      <c r="O130" s="27"/>
      <c r="P130" s="27">
        <v>89999</v>
      </c>
    </row>
    <row r="131" spans="1:16" x14ac:dyDescent="0.2">
      <c r="A131" s="27">
        <v>123</v>
      </c>
      <c r="B131" s="27" t="s">
        <v>400</v>
      </c>
      <c r="C131" s="27" t="s">
        <v>400</v>
      </c>
      <c r="D131" s="27" t="s">
        <v>894</v>
      </c>
      <c r="E131" s="28"/>
      <c r="F131" s="27"/>
      <c r="G131" s="29"/>
      <c r="H131" s="27"/>
      <c r="I131" s="27"/>
      <c r="J131" s="34">
        <v>4593</v>
      </c>
      <c r="K131" s="29" t="s">
        <v>314</v>
      </c>
      <c r="L131" s="27" t="s">
        <v>895</v>
      </c>
      <c r="M131" s="29" t="s">
        <v>326</v>
      </c>
      <c r="N131" s="29">
        <v>1</v>
      </c>
      <c r="O131" s="27"/>
      <c r="P131" s="27">
        <v>7146</v>
      </c>
    </row>
    <row r="132" spans="1:16" x14ac:dyDescent="0.2">
      <c r="A132" s="27">
        <v>124</v>
      </c>
      <c r="B132" s="27" t="s">
        <v>867</v>
      </c>
      <c r="C132" s="27" t="s">
        <v>400</v>
      </c>
      <c r="D132" s="27" t="s">
        <v>216</v>
      </c>
      <c r="E132" s="28">
        <v>38693782</v>
      </c>
      <c r="F132" s="27" t="s">
        <v>797</v>
      </c>
      <c r="G132" s="29" t="s">
        <v>526</v>
      </c>
      <c r="H132" s="27"/>
      <c r="I132" s="27"/>
      <c r="J132" s="34">
        <v>4057</v>
      </c>
      <c r="K132" s="29" t="s">
        <v>314</v>
      </c>
      <c r="L132" s="27" t="s">
        <v>327</v>
      </c>
      <c r="M132" s="29" t="s">
        <v>326</v>
      </c>
      <c r="N132" s="29">
        <v>1</v>
      </c>
      <c r="O132" s="27">
        <v>1021058</v>
      </c>
      <c r="P132" s="27">
        <v>1018545</v>
      </c>
    </row>
    <row r="133" spans="1:16" x14ac:dyDescent="0.2">
      <c r="A133" s="27">
        <v>125</v>
      </c>
      <c r="B133" s="27" t="s">
        <v>867</v>
      </c>
      <c r="C133" s="27" t="s">
        <v>400</v>
      </c>
      <c r="D133" s="27" t="s">
        <v>217</v>
      </c>
      <c r="E133" s="28">
        <v>38693782</v>
      </c>
      <c r="F133" s="27" t="s">
        <v>797</v>
      </c>
      <c r="G133" s="29" t="s">
        <v>526</v>
      </c>
      <c r="H133" s="27"/>
      <c r="I133" s="27"/>
      <c r="J133" s="34" t="s">
        <v>49</v>
      </c>
      <c r="K133" s="29" t="s">
        <v>314</v>
      </c>
      <c r="L133" s="27" t="s">
        <v>145</v>
      </c>
      <c r="M133" s="29" t="s">
        <v>326</v>
      </c>
      <c r="N133" s="29">
        <v>1</v>
      </c>
      <c r="O133" s="27"/>
      <c r="P133" s="27">
        <v>310815</v>
      </c>
    </row>
    <row r="134" spans="1:16" x14ac:dyDescent="0.2">
      <c r="A134" s="27">
        <v>126</v>
      </c>
      <c r="B134" s="27" t="s">
        <v>511</v>
      </c>
      <c r="C134" s="27" t="s">
        <v>400</v>
      </c>
      <c r="D134" s="27" t="s">
        <v>106</v>
      </c>
      <c r="E134" s="28"/>
      <c r="F134" s="27" t="s">
        <v>105</v>
      </c>
      <c r="G134" s="29" t="s">
        <v>107</v>
      </c>
      <c r="H134" s="27"/>
      <c r="I134" s="27"/>
      <c r="J134" s="34" t="s">
        <v>108</v>
      </c>
      <c r="K134" s="29" t="s">
        <v>334</v>
      </c>
      <c r="L134" s="27" t="s">
        <v>697</v>
      </c>
      <c r="M134" s="29" t="s">
        <v>326</v>
      </c>
      <c r="N134" s="29">
        <v>1</v>
      </c>
      <c r="O134" s="27"/>
      <c r="P134" s="27">
        <v>16271</v>
      </c>
    </row>
    <row r="135" spans="1:16" x14ac:dyDescent="0.2">
      <c r="A135" s="27">
        <v>128</v>
      </c>
      <c r="B135" s="27" t="s">
        <v>514</v>
      </c>
      <c r="C135" s="27" t="s">
        <v>400</v>
      </c>
      <c r="D135" s="27" t="s">
        <v>515</v>
      </c>
      <c r="E135" s="28"/>
      <c r="F135" s="27" t="s">
        <v>105</v>
      </c>
      <c r="G135" s="29" t="s">
        <v>107</v>
      </c>
      <c r="H135" s="27"/>
      <c r="I135" s="27"/>
      <c r="J135" s="34" t="s">
        <v>516</v>
      </c>
      <c r="K135" s="29" t="s">
        <v>334</v>
      </c>
      <c r="L135" s="27" t="s">
        <v>517</v>
      </c>
      <c r="M135" s="29" t="s">
        <v>326</v>
      </c>
      <c r="N135" s="29">
        <v>1</v>
      </c>
      <c r="O135" s="27"/>
      <c r="P135" s="27">
        <v>3595</v>
      </c>
    </row>
    <row r="136" spans="1:16" x14ac:dyDescent="0.2">
      <c r="A136" s="27">
        <v>129</v>
      </c>
      <c r="B136" s="27" t="s">
        <v>795</v>
      </c>
      <c r="C136" s="27" t="s">
        <v>796</v>
      </c>
      <c r="D136" s="27" t="s">
        <v>527</v>
      </c>
      <c r="E136" s="28"/>
      <c r="F136" s="27" t="s">
        <v>802</v>
      </c>
      <c r="G136" s="29" t="s">
        <v>803</v>
      </c>
      <c r="H136" s="27"/>
      <c r="I136" s="27"/>
      <c r="J136" s="34">
        <v>3598</v>
      </c>
      <c r="K136" s="29" t="s">
        <v>314</v>
      </c>
      <c r="L136" s="27" t="s">
        <v>681</v>
      </c>
      <c r="M136" s="29" t="s">
        <v>681</v>
      </c>
      <c r="N136" s="29">
        <v>60</v>
      </c>
      <c r="O136" s="27"/>
      <c r="P136" s="27">
        <v>5473</v>
      </c>
    </row>
    <row r="137" spans="1:16" x14ac:dyDescent="0.2">
      <c r="A137" s="27">
        <v>130</v>
      </c>
      <c r="B137" s="27" t="s">
        <v>661</v>
      </c>
      <c r="C137" s="27" t="s">
        <v>661</v>
      </c>
      <c r="D137" s="27" t="s">
        <v>876</v>
      </c>
      <c r="E137" s="28">
        <v>38683518</v>
      </c>
      <c r="F137" s="27" t="s">
        <v>579</v>
      </c>
      <c r="G137" s="29" t="s">
        <v>10</v>
      </c>
      <c r="H137" s="27"/>
      <c r="I137" s="27"/>
      <c r="J137" s="34" t="s">
        <v>115</v>
      </c>
      <c r="K137" s="29" t="s">
        <v>314</v>
      </c>
      <c r="L137" s="27" t="s">
        <v>689</v>
      </c>
      <c r="M137" s="29" t="s">
        <v>315</v>
      </c>
      <c r="N137" s="29">
        <v>30</v>
      </c>
      <c r="O137" s="27">
        <v>7146</v>
      </c>
      <c r="P137" s="27">
        <v>7144</v>
      </c>
    </row>
    <row r="138" spans="1:16" x14ac:dyDescent="0.2">
      <c r="A138" s="27">
        <v>131</v>
      </c>
      <c r="B138" s="27" t="s">
        <v>661</v>
      </c>
      <c r="C138" s="27" t="s">
        <v>661</v>
      </c>
      <c r="D138" s="27" t="s">
        <v>877</v>
      </c>
      <c r="E138" s="28">
        <v>38683518</v>
      </c>
      <c r="F138" s="27" t="s">
        <v>579</v>
      </c>
      <c r="G138" s="29" t="s">
        <v>10</v>
      </c>
      <c r="H138" s="27"/>
      <c r="I138" s="27"/>
      <c r="J138" s="34" t="s">
        <v>237</v>
      </c>
      <c r="K138" s="29" t="s">
        <v>314</v>
      </c>
      <c r="L138" s="27" t="s">
        <v>236</v>
      </c>
      <c r="M138" s="29" t="s">
        <v>315</v>
      </c>
      <c r="N138" s="29">
        <v>1</v>
      </c>
      <c r="O138" s="27">
        <v>75284</v>
      </c>
      <c r="P138" s="27">
        <v>74425</v>
      </c>
    </row>
    <row r="139" spans="1:16" x14ac:dyDescent="0.2">
      <c r="A139" s="27">
        <v>132</v>
      </c>
      <c r="B139" s="27" t="s">
        <v>661</v>
      </c>
      <c r="C139" s="27" t="s">
        <v>661</v>
      </c>
      <c r="D139" s="27" t="s">
        <v>878</v>
      </c>
      <c r="E139" s="28">
        <v>38683518</v>
      </c>
      <c r="F139" s="27" t="s">
        <v>579</v>
      </c>
      <c r="G139" s="29" t="s">
        <v>10</v>
      </c>
      <c r="H139" s="27"/>
      <c r="I139" s="27"/>
      <c r="J139" s="34">
        <v>4248</v>
      </c>
      <c r="K139" s="29" t="s">
        <v>314</v>
      </c>
      <c r="L139" s="27" t="s">
        <v>937</v>
      </c>
      <c r="M139" s="29" t="s">
        <v>315</v>
      </c>
      <c r="N139" s="29">
        <v>1</v>
      </c>
      <c r="O139" s="27">
        <v>42402</v>
      </c>
      <c r="P139" s="27">
        <v>41899</v>
      </c>
    </row>
    <row r="140" spans="1:16" x14ac:dyDescent="0.2">
      <c r="A140" s="27">
        <v>133</v>
      </c>
      <c r="B140" s="27" t="s">
        <v>661</v>
      </c>
      <c r="C140" s="27" t="s">
        <v>661</v>
      </c>
      <c r="D140" s="27" t="s">
        <v>896</v>
      </c>
      <c r="E140" s="28"/>
      <c r="F140" s="27"/>
      <c r="G140" s="29"/>
      <c r="H140" s="27"/>
      <c r="I140" s="27"/>
      <c r="J140" s="34">
        <v>10021</v>
      </c>
      <c r="K140" s="29" t="s">
        <v>334</v>
      </c>
      <c r="L140" s="27" t="s">
        <v>689</v>
      </c>
      <c r="M140" s="29" t="s">
        <v>315</v>
      </c>
      <c r="N140" s="29">
        <v>1</v>
      </c>
      <c r="O140" s="27">
        <v>6788</v>
      </c>
      <c r="P140" s="27">
        <v>6779</v>
      </c>
    </row>
    <row r="141" spans="1:16" x14ac:dyDescent="0.2">
      <c r="A141" s="27">
        <v>134</v>
      </c>
      <c r="B141" s="27" t="s">
        <v>534</v>
      </c>
      <c r="C141" s="27" t="s">
        <v>534</v>
      </c>
      <c r="D141" s="27" t="s">
        <v>651</v>
      </c>
      <c r="E141" s="28"/>
      <c r="F141" s="27"/>
      <c r="G141" s="29"/>
      <c r="H141" s="27"/>
      <c r="I141" s="27"/>
      <c r="J141" s="34">
        <v>4830</v>
      </c>
      <c r="K141" s="29" t="s">
        <v>314</v>
      </c>
      <c r="L141" s="27" t="s">
        <v>238</v>
      </c>
      <c r="M141" s="29" t="s">
        <v>315</v>
      </c>
      <c r="N141" s="29">
        <v>30</v>
      </c>
      <c r="O141" s="27">
        <v>2055</v>
      </c>
      <c r="P141" s="27">
        <v>2054</v>
      </c>
    </row>
    <row r="142" spans="1:16" x14ac:dyDescent="0.2">
      <c r="A142" s="27">
        <v>135</v>
      </c>
      <c r="B142" s="27" t="s">
        <v>875</v>
      </c>
      <c r="C142" s="27" t="s">
        <v>661</v>
      </c>
      <c r="D142" s="27" t="s">
        <v>327</v>
      </c>
      <c r="E142" s="28"/>
      <c r="F142" s="27"/>
      <c r="G142" s="29"/>
      <c r="H142" s="27"/>
      <c r="I142" s="27"/>
      <c r="J142" s="34">
        <v>6537</v>
      </c>
      <c r="K142" s="29" t="s">
        <v>314</v>
      </c>
      <c r="L142" s="27" t="s">
        <v>879</v>
      </c>
      <c r="M142" s="29" t="s">
        <v>315</v>
      </c>
      <c r="N142" s="29">
        <v>30</v>
      </c>
      <c r="O142" s="27">
        <v>6055</v>
      </c>
      <c r="P142" s="27">
        <v>6030</v>
      </c>
    </row>
    <row r="143" spans="1:16" x14ac:dyDescent="0.2">
      <c r="A143" s="27"/>
      <c r="B143" s="27"/>
      <c r="C143" s="27"/>
      <c r="D143" s="27"/>
      <c r="E143" s="28"/>
      <c r="F143" s="27"/>
      <c r="G143" s="29"/>
      <c r="H143" s="27"/>
      <c r="I143" s="27"/>
      <c r="J143" s="34"/>
      <c r="K143" s="29"/>
      <c r="L143" s="27"/>
      <c r="M143" s="29"/>
      <c r="N143" s="29"/>
      <c r="O143" s="27"/>
      <c r="P143" s="27"/>
    </row>
    <row r="144" spans="1:16" x14ac:dyDescent="0.2">
      <c r="A144" s="27"/>
      <c r="B144" s="27"/>
      <c r="C144" s="27"/>
      <c r="D144" s="27"/>
      <c r="E144" s="28"/>
      <c r="F144" s="27"/>
      <c r="G144" s="29"/>
      <c r="H144" s="27"/>
      <c r="I144" s="27"/>
      <c r="J144" s="34"/>
      <c r="K144" s="29"/>
      <c r="L144" s="27"/>
      <c r="M144" s="29"/>
      <c r="N144" s="29"/>
      <c r="O144" s="27"/>
      <c r="P144" s="27"/>
    </row>
    <row r="145" spans="1:16" x14ac:dyDescent="0.2">
      <c r="A145" s="27">
        <v>138</v>
      </c>
      <c r="B145" s="27" t="s">
        <v>742</v>
      </c>
      <c r="C145" s="27" t="s">
        <v>533</v>
      </c>
      <c r="D145" s="27" t="s">
        <v>448</v>
      </c>
      <c r="E145" s="28"/>
      <c r="F145" s="27" t="s">
        <v>743</v>
      </c>
      <c r="G145" s="29" t="s">
        <v>744</v>
      </c>
      <c r="H145" s="27"/>
      <c r="I145" s="27"/>
      <c r="J145" s="34" t="s">
        <v>132</v>
      </c>
      <c r="K145" s="29" t="s">
        <v>334</v>
      </c>
      <c r="L145" s="27" t="s">
        <v>131</v>
      </c>
      <c r="M145" s="29" t="s">
        <v>326</v>
      </c>
      <c r="N145" s="29">
        <v>1</v>
      </c>
      <c r="O145" s="27">
        <v>42946</v>
      </c>
      <c r="P145" s="27">
        <v>42946</v>
      </c>
    </row>
    <row r="146" spans="1:16" x14ac:dyDescent="0.2">
      <c r="A146" s="27">
        <v>139</v>
      </c>
      <c r="B146" s="27" t="s">
        <v>479</v>
      </c>
      <c r="C146" s="27" t="s">
        <v>533</v>
      </c>
      <c r="D146" s="27" t="s">
        <v>196</v>
      </c>
      <c r="E146" s="28">
        <v>38682322</v>
      </c>
      <c r="F146" s="27" t="s">
        <v>195</v>
      </c>
      <c r="G146" s="29" t="s">
        <v>194</v>
      </c>
      <c r="H146" s="27"/>
      <c r="I146" s="27"/>
      <c r="J146" s="34" t="s">
        <v>193</v>
      </c>
      <c r="K146" s="29" t="s">
        <v>314</v>
      </c>
      <c r="L146" s="27" t="s">
        <v>192</v>
      </c>
      <c r="M146" s="29" t="s">
        <v>680</v>
      </c>
      <c r="N146" s="29">
        <v>1</v>
      </c>
      <c r="O146" s="27">
        <v>47802</v>
      </c>
      <c r="P146" s="27">
        <v>47593</v>
      </c>
    </row>
    <row r="147" spans="1:16" x14ac:dyDescent="0.2">
      <c r="A147" s="27">
        <v>140</v>
      </c>
      <c r="B147" s="27" t="s">
        <v>624</v>
      </c>
      <c r="C147" s="27" t="s">
        <v>533</v>
      </c>
      <c r="D147" s="27" t="s">
        <v>625</v>
      </c>
      <c r="E147" s="28"/>
      <c r="F147" s="27" t="s">
        <v>575</v>
      </c>
      <c r="G147" s="29" t="s">
        <v>626</v>
      </c>
      <c r="H147" s="27"/>
      <c r="I147" s="27"/>
      <c r="J147" s="34">
        <v>7771</v>
      </c>
      <c r="K147" s="29" t="s">
        <v>334</v>
      </c>
      <c r="L147" s="27"/>
      <c r="M147" s="29" t="s">
        <v>680</v>
      </c>
      <c r="N147" s="29">
        <v>1</v>
      </c>
      <c r="O147" s="27">
        <v>57218</v>
      </c>
      <c r="P147" s="27">
        <v>56709</v>
      </c>
    </row>
    <row r="148" spans="1:16" ht="25.5" x14ac:dyDescent="0.2">
      <c r="A148" s="27">
        <v>141</v>
      </c>
      <c r="B148" s="27" t="s">
        <v>548</v>
      </c>
      <c r="C148" s="27" t="s">
        <v>676</v>
      </c>
      <c r="D148" s="27" t="s">
        <v>502</v>
      </c>
      <c r="E148" s="28"/>
      <c r="F148" s="27" t="s">
        <v>599</v>
      </c>
      <c r="G148" s="29" t="s">
        <v>600</v>
      </c>
      <c r="H148" s="27"/>
      <c r="I148" s="27"/>
      <c r="J148" s="34" t="s">
        <v>698</v>
      </c>
      <c r="K148" s="29"/>
      <c r="L148" s="27" t="s">
        <v>501</v>
      </c>
      <c r="M148" s="29" t="s">
        <v>681</v>
      </c>
      <c r="N148" s="29">
        <v>1</v>
      </c>
      <c r="O148" s="27">
        <v>105305</v>
      </c>
      <c r="P148" s="27">
        <v>104494</v>
      </c>
    </row>
    <row r="149" spans="1:16" x14ac:dyDescent="0.2">
      <c r="A149" s="27"/>
      <c r="B149" s="27"/>
      <c r="C149" s="27"/>
      <c r="D149" s="27"/>
      <c r="E149" s="28"/>
      <c r="F149" s="27"/>
      <c r="G149" s="29"/>
      <c r="H149" s="27"/>
      <c r="I149" s="27"/>
      <c r="J149" s="34"/>
      <c r="K149" s="29"/>
      <c r="L149" s="27"/>
      <c r="M149" s="29"/>
      <c r="N149" s="29"/>
      <c r="O149" s="27"/>
      <c r="P149" s="27"/>
    </row>
    <row r="150" spans="1:16" x14ac:dyDescent="0.2">
      <c r="A150" s="27"/>
      <c r="B150" s="27"/>
      <c r="C150" s="27"/>
      <c r="D150" s="27"/>
      <c r="E150" s="28"/>
      <c r="F150" s="27"/>
      <c r="G150" s="29"/>
      <c r="H150" s="27"/>
      <c r="I150" s="27"/>
      <c r="J150" s="34"/>
      <c r="K150" s="29"/>
      <c r="L150" s="27"/>
      <c r="M150" s="29"/>
      <c r="N150" s="29"/>
      <c r="O150" s="27"/>
      <c r="P150" s="27"/>
    </row>
    <row r="151" spans="1:16" x14ac:dyDescent="0.2">
      <c r="A151" s="27">
        <v>144</v>
      </c>
      <c r="B151" s="27" t="s">
        <v>77</v>
      </c>
      <c r="C151" s="27" t="s">
        <v>775</v>
      </c>
      <c r="D151" s="27" t="s">
        <v>87</v>
      </c>
      <c r="E151" s="28">
        <v>36231544</v>
      </c>
      <c r="F151" s="27" t="s">
        <v>775</v>
      </c>
      <c r="G151" s="29" t="s">
        <v>524</v>
      </c>
      <c r="H151" s="27"/>
      <c r="I151" s="27"/>
      <c r="J151" s="34">
        <v>11090528</v>
      </c>
      <c r="K151" s="29" t="s">
        <v>314</v>
      </c>
      <c r="L151" s="27" t="s">
        <v>288</v>
      </c>
      <c r="M151" s="29" t="s">
        <v>681</v>
      </c>
      <c r="N151" s="29">
        <v>1</v>
      </c>
      <c r="O151" s="27">
        <v>84748</v>
      </c>
      <c r="P151" s="27">
        <v>84575</v>
      </c>
    </row>
    <row r="152" spans="1:16" x14ac:dyDescent="0.2">
      <c r="A152" s="27">
        <v>145</v>
      </c>
      <c r="B152" s="27" t="s">
        <v>77</v>
      </c>
      <c r="C152" s="27" t="s">
        <v>775</v>
      </c>
      <c r="D152" s="27" t="s">
        <v>87</v>
      </c>
      <c r="E152" s="28">
        <v>36231544</v>
      </c>
      <c r="F152" s="27" t="s">
        <v>775</v>
      </c>
      <c r="G152" s="29" t="s">
        <v>524</v>
      </c>
      <c r="H152" s="27"/>
      <c r="I152" s="27"/>
      <c r="J152" s="34">
        <v>3384103</v>
      </c>
      <c r="K152" s="29" t="s">
        <v>314</v>
      </c>
      <c r="L152" s="27" t="s">
        <v>288</v>
      </c>
      <c r="M152" s="29" t="s">
        <v>681</v>
      </c>
      <c r="N152" s="29">
        <v>1</v>
      </c>
      <c r="O152" s="27">
        <v>269363</v>
      </c>
      <c r="P152" s="27">
        <v>269050</v>
      </c>
    </row>
    <row r="153" spans="1:16" x14ac:dyDescent="0.2">
      <c r="A153" s="27">
        <v>146</v>
      </c>
      <c r="B153" s="27" t="s">
        <v>16</v>
      </c>
      <c r="C153" s="27" t="s">
        <v>152</v>
      </c>
      <c r="D153" s="27" t="s">
        <v>447</v>
      </c>
      <c r="E153" s="28">
        <v>22153127</v>
      </c>
      <c r="F153" s="27" t="s">
        <v>151</v>
      </c>
      <c r="G153" s="29" t="s">
        <v>150</v>
      </c>
      <c r="H153" s="27"/>
      <c r="I153" s="27"/>
      <c r="J153" s="34" t="s">
        <v>47</v>
      </c>
      <c r="K153" s="29"/>
      <c r="L153" s="27"/>
      <c r="M153" s="29" t="s">
        <v>681</v>
      </c>
      <c r="N153" s="29">
        <v>1</v>
      </c>
      <c r="O153" s="27">
        <v>455</v>
      </c>
      <c r="P153" s="27"/>
    </row>
    <row r="154" spans="1:16" x14ac:dyDescent="0.2">
      <c r="A154" s="27">
        <v>147</v>
      </c>
      <c r="B154" s="27" t="s">
        <v>897</v>
      </c>
      <c r="C154" s="27" t="s">
        <v>897</v>
      </c>
      <c r="D154" s="27" t="s">
        <v>554</v>
      </c>
      <c r="E154" s="28">
        <v>38682355</v>
      </c>
      <c r="F154" s="27" t="s">
        <v>898</v>
      </c>
      <c r="G154" s="29"/>
      <c r="H154" s="27"/>
      <c r="I154" s="27"/>
      <c r="J154" s="34" t="s">
        <v>498</v>
      </c>
      <c r="K154" s="29"/>
      <c r="L154" s="27" t="s">
        <v>899</v>
      </c>
      <c r="M154" s="29" t="s">
        <v>681</v>
      </c>
      <c r="N154" s="29">
        <v>1</v>
      </c>
      <c r="O154" s="27"/>
      <c r="P154" s="27"/>
    </row>
    <row r="155" spans="1:16" x14ac:dyDescent="0.2">
      <c r="A155" s="27"/>
      <c r="B155" s="27"/>
      <c r="C155" s="27"/>
      <c r="D155" s="27"/>
      <c r="E155" s="28"/>
      <c r="F155" s="27"/>
      <c r="G155" s="29"/>
      <c r="H155" s="27"/>
      <c r="I155" s="27"/>
      <c r="J155" s="34"/>
      <c r="K155" s="29"/>
      <c r="L155" s="27"/>
      <c r="M155" s="29"/>
      <c r="N155" s="29"/>
      <c r="O155" s="27"/>
      <c r="P155" s="27"/>
    </row>
    <row r="156" spans="1:16" x14ac:dyDescent="0.2">
      <c r="A156" s="27"/>
      <c r="B156" s="27"/>
      <c r="C156" s="27"/>
      <c r="D156" s="27"/>
      <c r="E156" s="28"/>
      <c r="F156" s="27"/>
      <c r="G156" s="29"/>
      <c r="H156" s="27"/>
      <c r="I156" s="27"/>
      <c r="J156" s="34"/>
      <c r="K156" s="29"/>
      <c r="L156" s="27"/>
      <c r="M156" s="29"/>
      <c r="N156" s="29"/>
      <c r="O156" s="27"/>
      <c r="P156" s="27"/>
    </row>
    <row r="157" spans="1:16" x14ac:dyDescent="0.2">
      <c r="A157" s="27">
        <v>150</v>
      </c>
      <c r="B157" s="27" t="s">
        <v>15</v>
      </c>
      <c r="C157" s="27" t="s">
        <v>157</v>
      </c>
      <c r="D157" s="27" t="s">
        <v>702</v>
      </c>
      <c r="E157" s="28" t="s">
        <v>474</v>
      </c>
      <c r="F157" s="27" t="s">
        <v>473</v>
      </c>
      <c r="G157" s="29" t="s">
        <v>474</v>
      </c>
      <c r="H157" s="27"/>
      <c r="I157" s="27"/>
      <c r="J157" s="34" t="s">
        <v>484</v>
      </c>
      <c r="K157" s="29"/>
      <c r="L157" s="27" t="s">
        <v>475</v>
      </c>
      <c r="M157" s="29" t="s">
        <v>681</v>
      </c>
      <c r="N157" s="29">
        <v>1</v>
      </c>
      <c r="O157" s="27">
        <v>51665</v>
      </c>
      <c r="P157" s="27">
        <v>51038</v>
      </c>
    </row>
    <row r="158" spans="1:16" x14ac:dyDescent="0.2">
      <c r="A158" s="27">
        <v>151</v>
      </c>
      <c r="B158" s="27" t="s">
        <v>14</v>
      </c>
      <c r="C158" s="27" t="s">
        <v>157</v>
      </c>
      <c r="D158" s="27" t="s">
        <v>485</v>
      </c>
      <c r="E158" s="28" t="s">
        <v>487</v>
      </c>
      <c r="F158" s="27" t="s">
        <v>486</v>
      </c>
      <c r="G158" s="29" t="s">
        <v>487</v>
      </c>
      <c r="H158" s="27"/>
      <c r="I158" s="27"/>
      <c r="J158" s="34" t="s">
        <v>488</v>
      </c>
      <c r="K158" s="29"/>
      <c r="L158" s="27" t="s">
        <v>489</v>
      </c>
      <c r="M158" s="29" t="s">
        <v>681</v>
      </c>
      <c r="N158" s="29">
        <v>1</v>
      </c>
      <c r="O158" s="27">
        <v>44132</v>
      </c>
      <c r="P158" s="27">
        <v>43439</v>
      </c>
    </row>
    <row r="159" spans="1:16" x14ac:dyDescent="0.2">
      <c r="A159" s="27">
        <v>152</v>
      </c>
      <c r="B159" s="27" t="s">
        <v>900</v>
      </c>
      <c r="C159" s="27" t="s">
        <v>900</v>
      </c>
      <c r="D159" s="27" t="s">
        <v>154</v>
      </c>
      <c r="E159" s="28">
        <v>38683807</v>
      </c>
      <c r="F159" s="27" t="s">
        <v>153</v>
      </c>
      <c r="G159" s="29"/>
      <c r="H159" s="27"/>
      <c r="I159" s="27"/>
      <c r="J159" s="34" t="s">
        <v>80</v>
      </c>
      <c r="K159" s="29"/>
      <c r="L159" s="27"/>
      <c r="M159" s="29" t="s">
        <v>332</v>
      </c>
      <c r="N159" s="29">
        <v>1</v>
      </c>
      <c r="O159" s="27">
        <v>831</v>
      </c>
      <c r="P159" s="27"/>
    </row>
    <row r="160" spans="1:16" x14ac:dyDescent="0.2">
      <c r="A160" s="27">
        <v>153</v>
      </c>
      <c r="B160" s="27" t="s">
        <v>558</v>
      </c>
      <c r="C160" s="27" t="s">
        <v>557</v>
      </c>
      <c r="D160" s="27" t="s">
        <v>559</v>
      </c>
      <c r="E160" s="28"/>
      <c r="F160" s="27" t="s">
        <v>560</v>
      </c>
      <c r="G160" s="29" t="s">
        <v>561</v>
      </c>
      <c r="H160" s="27"/>
      <c r="I160" s="27"/>
      <c r="J160" s="34">
        <v>24311</v>
      </c>
      <c r="K160" s="29" t="s">
        <v>562</v>
      </c>
      <c r="L160" s="27"/>
      <c r="M160" s="29" t="s">
        <v>681</v>
      </c>
      <c r="N160" s="29">
        <v>40</v>
      </c>
      <c r="O160" s="27">
        <v>3163</v>
      </c>
      <c r="P160" s="27">
        <v>3147</v>
      </c>
    </row>
    <row r="161" spans="1:16" x14ac:dyDescent="0.2">
      <c r="A161" s="27">
        <v>154</v>
      </c>
      <c r="B161" s="27" t="s">
        <v>741</v>
      </c>
      <c r="C161" s="27" t="s">
        <v>741</v>
      </c>
      <c r="D161" s="27" t="s">
        <v>630</v>
      </c>
      <c r="E161" s="28"/>
      <c r="F161" s="27"/>
      <c r="G161" s="29" t="s">
        <v>631</v>
      </c>
      <c r="H161" s="27"/>
      <c r="I161" s="27"/>
      <c r="J161" s="34">
        <v>14250</v>
      </c>
      <c r="K161" s="29" t="s">
        <v>314</v>
      </c>
      <c r="L161" s="27"/>
      <c r="M161" s="29" t="s">
        <v>332</v>
      </c>
      <c r="N161" s="29">
        <v>1</v>
      </c>
      <c r="O161" s="27">
        <v>5402</v>
      </c>
      <c r="P161" s="27">
        <v>5402</v>
      </c>
    </row>
    <row r="162" spans="1:16" x14ac:dyDescent="0.2">
      <c r="A162" s="27">
        <v>155</v>
      </c>
      <c r="B162" s="27" t="s">
        <v>506</v>
      </c>
      <c r="C162" s="27" t="s">
        <v>505</v>
      </c>
      <c r="D162" s="27" t="s">
        <v>159</v>
      </c>
      <c r="E162" s="28">
        <v>36230870</v>
      </c>
      <c r="F162" s="27" t="s">
        <v>503</v>
      </c>
      <c r="G162" s="29" t="s">
        <v>504</v>
      </c>
      <c r="H162" s="27"/>
      <c r="I162" s="27"/>
      <c r="J162" s="34">
        <v>11277398</v>
      </c>
      <c r="K162" s="29"/>
      <c r="L162" s="27" t="s">
        <v>286</v>
      </c>
      <c r="M162" s="29" t="s">
        <v>681</v>
      </c>
      <c r="N162" s="29">
        <v>1</v>
      </c>
      <c r="O162" s="27">
        <v>137835</v>
      </c>
      <c r="P162" s="27">
        <v>134944</v>
      </c>
    </row>
    <row r="163" spans="1:16" ht="38.25" x14ac:dyDescent="0.2">
      <c r="A163" s="27">
        <v>156</v>
      </c>
      <c r="B163" s="27" t="s">
        <v>507</v>
      </c>
      <c r="C163" s="27" t="s">
        <v>505</v>
      </c>
      <c r="D163" s="27" t="s">
        <v>507</v>
      </c>
      <c r="E163" s="28">
        <v>38692242</v>
      </c>
      <c r="F163" s="27" t="s">
        <v>156</v>
      </c>
      <c r="G163" s="29" t="s">
        <v>155</v>
      </c>
      <c r="H163" s="27"/>
      <c r="I163" s="27"/>
      <c r="J163" s="34" t="s">
        <v>45</v>
      </c>
      <c r="K163" s="29"/>
      <c r="L163" s="27"/>
      <c r="M163" s="29" t="s">
        <v>681</v>
      </c>
      <c r="N163" s="29">
        <v>1</v>
      </c>
      <c r="O163" s="27">
        <v>2382</v>
      </c>
      <c r="P163" s="27"/>
    </row>
    <row r="164" spans="1:16" x14ac:dyDescent="0.2">
      <c r="A164" s="27">
        <v>157</v>
      </c>
      <c r="B164" s="27" t="s">
        <v>859</v>
      </c>
      <c r="C164" s="27" t="s">
        <v>505</v>
      </c>
      <c r="D164" s="27" t="s">
        <v>860</v>
      </c>
      <c r="E164" s="28"/>
      <c r="F164" s="27" t="s">
        <v>707</v>
      </c>
      <c r="G164" s="29"/>
      <c r="H164" s="27"/>
      <c r="I164" s="27"/>
      <c r="J164" s="34">
        <v>6466</v>
      </c>
      <c r="K164" s="29"/>
      <c r="L164" s="27"/>
      <c r="M164" s="29" t="s">
        <v>681</v>
      </c>
      <c r="N164" s="29">
        <v>1</v>
      </c>
      <c r="O164" s="27">
        <v>588</v>
      </c>
      <c r="P164" s="27">
        <v>577</v>
      </c>
    </row>
    <row r="165" spans="1:16" x14ac:dyDescent="0.2">
      <c r="A165" s="27">
        <v>158</v>
      </c>
      <c r="B165" s="27" t="s">
        <v>645</v>
      </c>
      <c r="C165" s="27" t="s">
        <v>505</v>
      </c>
      <c r="D165" s="27" t="s">
        <v>648</v>
      </c>
      <c r="E165" s="28"/>
      <c r="F165" s="27" t="s">
        <v>76</v>
      </c>
      <c r="G165" s="29" t="s">
        <v>646</v>
      </c>
      <c r="H165" s="27"/>
      <c r="I165" s="27"/>
      <c r="J165" s="34">
        <v>1487</v>
      </c>
      <c r="K165" s="29" t="s">
        <v>334</v>
      </c>
      <c r="L165" s="27" t="s">
        <v>699</v>
      </c>
      <c r="M165" s="29" t="s">
        <v>668</v>
      </c>
      <c r="N165" s="29">
        <v>1</v>
      </c>
      <c r="O165" s="27"/>
      <c r="P165" s="27">
        <v>80905</v>
      </c>
    </row>
    <row r="166" spans="1:16" x14ac:dyDescent="0.2">
      <c r="A166" s="27">
        <v>159</v>
      </c>
      <c r="B166" s="27" t="s">
        <v>594</v>
      </c>
      <c r="C166" s="27" t="s">
        <v>595</v>
      </c>
      <c r="D166" s="27" t="s">
        <v>72</v>
      </c>
      <c r="E166" s="28"/>
      <c r="F166" s="27"/>
      <c r="G166" s="29"/>
      <c r="H166" s="27"/>
      <c r="I166" s="27"/>
      <c r="J166" s="34">
        <v>9424</v>
      </c>
      <c r="K166" s="29" t="s">
        <v>314</v>
      </c>
      <c r="L166" s="27" t="s">
        <v>596</v>
      </c>
      <c r="M166" s="29" t="s">
        <v>332</v>
      </c>
      <c r="N166" s="29">
        <v>1</v>
      </c>
      <c r="O166" s="27">
        <v>57576</v>
      </c>
      <c r="P166" s="27">
        <v>57324</v>
      </c>
    </row>
    <row r="167" spans="1:16" x14ac:dyDescent="0.2">
      <c r="A167" s="27">
        <v>160</v>
      </c>
      <c r="B167" s="27" t="s">
        <v>652</v>
      </c>
      <c r="C167" s="27" t="s">
        <v>652</v>
      </c>
      <c r="D167" s="27" t="s">
        <v>714</v>
      </c>
      <c r="E167" s="28"/>
      <c r="F167" s="27" t="s">
        <v>653</v>
      </c>
      <c r="G167" s="29" t="s">
        <v>635</v>
      </c>
      <c r="H167" s="27"/>
      <c r="I167" s="27"/>
      <c r="J167" s="34"/>
      <c r="K167" s="29" t="s">
        <v>334</v>
      </c>
      <c r="L167" s="27"/>
      <c r="M167" s="29" t="s">
        <v>668</v>
      </c>
      <c r="N167" s="29">
        <v>1</v>
      </c>
      <c r="O167" s="27"/>
      <c r="P167" s="27">
        <v>33612</v>
      </c>
    </row>
    <row r="168" spans="1:16" x14ac:dyDescent="0.2">
      <c r="A168" s="27">
        <v>161</v>
      </c>
      <c r="B168" s="27" t="s">
        <v>652</v>
      </c>
      <c r="C168" s="27" t="s">
        <v>652</v>
      </c>
      <c r="D168" s="27" t="s">
        <v>655</v>
      </c>
      <c r="E168" s="28"/>
      <c r="F168" s="27" t="s">
        <v>653</v>
      </c>
      <c r="G168" s="29" t="s">
        <v>635</v>
      </c>
      <c r="H168" s="27"/>
      <c r="I168" s="27"/>
      <c r="J168" s="34">
        <v>40286</v>
      </c>
      <c r="K168" s="29" t="s">
        <v>334</v>
      </c>
      <c r="L168" s="27"/>
      <c r="M168" s="29" t="s">
        <v>332</v>
      </c>
      <c r="N168" s="29">
        <v>1</v>
      </c>
      <c r="O168" s="27">
        <v>46659</v>
      </c>
      <c r="P168" s="27">
        <v>45258</v>
      </c>
    </row>
    <row r="169" spans="1:16" x14ac:dyDescent="0.2">
      <c r="A169" s="27">
        <v>162</v>
      </c>
      <c r="B169" s="27" t="s">
        <v>652</v>
      </c>
      <c r="C169" s="27" t="s">
        <v>652</v>
      </c>
      <c r="D169" s="27" t="s">
        <v>715</v>
      </c>
      <c r="E169" s="28"/>
      <c r="F169" s="27" t="s">
        <v>653</v>
      </c>
      <c r="G169" s="29" t="s">
        <v>635</v>
      </c>
      <c r="H169" s="27"/>
      <c r="I169" s="27"/>
      <c r="J169" s="34"/>
      <c r="K169" s="29" t="s">
        <v>334</v>
      </c>
      <c r="L169" s="27"/>
      <c r="M169" s="29" t="s">
        <v>668</v>
      </c>
      <c r="N169" s="29">
        <v>1</v>
      </c>
      <c r="O169" s="27"/>
      <c r="P169" s="27">
        <v>43397</v>
      </c>
    </row>
    <row r="170" spans="1:16" x14ac:dyDescent="0.2">
      <c r="A170" s="27">
        <v>163</v>
      </c>
      <c r="B170" s="27" t="s">
        <v>652</v>
      </c>
      <c r="C170" s="27" t="s">
        <v>652</v>
      </c>
      <c r="D170" s="27" t="s">
        <v>654</v>
      </c>
      <c r="E170" s="28"/>
      <c r="F170" s="27" t="s">
        <v>653</v>
      </c>
      <c r="G170" s="29" t="s">
        <v>635</v>
      </c>
      <c r="H170" s="27"/>
      <c r="I170" s="27"/>
      <c r="J170" s="34">
        <v>1861</v>
      </c>
      <c r="K170" s="29" t="s">
        <v>334</v>
      </c>
      <c r="L170" s="27" t="s">
        <v>938</v>
      </c>
      <c r="M170" s="29" t="s">
        <v>681</v>
      </c>
      <c r="N170" s="29">
        <v>1</v>
      </c>
      <c r="O170" s="27">
        <v>46020</v>
      </c>
      <c r="P170" s="27">
        <v>44716</v>
      </c>
    </row>
    <row r="171" spans="1:16" x14ac:dyDescent="0.2">
      <c r="A171" s="27"/>
      <c r="B171" s="27"/>
      <c r="C171" s="27"/>
      <c r="D171" s="27"/>
      <c r="E171" s="28"/>
      <c r="F171" s="27"/>
      <c r="G171" s="29"/>
      <c r="H171" s="27"/>
      <c r="I171" s="27"/>
      <c r="J171" s="34"/>
      <c r="K171" s="29"/>
      <c r="L171" s="27"/>
      <c r="M171" s="29"/>
      <c r="N171" s="29"/>
      <c r="O171" s="27"/>
      <c r="P171" s="27"/>
    </row>
    <row r="172" spans="1:16" x14ac:dyDescent="0.2">
      <c r="A172" s="27"/>
      <c r="B172" s="27"/>
      <c r="C172" s="27"/>
      <c r="D172" s="27"/>
      <c r="E172" s="28"/>
      <c r="F172" s="27"/>
      <c r="G172" s="29"/>
      <c r="H172" s="27"/>
      <c r="I172" s="27"/>
      <c r="J172" s="34"/>
      <c r="K172" s="29"/>
      <c r="L172" s="27"/>
      <c r="M172" s="29"/>
      <c r="N172" s="29"/>
      <c r="O172" s="27"/>
      <c r="P172" s="27"/>
    </row>
    <row r="173" spans="1:16" x14ac:dyDescent="0.2">
      <c r="A173" s="27">
        <v>168</v>
      </c>
      <c r="B173" s="27" t="s">
        <v>198</v>
      </c>
      <c r="C173" s="27" t="s">
        <v>177</v>
      </c>
      <c r="D173" s="27" t="s">
        <v>7</v>
      </c>
      <c r="E173" s="28">
        <v>38680101</v>
      </c>
      <c r="F173" s="27" t="s">
        <v>906</v>
      </c>
      <c r="G173" s="29" t="s">
        <v>907</v>
      </c>
      <c r="H173" s="27"/>
      <c r="I173" s="27"/>
      <c r="J173" s="34" t="s">
        <v>197</v>
      </c>
      <c r="K173" s="29" t="s">
        <v>334</v>
      </c>
      <c r="L173" s="27" t="s">
        <v>192</v>
      </c>
      <c r="M173" s="29" t="s">
        <v>680</v>
      </c>
      <c r="N173" s="29">
        <v>1</v>
      </c>
      <c r="O173" s="27"/>
      <c r="P173" s="27">
        <v>6944</v>
      </c>
    </row>
    <row r="174" spans="1:16" x14ac:dyDescent="0.2">
      <c r="A174" s="27">
        <v>169</v>
      </c>
      <c r="B174" s="27" t="s">
        <v>480</v>
      </c>
      <c r="C174" s="27" t="s">
        <v>177</v>
      </c>
      <c r="D174" s="27" t="s">
        <v>191</v>
      </c>
      <c r="E174" s="28">
        <v>38680073</v>
      </c>
      <c r="F174" s="27" t="s">
        <v>190</v>
      </c>
      <c r="G174" s="29" t="s">
        <v>189</v>
      </c>
      <c r="H174" s="27"/>
      <c r="I174" s="27"/>
      <c r="J174" s="34" t="s">
        <v>188</v>
      </c>
      <c r="K174" s="29" t="s">
        <v>314</v>
      </c>
      <c r="L174" s="27" t="s">
        <v>187</v>
      </c>
      <c r="M174" s="29" t="s">
        <v>344</v>
      </c>
      <c r="N174" s="29">
        <v>1</v>
      </c>
      <c r="O174" s="27">
        <v>193348</v>
      </c>
      <c r="P174" s="27">
        <v>193292</v>
      </c>
    </row>
    <row r="175" spans="1:16" x14ac:dyDescent="0.2">
      <c r="A175" s="27">
        <v>170</v>
      </c>
      <c r="B175" s="27" t="s">
        <v>868</v>
      </c>
      <c r="C175" s="27" t="s">
        <v>177</v>
      </c>
      <c r="D175" s="27" t="s">
        <v>531</v>
      </c>
      <c r="E175" s="28">
        <v>38692430</v>
      </c>
      <c r="F175" s="27" t="s">
        <v>869</v>
      </c>
      <c r="G175" s="29" t="s">
        <v>901</v>
      </c>
      <c r="H175" s="27"/>
      <c r="I175" s="27"/>
      <c r="J175" s="34" t="s">
        <v>176</v>
      </c>
      <c r="K175" s="29" t="s">
        <v>314</v>
      </c>
      <c r="L175" s="27"/>
      <c r="M175" s="29" t="s">
        <v>668</v>
      </c>
      <c r="N175" s="29">
        <v>1</v>
      </c>
      <c r="O175" s="27"/>
      <c r="P175" s="27">
        <v>123250</v>
      </c>
    </row>
    <row r="176" spans="1:16" x14ac:dyDescent="0.2">
      <c r="A176" s="27">
        <v>171</v>
      </c>
      <c r="B176" s="27" t="s">
        <v>482</v>
      </c>
      <c r="C176" s="27" t="s">
        <v>177</v>
      </c>
      <c r="D176" s="27" t="s">
        <v>361</v>
      </c>
      <c r="E176" s="28"/>
      <c r="F176" s="27" t="s">
        <v>366</v>
      </c>
      <c r="G176" s="29" t="s">
        <v>365</v>
      </c>
      <c r="H176" s="27"/>
      <c r="I176" s="27"/>
      <c r="J176" s="34" t="s">
        <v>364</v>
      </c>
      <c r="K176" s="29" t="s">
        <v>314</v>
      </c>
      <c r="L176" s="27" t="s">
        <v>358</v>
      </c>
      <c r="M176" s="29" t="s">
        <v>668</v>
      </c>
      <c r="N176" s="29">
        <v>1</v>
      </c>
      <c r="O176" s="27">
        <v>36347</v>
      </c>
      <c r="P176" s="27">
        <v>36176</v>
      </c>
    </row>
    <row r="177" spans="1:16" ht="25.5" x14ac:dyDescent="0.2">
      <c r="A177" s="27">
        <v>172</v>
      </c>
      <c r="B177" s="27" t="s">
        <v>804</v>
      </c>
      <c r="C177" s="27" t="s">
        <v>177</v>
      </c>
      <c r="D177" s="27" t="s">
        <v>903</v>
      </c>
      <c r="E177" s="28"/>
      <c r="F177" s="27" t="s">
        <v>499</v>
      </c>
      <c r="G177" s="29" t="s">
        <v>500</v>
      </c>
      <c r="H177" s="27"/>
      <c r="I177" s="27"/>
      <c r="J177" s="34" t="s">
        <v>546</v>
      </c>
      <c r="K177" s="29" t="s">
        <v>902</v>
      </c>
      <c r="L177" s="27" t="s">
        <v>133</v>
      </c>
      <c r="M177" s="29" t="s">
        <v>332</v>
      </c>
      <c r="N177" s="29">
        <v>1</v>
      </c>
      <c r="O177" s="27">
        <v>579</v>
      </c>
      <c r="P177" s="27"/>
    </row>
    <row r="178" spans="1:16" ht="25.5" x14ac:dyDescent="0.2">
      <c r="A178" s="27">
        <v>173</v>
      </c>
      <c r="B178" s="27" t="s">
        <v>647</v>
      </c>
      <c r="C178" s="27" t="s">
        <v>177</v>
      </c>
      <c r="D178" s="27" t="s">
        <v>649</v>
      </c>
      <c r="E178" s="28"/>
      <c r="F178" s="27" t="s">
        <v>709</v>
      </c>
      <c r="G178" s="34" t="s">
        <v>931</v>
      </c>
      <c r="H178" s="27"/>
      <c r="I178" s="27"/>
      <c r="J178" s="34">
        <v>9311</v>
      </c>
      <c r="K178" s="29" t="s">
        <v>314</v>
      </c>
      <c r="L178" s="27"/>
      <c r="M178" s="29" t="s">
        <v>344</v>
      </c>
      <c r="N178" s="29">
        <v>1</v>
      </c>
      <c r="O178" s="27">
        <v>17029</v>
      </c>
      <c r="P178" s="27">
        <v>17029</v>
      </c>
    </row>
    <row r="179" spans="1:16" x14ac:dyDescent="0.2">
      <c r="A179" s="27">
        <v>174</v>
      </c>
      <c r="B179" s="27" t="s">
        <v>677</v>
      </c>
      <c r="C179" s="27" t="s">
        <v>177</v>
      </c>
      <c r="D179" s="27" t="s">
        <v>535</v>
      </c>
      <c r="E179" s="28">
        <v>38692983</v>
      </c>
      <c r="F179" s="27" t="s">
        <v>249</v>
      </c>
      <c r="G179" s="29" t="s">
        <v>248</v>
      </c>
      <c r="H179" s="27"/>
      <c r="I179" s="27"/>
      <c r="J179" s="34" t="s">
        <v>226</v>
      </c>
      <c r="K179" s="29" t="s">
        <v>314</v>
      </c>
      <c r="L179" s="27" t="s">
        <v>192</v>
      </c>
      <c r="M179" s="29" t="s">
        <v>326</v>
      </c>
      <c r="N179" s="29">
        <v>1</v>
      </c>
      <c r="O179" s="27"/>
      <c r="P179" s="27"/>
    </row>
    <row r="180" spans="1:16" x14ac:dyDescent="0.2">
      <c r="A180" s="27">
        <v>175</v>
      </c>
      <c r="B180" s="27" t="s">
        <v>677</v>
      </c>
      <c r="C180" s="27" t="s">
        <v>177</v>
      </c>
      <c r="D180" s="27" t="s">
        <v>427</v>
      </c>
      <c r="E180" s="28">
        <v>38692983</v>
      </c>
      <c r="F180" s="27" t="s">
        <v>249</v>
      </c>
      <c r="G180" s="29" t="s">
        <v>248</v>
      </c>
      <c r="H180" s="27"/>
      <c r="I180" s="27"/>
      <c r="J180" s="34">
        <v>2820</v>
      </c>
      <c r="K180" s="29" t="s">
        <v>314</v>
      </c>
      <c r="L180" s="27" t="s">
        <v>426</v>
      </c>
      <c r="M180" s="29" t="s">
        <v>326</v>
      </c>
      <c r="N180" s="29">
        <v>1</v>
      </c>
      <c r="O180" s="27"/>
      <c r="P180" s="27"/>
    </row>
    <row r="181" spans="1:16" x14ac:dyDescent="0.2">
      <c r="A181" s="27">
        <v>176</v>
      </c>
      <c r="B181" s="27" t="s">
        <v>677</v>
      </c>
      <c r="C181" s="27" t="s">
        <v>177</v>
      </c>
      <c r="D181" s="27" t="s">
        <v>112</v>
      </c>
      <c r="E181" s="28"/>
      <c r="F181" s="27" t="s">
        <v>249</v>
      </c>
      <c r="G181" s="29" t="s">
        <v>248</v>
      </c>
      <c r="H181" s="27"/>
      <c r="I181" s="27"/>
      <c r="J181" s="34" t="s">
        <v>113</v>
      </c>
      <c r="K181" s="29" t="s">
        <v>334</v>
      </c>
      <c r="L181" s="27"/>
      <c r="M181" s="29" t="s">
        <v>326</v>
      </c>
      <c r="N181" s="29">
        <v>1</v>
      </c>
      <c r="O181" s="27"/>
      <c r="P181" s="27"/>
    </row>
    <row r="182" spans="1:16" x14ac:dyDescent="0.2">
      <c r="A182" s="27">
        <v>177</v>
      </c>
      <c r="B182" s="27" t="s">
        <v>677</v>
      </c>
      <c r="C182" s="27" t="s">
        <v>177</v>
      </c>
      <c r="D182" s="27" t="s">
        <v>597</v>
      </c>
      <c r="E182" s="28"/>
      <c r="F182" s="27" t="s">
        <v>249</v>
      </c>
      <c r="G182" s="29" t="s">
        <v>248</v>
      </c>
      <c r="H182" s="27"/>
      <c r="I182" s="27"/>
      <c r="J182" s="34">
        <v>2273</v>
      </c>
      <c r="K182" s="29" t="s">
        <v>314</v>
      </c>
      <c r="L182" s="27" t="s">
        <v>598</v>
      </c>
      <c r="M182" s="29" t="s">
        <v>326</v>
      </c>
      <c r="N182" s="29">
        <v>1</v>
      </c>
      <c r="O182" s="27"/>
      <c r="P182" s="27"/>
    </row>
    <row r="183" spans="1:16" x14ac:dyDescent="0.2">
      <c r="A183" s="27">
        <v>178</v>
      </c>
      <c r="B183" s="27" t="s">
        <v>677</v>
      </c>
      <c r="C183" s="27" t="s">
        <v>177</v>
      </c>
      <c r="D183" s="27" t="s">
        <v>90</v>
      </c>
      <c r="E183" s="28">
        <v>38692983</v>
      </c>
      <c r="F183" s="27" t="s">
        <v>249</v>
      </c>
      <c r="G183" s="29" t="s">
        <v>248</v>
      </c>
      <c r="H183" s="27"/>
      <c r="I183" s="27"/>
      <c r="J183" s="34" t="s">
        <v>89</v>
      </c>
      <c r="K183" s="29" t="s">
        <v>314</v>
      </c>
      <c r="L183" s="27" t="s">
        <v>91</v>
      </c>
      <c r="M183" s="29" t="s">
        <v>326</v>
      </c>
      <c r="N183" s="29">
        <v>1</v>
      </c>
      <c r="O183" s="27"/>
      <c r="P183" s="27"/>
    </row>
    <row r="184" spans="1:16" x14ac:dyDescent="0.2">
      <c r="A184" s="27">
        <v>179</v>
      </c>
      <c r="B184" s="27" t="s">
        <v>677</v>
      </c>
      <c r="C184" s="27" t="s">
        <v>177</v>
      </c>
      <c r="D184" s="27" t="s">
        <v>536</v>
      </c>
      <c r="E184" s="28">
        <v>38692983</v>
      </c>
      <c r="F184" s="27" t="s">
        <v>249</v>
      </c>
      <c r="G184" s="29" t="s">
        <v>248</v>
      </c>
      <c r="H184" s="27"/>
      <c r="I184" s="27"/>
      <c r="J184" s="34" t="s">
        <v>225</v>
      </c>
      <c r="K184" s="29" t="s">
        <v>334</v>
      </c>
      <c r="L184" s="27" t="s">
        <v>224</v>
      </c>
      <c r="M184" s="29" t="s">
        <v>326</v>
      </c>
      <c r="N184" s="29">
        <v>1</v>
      </c>
      <c r="O184" s="27"/>
      <c r="P184" s="27"/>
    </row>
    <row r="185" spans="1:16" x14ac:dyDescent="0.2">
      <c r="A185" s="27">
        <v>180</v>
      </c>
      <c r="B185" s="27" t="s">
        <v>677</v>
      </c>
      <c r="C185" s="27" t="s">
        <v>177</v>
      </c>
      <c r="D185" s="27" t="s">
        <v>94</v>
      </c>
      <c r="E185" s="28">
        <v>38692983</v>
      </c>
      <c r="F185" s="27" t="s">
        <v>249</v>
      </c>
      <c r="G185" s="29" t="s">
        <v>248</v>
      </c>
      <c r="H185" s="27"/>
      <c r="I185" s="27"/>
      <c r="J185" s="34">
        <v>2447</v>
      </c>
      <c r="K185" s="29" t="s">
        <v>314</v>
      </c>
      <c r="L185" s="27" t="s">
        <v>192</v>
      </c>
      <c r="M185" s="29" t="s">
        <v>326</v>
      </c>
      <c r="N185" s="29">
        <v>1</v>
      </c>
      <c r="O185" s="27"/>
      <c r="P185" s="27"/>
    </row>
    <row r="186" spans="1:16" x14ac:dyDescent="0.2">
      <c r="A186" s="27">
        <v>181</v>
      </c>
      <c r="B186" s="27" t="s">
        <v>677</v>
      </c>
      <c r="C186" s="27" t="s">
        <v>177</v>
      </c>
      <c r="D186" s="27" t="s">
        <v>477</v>
      </c>
      <c r="E186" s="28">
        <v>38692983</v>
      </c>
      <c r="F186" s="27" t="s">
        <v>249</v>
      </c>
      <c r="G186" s="29" t="s">
        <v>248</v>
      </c>
      <c r="H186" s="27"/>
      <c r="I186" s="27"/>
      <c r="J186" s="34" t="s">
        <v>223</v>
      </c>
      <c r="K186" s="29" t="s">
        <v>334</v>
      </c>
      <c r="L186" s="27" t="s">
        <v>222</v>
      </c>
      <c r="M186" s="29" t="s">
        <v>326</v>
      </c>
      <c r="N186" s="29">
        <v>1</v>
      </c>
      <c r="O186" s="27"/>
      <c r="P186" s="27"/>
    </row>
    <row r="187" spans="1:16" x14ac:dyDescent="0.2">
      <c r="A187" s="27">
        <v>182</v>
      </c>
      <c r="B187" s="27" t="s">
        <v>677</v>
      </c>
      <c r="C187" s="27" t="s">
        <v>177</v>
      </c>
      <c r="D187" s="27" t="s">
        <v>478</v>
      </c>
      <c r="E187" s="28">
        <v>38692983</v>
      </c>
      <c r="F187" s="27" t="s">
        <v>249</v>
      </c>
      <c r="G187" s="29" t="s">
        <v>248</v>
      </c>
      <c r="H187" s="27"/>
      <c r="I187" s="27"/>
      <c r="J187" s="34" t="s">
        <v>221</v>
      </c>
      <c r="K187" s="29" t="s">
        <v>334</v>
      </c>
      <c r="L187" s="27" t="s">
        <v>131</v>
      </c>
      <c r="M187" s="29" t="s">
        <v>326</v>
      </c>
      <c r="N187" s="29">
        <v>1</v>
      </c>
      <c r="O187" s="27"/>
      <c r="P187" s="27"/>
    </row>
    <row r="188" spans="1:16" x14ac:dyDescent="0.2">
      <c r="A188" s="27">
        <v>183</v>
      </c>
      <c r="B188" s="27" t="s">
        <v>677</v>
      </c>
      <c r="C188" s="27" t="s">
        <v>177</v>
      </c>
      <c r="D188" s="27" t="s">
        <v>704</v>
      </c>
      <c r="E188" s="28"/>
      <c r="F188" s="27" t="s">
        <v>623</v>
      </c>
      <c r="G188" s="29" t="s">
        <v>248</v>
      </c>
      <c r="H188" s="27"/>
      <c r="I188" s="27"/>
      <c r="J188" s="34" t="s">
        <v>220</v>
      </c>
      <c r="K188" s="29" t="s">
        <v>334</v>
      </c>
      <c r="L188" s="27" t="s">
        <v>131</v>
      </c>
      <c r="M188" s="29" t="s">
        <v>326</v>
      </c>
      <c r="N188" s="29">
        <v>1</v>
      </c>
      <c r="O188" s="27"/>
      <c r="P188" s="27"/>
    </row>
    <row r="189" spans="1:16" x14ac:dyDescent="0.2">
      <c r="A189" s="27">
        <v>184</v>
      </c>
      <c r="B189" s="27" t="s">
        <v>677</v>
      </c>
      <c r="C189" s="27" t="s">
        <v>177</v>
      </c>
      <c r="D189" s="27" t="s">
        <v>637</v>
      </c>
      <c r="E189" s="28" t="s">
        <v>639</v>
      </c>
      <c r="F189" s="27" t="s">
        <v>638</v>
      </c>
      <c r="G189" s="29" t="s">
        <v>639</v>
      </c>
      <c r="H189" s="27"/>
      <c r="I189" s="27"/>
      <c r="J189" s="34" t="s">
        <v>219</v>
      </c>
      <c r="K189" s="29" t="s">
        <v>334</v>
      </c>
      <c r="L189" s="27" t="s">
        <v>218</v>
      </c>
      <c r="M189" s="29" t="s">
        <v>326</v>
      </c>
      <c r="N189" s="29">
        <v>1</v>
      </c>
      <c r="O189" s="27"/>
      <c r="P189" s="27"/>
    </row>
    <row r="190" spans="1:16" x14ac:dyDescent="0.2">
      <c r="A190" s="27">
        <v>185</v>
      </c>
      <c r="B190" s="27" t="s">
        <v>677</v>
      </c>
      <c r="C190" s="27" t="s">
        <v>177</v>
      </c>
      <c r="D190" s="27" t="s">
        <v>666</v>
      </c>
      <c r="E190" s="28"/>
      <c r="F190" s="27" t="s">
        <v>249</v>
      </c>
      <c r="G190" s="29" t="s">
        <v>248</v>
      </c>
      <c r="H190" s="27"/>
      <c r="I190" s="27"/>
      <c r="J190" s="34">
        <v>3540</v>
      </c>
      <c r="K190" s="29" t="s">
        <v>314</v>
      </c>
      <c r="L190" s="27"/>
      <c r="M190" s="29" t="s">
        <v>326</v>
      </c>
      <c r="N190" s="29">
        <v>1</v>
      </c>
      <c r="O190" s="27"/>
      <c r="P190" s="27"/>
    </row>
    <row r="191" spans="1:16" x14ac:dyDescent="0.2">
      <c r="A191" s="27">
        <v>186</v>
      </c>
      <c r="B191" s="27" t="s">
        <v>677</v>
      </c>
      <c r="C191" s="27" t="s">
        <v>177</v>
      </c>
      <c r="D191" s="27" t="s">
        <v>250</v>
      </c>
      <c r="E191" s="28">
        <v>38690073</v>
      </c>
      <c r="F191" s="27" t="s">
        <v>249</v>
      </c>
      <c r="G191" s="29" t="s">
        <v>248</v>
      </c>
      <c r="H191" s="27"/>
      <c r="I191" s="27"/>
      <c r="J191" s="34" t="s">
        <v>247</v>
      </c>
      <c r="K191" s="29" t="s">
        <v>314</v>
      </c>
      <c r="L191" s="27" t="s">
        <v>246</v>
      </c>
      <c r="M191" s="29" t="s">
        <v>242</v>
      </c>
      <c r="N191" s="29">
        <v>1</v>
      </c>
      <c r="O191" s="27"/>
      <c r="P191" s="27"/>
    </row>
    <row r="192" spans="1:16" x14ac:dyDescent="0.2">
      <c r="A192" s="27">
        <v>187</v>
      </c>
      <c r="B192" s="27" t="s">
        <v>677</v>
      </c>
      <c r="C192" s="27" t="s">
        <v>177</v>
      </c>
      <c r="D192" s="27" t="s">
        <v>279</v>
      </c>
      <c r="E192" s="28"/>
      <c r="F192" s="27" t="s">
        <v>636</v>
      </c>
      <c r="G192" s="29" t="s">
        <v>932</v>
      </c>
      <c r="H192" s="27"/>
      <c r="I192" s="27"/>
      <c r="J192" s="34" t="s">
        <v>255</v>
      </c>
      <c r="K192" s="29" t="s">
        <v>314</v>
      </c>
      <c r="L192" s="27" t="s">
        <v>254</v>
      </c>
      <c r="M192" s="29" t="s">
        <v>329</v>
      </c>
      <c r="N192" s="29">
        <v>1</v>
      </c>
      <c r="O192" s="27"/>
      <c r="P192" s="27"/>
    </row>
    <row r="193" spans="1:16" x14ac:dyDescent="0.2">
      <c r="A193" s="27">
        <v>188</v>
      </c>
      <c r="B193" s="27" t="s">
        <v>563</v>
      </c>
      <c r="C193" s="27" t="s">
        <v>530</v>
      </c>
      <c r="D193" s="27" t="s">
        <v>253</v>
      </c>
      <c r="E193" s="28"/>
      <c r="F193" s="27" t="s">
        <v>564</v>
      </c>
      <c r="G193" s="29" t="s">
        <v>565</v>
      </c>
      <c r="H193" s="27"/>
      <c r="I193" s="27"/>
      <c r="J193" s="34" t="s">
        <v>252</v>
      </c>
      <c r="K193" s="29" t="s">
        <v>314</v>
      </c>
      <c r="L193" s="27" t="s">
        <v>251</v>
      </c>
      <c r="M193" s="29" t="s">
        <v>242</v>
      </c>
      <c r="N193" s="29">
        <v>1</v>
      </c>
      <c r="O193" s="27">
        <v>22203</v>
      </c>
      <c r="P193" s="27">
        <v>22183</v>
      </c>
    </row>
    <row r="194" spans="1:16" x14ac:dyDescent="0.2">
      <c r="A194" s="27">
        <v>189</v>
      </c>
      <c r="B194" s="27" t="s">
        <v>678</v>
      </c>
      <c r="C194" s="27" t="s">
        <v>534</v>
      </c>
      <c r="D194" s="27" t="s">
        <v>114</v>
      </c>
      <c r="E194" s="28"/>
      <c r="F194" s="27">
        <v>0</v>
      </c>
      <c r="G194" s="29" t="s">
        <v>403</v>
      </c>
      <c r="H194" s="27"/>
      <c r="I194" s="27"/>
      <c r="J194" s="34">
        <v>3810</v>
      </c>
      <c r="K194" s="29" t="s">
        <v>334</v>
      </c>
      <c r="L194" s="27" t="s">
        <v>904</v>
      </c>
      <c r="M194" s="29" t="s">
        <v>326</v>
      </c>
      <c r="N194" s="29">
        <v>1</v>
      </c>
      <c r="O194" s="27">
        <v>4591</v>
      </c>
      <c r="P194" s="27">
        <v>4590</v>
      </c>
    </row>
    <row r="195" spans="1:16" x14ac:dyDescent="0.2">
      <c r="A195" s="27">
        <v>190</v>
      </c>
      <c r="B195" s="27" t="s">
        <v>632</v>
      </c>
      <c r="C195" s="27" t="s">
        <v>660</v>
      </c>
      <c r="D195" s="27" t="s">
        <v>290</v>
      </c>
      <c r="E195" s="28">
        <v>38683703</v>
      </c>
      <c r="F195" s="27" t="s">
        <v>633</v>
      </c>
      <c r="G195" s="29" t="s">
        <v>634</v>
      </c>
      <c r="H195" s="27"/>
      <c r="I195" s="27"/>
      <c r="J195" s="34" t="s">
        <v>147</v>
      </c>
      <c r="K195" s="29" t="s">
        <v>314</v>
      </c>
      <c r="L195" s="27" t="s">
        <v>327</v>
      </c>
      <c r="M195" s="29" t="s">
        <v>680</v>
      </c>
      <c r="N195" s="29">
        <v>1</v>
      </c>
      <c r="O195" s="27">
        <v>76375</v>
      </c>
      <c r="P195" s="27">
        <v>75583</v>
      </c>
    </row>
    <row r="196" spans="1:16" x14ac:dyDescent="0.2">
      <c r="A196" s="27">
        <v>191</v>
      </c>
      <c r="B196" s="27" t="s">
        <v>632</v>
      </c>
      <c r="C196" s="27" t="s">
        <v>660</v>
      </c>
      <c r="D196" s="27" t="s">
        <v>291</v>
      </c>
      <c r="E196" s="28">
        <v>38683703</v>
      </c>
      <c r="F196" s="27" t="s">
        <v>633</v>
      </c>
      <c r="G196" s="29" t="s">
        <v>634</v>
      </c>
      <c r="H196" s="27"/>
      <c r="I196" s="27"/>
      <c r="J196" s="34" t="s">
        <v>146</v>
      </c>
      <c r="K196" s="29" t="s">
        <v>314</v>
      </c>
      <c r="L196" s="27" t="s">
        <v>145</v>
      </c>
      <c r="M196" s="29" t="s">
        <v>680</v>
      </c>
      <c r="N196" s="29">
        <v>1</v>
      </c>
      <c r="O196" s="27">
        <v>51307</v>
      </c>
      <c r="P196" s="27">
        <v>50606</v>
      </c>
    </row>
    <row r="197" spans="1:16" x14ac:dyDescent="0.2">
      <c r="A197" s="27"/>
      <c r="B197" s="27"/>
      <c r="C197" s="27"/>
      <c r="D197" s="27"/>
      <c r="E197" s="28"/>
      <c r="F197" s="27"/>
      <c r="G197" s="29"/>
      <c r="H197" s="27"/>
      <c r="I197" s="27"/>
      <c r="J197" s="34"/>
      <c r="K197" s="29"/>
      <c r="L197" s="27"/>
      <c r="M197" s="29"/>
      <c r="N197" s="29"/>
      <c r="O197" s="27"/>
      <c r="P197" s="27"/>
    </row>
    <row r="198" spans="1:16" ht="25.5" x14ac:dyDescent="0.2">
      <c r="A198" s="27">
        <v>193</v>
      </c>
      <c r="B198" s="27" t="s">
        <v>550</v>
      </c>
      <c r="C198" s="27" t="s">
        <v>549</v>
      </c>
      <c r="D198" s="27" t="s">
        <v>550</v>
      </c>
      <c r="E198" s="28"/>
      <c r="F198" s="27" t="s">
        <v>712</v>
      </c>
      <c r="G198" s="34" t="s">
        <v>713</v>
      </c>
      <c r="H198" s="27"/>
      <c r="I198" s="27"/>
      <c r="J198" s="34" t="s">
        <v>551</v>
      </c>
      <c r="K198" s="29" t="s">
        <v>314</v>
      </c>
      <c r="L198" s="27" t="s">
        <v>552</v>
      </c>
      <c r="M198" s="29" t="s">
        <v>313</v>
      </c>
      <c r="N198" s="29">
        <v>1</v>
      </c>
      <c r="O198" s="27">
        <v>4020</v>
      </c>
      <c r="P198" s="27"/>
    </row>
    <row r="199" spans="1:16" x14ac:dyDescent="0.2">
      <c r="A199" s="27">
        <v>194</v>
      </c>
      <c r="B199" s="27" t="s">
        <v>325</v>
      </c>
      <c r="C199" s="27" t="s">
        <v>325</v>
      </c>
      <c r="D199" s="27" t="s">
        <v>324</v>
      </c>
      <c r="E199" s="28">
        <v>38692518</v>
      </c>
      <c r="F199" s="27" t="s">
        <v>323</v>
      </c>
      <c r="G199" s="29" t="s">
        <v>322</v>
      </c>
      <c r="H199" s="27"/>
      <c r="I199" s="27"/>
      <c r="J199" s="34" t="s">
        <v>321</v>
      </c>
      <c r="K199" s="29" t="s">
        <v>314</v>
      </c>
      <c r="L199" s="27" t="s">
        <v>316</v>
      </c>
      <c r="M199" s="29" t="s">
        <v>315</v>
      </c>
      <c r="N199" s="29">
        <v>120</v>
      </c>
      <c r="O199" s="27">
        <v>15910</v>
      </c>
      <c r="P199" s="27">
        <v>15871</v>
      </c>
    </row>
    <row r="200" spans="1:16" x14ac:dyDescent="0.2">
      <c r="A200" s="27">
        <v>195</v>
      </c>
      <c r="B200" s="27" t="s">
        <v>258</v>
      </c>
      <c r="C200" s="27" t="s">
        <v>258</v>
      </c>
      <c r="D200" s="27" t="s">
        <v>118</v>
      </c>
      <c r="E200" s="28">
        <v>38681686</v>
      </c>
      <c r="F200" s="27" t="s">
        <v>140</v>
      </c>
      <c r="G200" s="29" t="s">
        <v>139</v>
      </c>
      <c r="H200" s="27"/>
      <c r="I200" s="27"/>
      <c r="J200" s="34" t="s">
        <v>257</v>
      </c>
      <c r="K200" s="29" t="s">
        <v>334</v>
      </c>
      <c r="L200" s="27" t="s">
        <v>256</v>
      </c>
      <c r="M200" s="29" t="s">
        <v>329</v>
      </c>
      <c r="N200" s="29">
        <v>1</v>
      </c>
      <c r="O200" s="27">
        <v>75093</v>
      </c>
      <c r="P200" s="27">
        <v>74878</v>
      </c>
    </row>
    <row r="201" spans="1:16" x14ac:dyDescent="0.2">
      <c r="A201" s="27">
        <v>196</v>
      </c>
      <c r="B201" s="27" t="s">
        <v>61</v>
      </c>
      <c r="C201" s="27" t="s">
        <v>258</v>
      </c>
      <c r="D201" s="27" t="s">
        <v>141</v>
      </c>
      <c r="E201" s="28"/>
      <c r="F201" s="27" t="s">
        <v>578</v>
      </c>
      <c r="G201" s="29" t="s">
        <v>577</v>
      </c>
      <c r="H201" s="27"/>
      <c r="I201" s="27"/>
      <c r="J201" s="34" t="s">
        <v>138</v>
      </c>
      <c r="K201" s="29" t="s">
        <v>314</v>
      </c>
      <c r="L201" s="27" t="s">
        <v>62</v>
      </c>
      <c r="M201" s="29" t="s">
        <v>332</v>
      </c>
      <c r="N201" s="29">
        <v>1</v>
      </c>
      <c r="O201" s="27">
        <v>23213</v>
      </c>
      <c r="P201" s="27">
        <v>23122</v>
      </c>
    </row>
    <row r="202" spans="1:16" x14ac:dyDescent="0.2">
      <c r="A202" s="27">
        <v>197</v>
      </c>
      <c r="B202" s="27" t="s">
        <v>18</v>
      </c>
      <c r="C202" s="27" t="s">
        <v>71</v>
      </c>
      <c r="D202" s="27" t="s">
        <v>167</v>
      </c>
      <c r="E202" s="28">
        <v>38682067</v>
      </c>
      <c r="F202" s="27" t="s">
        <v>166</v>
      </c>
      <c r="G202" s="29" t="s">
        <v>165</v>
      </c>
      <c r="H202" s="27"/>
      <c r="I202" s="27"/>
      <c r="J202" s="34" t="s">
        <v>164</v>
      </c>
      <c r="K202" s="29" t="s">
        <v>314</v>
      </c>
      <c r="L202" s="27" t="s">
        <v>327</v>
      </c>
      <c r="M202" s="29" t="s">
        <v>332</v>
      </c>
      <c r="N202" s="29">
        <v>1</v>
      </c>
      <c r="O202" s="27">
        <v>113139</v>
      </c>
      <c r="P202" s="27">
        <v>112845</v>
      </c>
    </row>
    <row r="203" spans="1:16" x14ac:dyDescent="0.2">
      <c r="A203" s="27">
        <v>198</v>
      </c>
      <c r="B203" s="27" t="s">
        <v>70</v>
      </c>
      <c r="C203" s="27" t="s">
        <v>71</v>
      </c>
      <c r="D203" s="27" t="s">
        <v>69</v>
      </c>
      <c r="E203" s="28"/>
      <c r="F203" s="27" t="s">
        <v>4</v>
      </c>
      <c r="G203" s="29" t="s">
        <v>5</v>
      </c>
      <c r="H203" s="27"/>
      <c r="I203" s="27"/>
      <c r="J203" s="34" t="s">
        <v>6</v>
      </c>
      <c r="K203" s="29" t="s">
        <v>314</v>
      </c>
      <c r="L203" s="27" t="s">
        <v>684</v>
      </c>
      <c r="M203" s="29" t="s">
        <v>326</v>
      </c>
      <c r="N203" s="29">
        <v>1</v>
      </c>
      <c r="O203" s="27"/>
      <c r="P203" s="27">
        <v>155309</v>
      </c>
    </row>
    <row r="204" spans="1:16" x14ac:dyDescent="0.2">
      <c r="A204" s="27">
        <v>199</v>
      </c>
      <c r="B204" s="27" t="s">
        <v>23</v>
      </c>
      <c r="C204" s="27" t="s">
        <v>71</v>
      </c>
      <c r="D204" s="27" t="s">
        <v>201</v>
      </c>
      <c r="E204" s="28">
        <v>38682778</v>
      </c>
      <c r="F204" s="27" t="s">
        <v>24</v>
      </c>
      <c r="G204" s="29" t="s">
        <v>933</v>
      </c>
      <c r="H204" s="27"/>
      <c r="I204" s="27"/>
      <c r="J204" s="34" t="s">
        <v>20</v>
      </c>
      <c r="K204" s="29" t="s">
        <v>314</v>
      </c>
      <c r="L204" s="27" t="s">
        <v>202</v>
      </c>
      <c r="M204" s="29" t="s">
        <v>668</v>
      </c>
      <c r="N204" s="29">
        <v>1</v>
      </c>
      <c r="O204" s="27"/>
      <c r="P204" s="27">
        <v>109831</v>
      </c>
    </row>
    <row r="205" spans="1:16" x14ac:dyDescent="0.2">
      <c r="A205" s="27"/>
      <c r="B205" s="27"/>
      <c r="C205" s="27"/>
      <c r="D205" s="27"/>
      <c r="E205" s="28"/>
      <c r="F205" s="27"/>
      <c r="G205" s="29"/>
      <c r="H205" s="27"/>
      <c r="I205" s="27"/>
      <c r="J205" s="34"/>
      <c r="K205" s="29"/>
      <c r="L205" s="27"/>
      <c r="M205" s="29"/>
      <c r="N205" s="29"/>
      <c r="O205" s="27"/>
      <c r="P205" s="27"/>
    </row>
    <row r="206" spans="1:16" x14ac:dyDescent="0.2">
      <c r="A206" s="27">
        <v>201</v>
      </c>
      <c r="B206" s="27" t="s">
        <v>495</v>
      </c>
      <c r="C206" s="27" t="s">
        <v>71</v>
      </c>
      <c r="D206" s="27" t="s">
        <v>679</v>
      </c>
      <c r="E206" s="28"/>
      <c r="F206" s="27" t="s">
        <v>495</v>
      </c>
      <c r="G206" s="29" t="s">
        <v>494</v>
      </c>
      <c r="H206" s="27"/>
      <c r="I206" s="27"/>
      <c r="J206" s="34">
        <v>7785</v>
      </c>
      <c r="K206" s="29" t="s">
        <v>314</v>
      </c>
      <c r="L206" s="27" t="s">
        <v>392</v>
      </c>
      <c r="M206" s="29" t="s">
        <v>668</v>
      </c>
      <c r="N206" s="29">
        <v>1</v>
      </c>
      <c r="O206" s="27"/>
      <c r="P206" s="27">
        <v>177310</v>
      </c>
    </row>
    <row r="207" spans="1:16" x14ac:dyDescent="0.2">
      <c r="A207" s="27">
        <v>202</v>
      </c>
      <c r="B207" s="27" t="s">
        <v>32</v>
      </c>
      <c r="C207" s="27" t="s">
        <v>116</v>
      </c>
      <c r="D207" s="27" t="s">
        <v>685</v>
      </c>
      <c r="E207" s="28"/>
      <c r="F207" s="27" t="s">
        <v>493</v>
      </c>
      <c r="G207" s="29" t="s">
        <v>117</v>
      </c>
      <c r="H207" s="27"/>
      <c r="I207" s="27"/>
      <c r="J207" s="34" t="s">
        <v>259</v>
      </c>
      <c r="K207" s="29" t="s">
        <v>314</v>
      </c>
      <c r="L207" s="27" t="s">
        <v>939</v>
      </c>
      <c r="M207" s="29" t="s">
        <v>329</v>
      </c>
      <c r="N207" s="29">
        <v>1</v>
      </c>
      <c r="O207" s="27">
        <v>65294</v>
      </c>
      <c r="P207" s="27">
        <v>64143</v>
      </c>
    </row>
    <row r="208" spans="1:16" x14ac:dyDescent="0.2">
      <c r="A208" s="27">
        <v>203</v>
      </c>
      <c r="B208" s="27" t="s">
        <v>568</v>
      </c>
      <c r="C208" s="27" t="s">
        <v>210</v>
      </c>
      <c r="D208" s="27" t="s">
        <v>437</v>
      </c>
      <c r="E208" s="28">
        <v>38692331</v>
      </c>
      <c r="F208" s="27" t="s">
        <v>567</v>
      </c>
      <c r="G208" s="29" t="s">
        <v>570</v>
      </c>
      <c r="H208" s="27"/>
      <c r="I208" s="27"/>
      <c r="J208" s="34">
        <v>4251</v>
      </c>
      <c r="K208" s="29" t="s">
        <v>314</v>
      </c>
      <c r="L208" s="27" t="s">
        <v>211</v>
      </c>
      <c r="M208" s="29" t="s">
        <v>332</v>
      </c>
      <c r="N208" s="29">
        <v>1</v>
      </c>
      <c r="O208" s="27"/>
      <c r="P208" s="27">
        <v>121378</v>
      </c>
    </row>
    <row r="209" spans="1:16" x14ac:dyDescent="0.2">
      <c r="A209" s="27">
        <v>204</v>
      </c>
      <c r="B209" s="27" t="s">
        <v>569</v>
      </c>
      <c r="C209" s="27" t="s">
        <v>210</v>
      </c>
      <c r="D209" s="27" t="s">
        <v>581</v>
      </c>
      <c r="E209" s="28">
        <v>38692331</v>
      </c>
      <c r="F209" s="27" t="s">
        <v>567</v>
      </c>
      <c r="G209" s="29" t="s">
        <v>570</v>
      </c>
      <c r="H209" s="27"/>
      <c r="I209" s="27"/>
      <c r="J209" s="34" t="s">
        <v>209</v>
      </c>
      <c r="K209" s="29" t="s">
        <v>314</v>
      </c>
      <c r="L209" s="27" t="s">
        <v>208</v>
      </c>
      <c r="M209" s="29" t="s">
        <v>332</v>
      </c>
      <c r="N209" s="29">
        <v>1</v>
      </c>
      <c r="O209" s="27"/>
      <c r="P209" s="27">
        <v>156269</v>
      </c>
    </row>
    <row r="210" spans="1:16" x14ac:dyDescent="0.2">
      <c r="A210" s="27">
        <v>205</v>
      </c>
      <c r="B210" s="27" t="s">
        <v>580</v>
      </c>
      <c r="C210" s="27" t="s">
        <v>572</v>
      </c>
      <c r="D210" s="27" t="s">
        <v>571</v>
      </c>
      <c r="E210" s="28"/>
      <c r="F210" s="27" t="s">
        <v>573</v>
      </c>
      <c r="G210" s="29" t="s">
        <v>574</v>
      </c>
      <c r="H210" s="27"/>
      <c r="I210" s="27"/>
      <c r="J210" s="34">
        <v>13833</v>
      </c>
      <c r="K210" s="29" t="s">
        <v>334</v>
      </c>
      <c r="L210" s="27"/>
      <c r="M210" s="29" t="s">
        <v>681</v>
      </c>
      <c r="N210" s="29">
        <v>1</v>
      </c>
      <c r="O210" s="27">
        <v>85965</v>
      </c>
      <c r="P210" s="27">
        <v>85183</v>
      </c>
    </row>
    <row r="211" spans="1:16" x14ac:dyDescent="0.2">
      <c r="A211" s="27">
        <v>206</v>
      </c>
      <c r="B211" s="27" t="s">
        <v>734</v>
      </c>
      <c r="C211" s="27" t="s">
        <v>734</v>
      </c>
      <c r="D211" s="27" t="s">
        <v>852</v>
      </c>
      <c r="E211" s="28"/>
      <c r="F211" s="27" t="s">
        <v>748</v>
      </c>
      <c r="G211" s="29" t="s">
        <v>934</v>
      </c>
      <c r="H211" s="27"/>
      <c r="I211" s="27"/>
      <c r="J211" s="34"/>
      <c r="K211" s="29"/>
      <c r="L211" s="27"/>
      <c r="M211" s="29" t="s">
        <v>681</v>
      </c>
      <c r="N211" s="29">
        <v>1</v>
      </c>
      <c r="O211" s="27"/>
      <c r="P211" s="27">
        <v>35146</v>
      </c>
    </row>
    <row r="212" spans="1:16" x14ac:dyDescent="0.2">
      <c r="A212" s="27">
        <v>207</v>
      </c>
      <c r="B212" s="27" t="s">
        <v>734</v>
      </c>
      <c r="C212" s="27" t="s">
        <v>734</v>
      </c>
      <c r="D212" s="27" t="s">
        <v>735</v>
      </c>
      <c r="E212" s="28"/>
      <c r="F212" s="27" t="s">
        <v>748</v>
      </c>
      <c r="G212" s="29" t="s">
        <v>934</v>
      </c>
      <c r="H212" s="27"/>
      <c r="I212" s="27"/>
      <c r="J212" s="34"/>
      <c r="K212" s="29"/>
      <c r="L212" s="27"/>
      <c r="M212" s="29" t="s">
        <v>668</v>
      </c>
      <c r="N212" s="29">
        <v>1</v>
      </c>
      <c r="O212" s="27"/>
      <c r="P212" s="27">
        <v>26133</v>
      </c>
    </row>
    <row r="213" spans="1:16" ht="25.5" x14ac:dyDescent="0.2">
      <c r="A213" s="27">
        <v>208</v>
      </c>
      <c r="B213" s="27" t="s">
        <v>589</v>
      </c>
      <c r="C213" s="27" t="s">
        <v>588</v>
      </c>
      <c r="D213" s="27" t="s">
        <v>582</v>
      </c>
      <c r="E213" s="28"/>
      <c r="F213" s="27" t="s">
        <v>583</v>
      </c>
      <c r="G213" s="29" t="s">
        <v>584</v>
      </c>
      <c r="H213" s="27"/>
      <c r="I213" s="27"/>
      <c r="J213" s="34" t="s">
        <v>585</v>
      </c>
      <c r="K213" s="29" t="s">
        <v>334</v>
      </c>
      <c r="L213" s="27"/>
      <c r="M213" s="29"/>
      <c r="N213" s="29">
        <v>1</v>
      </c>
      <c r="O213" s="27">
        <v>743</v>
      </c>
      <c r="P213" s="27"/>
    </row>
    <row r="214" spans="1:16" x14ac:dyDescent="0.2">
      <c r="A214" s="27">
        <v>209</v>
      </c>
      <c r="B214" s="27" t="s">
        <v>629</v>
      </c>
      <c r="C214" s="27" t="s">
        <v>629</v>
      </c>
      <c r="D214" s="27" t="s">
        <v>627</v>
      </c>
      <c r="E214" s="28"/>
      <c r="F214" s="27" t="s">
        <v>628</v>
      </c>
      <c r="G214" s="29" t="s">
        <v>935</v>
      </c>
      <c r="H214" s="27"/>
      <c r="I214" s="27"/>
      <c r="J214" s="34">
        <v>9045</v>
      </c>
      <c r="K214" s="29" t="s">
        <v>314</v>
      </c>
      <c r="L214" s="27"/>
      <c r="M214" s="29" t="s">
        <v>681</v>
      </c>
      <c r="N214" s="29">
        <v>1</v>
      </c>
      <c r="O214" s="27">
        <v>106350</v>
      </c>
      <c r="P214" s="27">
        <v>104870</v>
      </c>
    </row>
    <row r="215" spans="1:16" x14ac:dyDescent="0.2">
      <c r="A215" s="27">
        <v>210</v>
      </c>
      <c r="B215" s="27" t="s">
        <v>682</v>
      </c>
      <c r="C215" s="27"/>
      <c r="D215" s="27" t="s">
        <v>683</v>
      </c>
      <c r="E215" s="28"/>
      <c r="F215" s="27" t="s">
        <v>590</v>
      </c>
      <c r="G215" s="29" t="s">
        <v>591</v>
      </c>
      <c r="H215" s="27"/>
      <c r="I215" s="27"/>
      <c r="J215" s="34">
        <v>4637</v>
      </c>
      <c r="K215" s="29" t="s">
        <v>314</v>
      </c>
      <c r="L215" s="27"/>
      <c r="M215" s="29" t="s">
        <v>681</v>
      </c>
      <c r="N215" s="29">
        <v>1</v>
      </c>
      <c r="O215" s="27"/>
      <c r="P215" s="27">
        <v>36861</v>
      </c>
    </row>
    <row r="216" spans="1:16" x14ac:dyDescent="0.2">
      <c r="A216" s="27">
        <v>211</v>
      </c>
      <c r="B216" s="27" t="s">
        <v>716</v>
      </c>
      <c r="C216" s="27" t="s">
        <v>716</v>
      </c>
      <c r="D216" s="27" t="s">
        <v>703</v>
      </c>
      <c r="E216" s="28"/>
      <c r="F216" s="27" t="s">
        <v>749</v>
      </c>
      <c r="G216" s="29" t="s">
        <v>750</v>
      </c>
      <c r="H216" s="27"/>
      <c r="I216" s="27"/>
      <c r="J216" s="34"/>
      <c r="K216" s="29"/>
      <c r="L216" s="27"/>
      <c r="M216" s="29" t="s">
        <v>668</v>
      </c>
      <c r="N216" s="29">
        <v>1</v>
      </c>
      <c r="O216" s="27"/>
      <c r="P216" s="27"/>
    </row>
    <row r="217" spans="1:16" x14ac:dyDescent="0.2">
      <c r="A217" s="27">
        <v>212</v>
      </c>
      <c r="B217" s="27" t="s">
        <v>724</v>
      </c>
      <c r="C217" s="27" t="s">
        <v>724</v>
      </c>
      <c r="D217" s="27" t="s">
        <v>727</v>
      </c>
      <c r="E217" s="28"/>
      <c r="F217" s="27"/>
      <c r="G217" s="29" t="s">
        <v>726</v>
      </c>
      <c r="H217" s="27"/>
      <c r="I217" s="27"/>
      <c r="J217" s="34"/>
      <c r="K217" s="29" t="s">
        <v>314</v>
      </c>
      <c r="L217" s="27"/>
      <c r="M217" s="29" t="s">
        <v>332</v>
      </c>
      <c r="N217" s="29">
        <v>1</v>
      </c>
      <c r="O217" s="27">
        <v>175600</v>
      </c>
      <c r="P217" s="27">
        <v>174075</v>
      </c>
    </row>
    <row r="218" spans="1:16" x14ac:dyDescent="0.2">
      <c r="A218" s="27">
        <v>213</v>
      </c>
      <c r="B218" s="27" t="s">
        <v>728</v>
      </c>
      <c r="C218" s="27" t="s">
        <v>728</v>
      </c>
      <c r="D218" s="27" t="s">
        <v>941</v>
      </c>
      <c r="E218" s="28"/>
      <c r="F218" s="27" t="s">
        <v>729</v>
      </c>
      <c r="G218" s="29" t="s">
        <v>730</v>
      </c>
      <c r="H218" s="27"/>
      <c r="I218" s="27"/>
      <c r="J218" s="34" t="s">
        <v>942</v>
      </c>
      <c r="K218" s="29" t="s">
        <v>334</v>
      </c>
      <c r="L218" s="27"/>
      <c r="M218" s="29"/>
      <c r="N218" s="29">
        <v>1</v>
      </c>
      <c r="O218" s="27">
        <v>568</v>
      </c>
      <c r="P218" s="27"/>
    </row>
    <row r="219" spans="1:16" x14ac:dyDescent="0.2">
      <c r="A219" s="27">
        <v>214</v>
      </c>
      <c r="B219" s="27" t="s">
        <v>821</v>
      </c>
      <c r="C219" s="27"/>
      <c r="D219" s="27" t="s">
        <v>822</v>
      </c>
      <c r="E219" s="28"/>
      <c r="F219" s="27" t="s">
        <v>823</v>
      </c>
      <c r="G219" s="29" t="s">
        <v>824</v>
      </c>
      <c r="H219" s="27"/>
      <c r="I219" s="27"/>
      <c r="J219" s="34">
        <v>5440</v>
      </c>
      <c r="K219" s="29" t="s">
        <v>314</v>
      </c>
      <c r="L219" s="27"/>
      <c r="M219" s="29" t="s">
        <v>680</v>
      </c>
      <c r="N219" s="29">
        <v>1</v>
      </c>
      <c r="O219" s="27">
        <v>17995</v>
      </c>
      <c r="P219" s="27">
        <v>16785</v>
      </c>
    </row>
    <row r="220" spans="1:16" x14ac:dyDescent="0.2">
      <c r="A220" s="27">
        <v>215</v>
      </c>
      <c r="B220" s="27" t="s">
        <v>757</v>
      </c>
      <c r="C220" s="27" t="s">
        <v>757</v>
      </c>
      <c r="D220" s="27" t="s">
        <v>758</v>
      </c>
      <c r="E220" s="28" t="s">
        <v>760</v>
      </c>
      <c r="F220" s="27" t="s">
        <v>759</v>
      </c>
      <c r="G220" s="29" t="s">
        <v>936</v>
      </c>
      <c r="H220" s="27"/>
      <c r="I220" s="27"/>
      <c r="J220" s="34">
        <v>1738</v>
      </c>
      <c r="K220" s="29" t="s">
        <v>334</v>
      </c>
      <c r="L220" s="27"/>
      <c r="M220" s="29" t="s">
        <v>332</v>
      </c>
      <c r="N220" s="29">
        <v>1</v>
      </c>
      <c r="O220" s="27">
        <v>59557</v>
      </c>
      <c r="P220" s="27">
        <v>58280</v>
      </c>
    </row>
    <row r="221" spans="1:16" x14ac:dyDescent="0.2">
      <c r="A221" s="27">
        <v>216</v>
      </c>
      <c r="B221" s="27" t="s">
        <v>776</v>
      </c>
      <c r="C221" s="27" t="s">
        <v>776</v>
      </c>
      <c r="D221" s="27" t="s">
        <v>776</v>
      </c>
      <c r="E221" s="28" t="s">
        <v>777</v>
      </c>
      <c r="F221" s="27"/>
      <c r="G221" s="29" t="s">
        <v>777</v>
      </c>
      <c r="H221" s="27"/>
      <c r="I221" s="27"/>
      <c r="J221" s="34"/>
      <c r="K221" s="29"/>
      <c r="L221" s="27"/>
      <c r="M221" s="29" t="s">
        <v>668</v>
      </c>
      <c r="N221" s="29">
        <v>1</v>
      </c>
      <c r="O221" s="27"/>
      <c r="P221" s="27">
        <v>62674</v>
      </c>
    </row>
    <row r="222" spans="1:16" x14ac:dyDescent="0.2">
      <c r="A222" s="27">
        <v>217</v>
      </c>
      <c r="B222" s="27" t="s">
        <v>912</v>
      </c>
      <c r="C222" s="27"/>
      <c r="D222" s="27" t="s">
        <v>792</v>
      </c>
      <c r="E222" s="28"/>
      <c r="F222" s="27" t="s">
        <v>857</v>
      </c>
      <c r="G222" s="29" t="s">
        <v>858</v>
      </c>
      <c r="H222" s="27"/>
      <c r="I222" s="27"/>
      <c r="J222" s="34">
        <v>3372</v>
      </c>
      <c r="K222" s="29" t="s">
        <v>314</v>
      </c>
      <c r="L222" s="27"/>
      <c r="M222" s="29" t="s">
        <v>227</v>
      </c>
      <c r="N222" s="29">
        <v>1</v>
      </c>
      <c r="O222" s="27">
        <v>1352</v>
      </c>
      <c r="P222" s="27">
        <v>1128</v>
      </c>
    </row>
    <row r="223" spans="1:16" x14ac:dyDescent="0.2">
      <c r="A223" s="27">
        <v>218</v>
      </c>
      <c r="B223" s="27" t="s">
        <v>793</v>
      </c>
      <c r="C223" s="27" t="s">
        <v>455</v>
      </c>
      <c r="D223" s="27" t="s">
        <v>794</v>
      </c>
      <c r="E223" s="28"/>
      <c r="F223" s="27"/>
      <c r="G223" s="29"/>
      <c r="H223" s="27"/>
      <c r="I223" s="27"/>
      <c r="J223" s="34">
        <v>2673</v>
      </c>
      <c r="K223" s="29" t="s">
        <v>334</v>
      </c>
      <c r="L223" s="27"/>
      <c r="M223" s="29" t="s">
        <v>326</v>
      </c>
      <c r="N223" s="29">
        <v>1</v>
      </c>
      <c r="O223" s="27">
        <v>9025</v>
      </c>
      <c r="P223" s="27">
        <v>8756</v>
      </c>
    </row>
    <row r="224" spans="1:16" x14ac:dyDescent="0.2">
      <c r="A224" s="27">
        <v>219</v>
      </c>
      <c r="B224" s="27" t="s">
        <v>801</v>
      </c>
      <c r="C224" s="27" t="s">
        <v>800</v>
      </c>
      <c r="D224" s="27" t="s">
        <v>801</v>
      </c>
      <c r="E224" s="28" t="s">
        <v>798</v>
      </c>
      <c r="F224" s="27" t="s">
        <v>799</v>
      </c>
      <c r="G224" s="29" t="s">
        <v>798</v>
      </c>
      <c r="H224" s="27"/>
      <c r="I224" s="27"/>
      <c r="J224" s="34">
        <v>90445</v>
      </c>
      <c r="K224" s="29" t="s">
        <v>314</v>
      </c>
      <c r="L224" s="27"/>
      <c r="M224" s="29" t="s">
        <v>332</v>
      </c>
      <c r="N224" s="29">
        <v>1</v>
      </c>
      <c r="O224" s="27">
        <v>97928</v>
      </c>
      <c r="P224" s="27">
        <v>93075</v>
      </c>
    </row>
    <row r="225" spans="1:16" x14ac:dyDescent="0.2">
      <c r="A225" s="27">
        <v>220</v>
      </c>
      <c r="B225" s="27" t="s">
        <v>827</v>
      </c>
      <c r="C225" s="27" t="s">
        <v>828</v>
      </c>
      <c r="D225" s="27"/>
      <c r="E225" s="28"/>
      <c r="F225" s="27" t="s">
        <v>829</v>
      </c>
      <c r="G225" s="29" t="s">
        <v>830</v>
      </c>
      <c r="H225" s="27"/>
      <c r="I225" s="27"/>
      <c r="J225" s="34">
        <v>19704504</v>
      </c>
      <c r="K225" s="29" t="s">
        <v>334</v>
      </c>
      <c r="L225" s="27"/>
      <c r="M225" s="29" t="s">
        <v>870</v>
      </c>
      <c r="N225" s="29">
        <v>1</v>
      </c>
      <c r="O225" s="27">
        <v>633</v>
      </c>
      <c r="P225" s="27">
        <v>572</v>
      </c>
    </row>
    <row r="226" spans="1:16" x14ac:dyDescent="0.2">
      <c r="A226" s="27">
        <v>221</v>
      </c>
      <c r="B226" s="27" t="s">
        <v>831</v>
      </c>
      <c r="C226" s="27" t="s">
        <v>828</v>
      </c>
      <c r="D226" s="27"/>
      <c r="E226" s="28"/>
      <c r="F226" s="27" t="s">
        <v>829</v>
      </c>
      <c r="G226" s="29" t="s">
        <v>830</v>
      </c>
      <c r="H226" s="27"/>
      <c r="I226" s="27"/>
      <c r="J226" s="34">
        <v>19704735</v>
      </c>
      <c r="K226" s="29" t="s">
        <v>334</v>
      </c>
      <c r="L226" s="27"/>
      <c r="M226" s="29" t="s">
        <v>344</v>
      </c>
      <c r="N226" s="29">
        <v>1</v>
      </c>
      <c r="O226" s="27">
        <v>563</v>
      </c>
      <c r="P226" s="27">
        <v>519</v>
      </c>
    </row>
    <row r="227" spans="1:16" x14ac:dyDescent="0.2">
      <c r="A227" s="27">
        <v>222</v>
      </c>
      <c r="B227" s="27" t="s">
        <v>832</v>
      </c>
      <c r="C227" s="27" t="s">
        <v>833</v>
      </c>
      <c r="D227" s="27" t="s">
        <v>834</v>
      </c>
      <c r="E227" s="28"/>
      <c r="F227" s="27"/>
      <c r="G227" s="29"/>
      <c r="H227" s="27"/>
      <c r="I227" s="27"/>
      <c r="J227" s="34">
        <v>18465131</v>
      </c>
      <c r="K227" s="29"/>
      <c r="L227" s="27"/>
      <c r="M227" s="29" t="s">
        <v>681</v>
      </c>
      <c r="N227" s="29">
        <v>1</v>
      </c>
      <c r="O227" s="27">
        <v>25076</v>
      </c>
      <c r="P227" s="27">
        <v>23514</v>
      </c>
    </row>
    <row r="228" spans="1:16" x14ac:dyDescent="0.2">
      <c r="A228" s="27">
        <v>223</v>
      </c>
      <c r="B228" s="27" t="s">
        <v>832</v>
      </c>
      <c r="C228" s="27" t="s">
        <v>833</v>
      </c>
      <c r="D228" s="27" t="s">
        <v>835</v>
      </c>
      <c r="E228" s="28"/>
      <c r="F228" s="27"/>
      <c r="G228" s="29"/>
      <c r="H228" s="27"/>
      <c r="I228" s="27"/>
      <c r="J228" s="34">
        <v>18580048</v>
      </c>
      <c r="K228" s="29"/>
      <c r="L228" s="27"/>
      <c r="M228" s="29" t="s">
        <v>681</v>
      </c>
      <c r="N228" s="29">
        <v>1</v>
      </c>
      <c r="O228" s="27">
        <v>14403</v>
      </c>
      <c r="P228" s="27">
        <v>13820</v>
      </c>
    </row>
    <row r="229" spans="1:16" x14ac:dyDescent="0.2">
      <c r="A229" s="27">
        <v>224</v>
      </c>
      <c r="B229" s="27" t="s">
        <v>838</v>
      </c>
      <c r="C229" s="27"/>
      <c r="D229" s="27" t="s">
        <v>839</v>
      </c>
      <c r="E229" s="28"/>
      <c r="F229" s="27" t="s">
        <v>840</v>
      </c>
      <c r="G229" s="29" t="s">
        <v>841</v>
      </c>
      <c r="H229" s="27"/>
      <c r="I229" s="27"/>
      <c r="J229" s="34">
        <v>5356</v>
      </c>
      <c r="K229" s="29" t="s">
        <v>314</v>
      </c>
      <c r="L229" s="27"/>
      <c r="M229" s="29" t="s">
        <v>681</v>
      </c>
      <c r="N229" s="29">
        <v>1</v>
      </c>
      <c r="O229" s="27">
        <v>33984</v>
      </c>
      <c r="P229" s="27">
        <v>32340</v>
      </c>
    </row>
    <row r="230" spans="1:16" x14ac:dyDescent="0.2">
      <c r="A230" s="27">
        <v>225</v>
      </c>
      <c r="B230" s="27" t="s">
        <v>862</v>
      </c>
      <c r="C230" s="27"/>
      <c r="D230" s="27" t="s">
        <v>145</v>
      </c>
      <c r="E230" s="28"/>
      <c r="F230" s="27" t="s">
        <v>861</v>
      </c>
      <c r="G230" s="29" t="s">
        <v>863</v>
      </c>
      <c r="H230" s="27"/>
      <c r="I230" s="27"/>
      <c r="J230" s="34">
        <v>7207</v>
      </c>
      <c r="K230" s="29" t="s">
        <v>864</v>
      </c>
      <c r="L230" s="27"/>
      <c r="M230" s="29" t="s">
        <v>344</v>
      </c>
      <c r="N230" s="29">
        <v>1</v>
      </c>
      <c r="O230" s="27">
        <v>8110</v>
      </c>
      <c r="P230" s="27">
        <v>8099</v>
      </c>
    </row>
    <row r="231" spans="1:16" x14ac:dyDescent="0.2">
      <c r="A231" s="27">
        <v>226</v>
      </c>
      <c r="B231" s="27" t="s">
        <v>853</v>
      </c>
      <c r="C231" s="27" t="s">
        <v>853</v>
      </c>
      <c r="D231" s="27" t="s">
        <v>854</v>
      </c>
      <c r="E231" s="28"/>
      <c r="F231" s="27" t="s">
        <v>853</v>
      </c>
      <c r="G231" s="29" t="s">
        <v>855</v>
      </c>
      <c r="H231" s="27"/>
      <c r="I231" s="27"/>
      <c r="J231" s="34">
        <v>9378</v>
      </c>
      <c r="K231" s="29"/>
      <c r="L231" s="27"/>
      <c r="M231" s="29" t="s">
        <v>56</v>
      </c>
      <c r="N231" s="29">
        <v>1</v>
      </c>
      <c r="O231" s="27">
        <v>56005</v>
      </c>
      <c r="P231" s="27">
        <v>53939</v>
      </c>
    </row>
    <row r="232" spans="1:16" x14ac:dyDescent="0.2">
      <c r="A232" s="27">
        <v>227</v>
      </c>
      <c r="B232" s="27" t="s">
        <v>736</v>
      </c>
      <c r="C232" s="27" t="s">
        <v>736</v>
      </c>
      <c r="D232" s="27" t="s">
        <v>735</v>
      </c>
      <c r="E232" s="28" t="s">
        <v>752</v>
      </c>
      <c r="F232" s="27" t="s">
        <v>751</v>
      </c>
      <c r="G232" s="29" t="s">
        <v>753</v>
      </c>
      <c r="H232" s="27"/>
      <c r="I232" s="27"/>
      <c r="J232" s="34"/>
      <c r="K232" s="29" t="s">
        <v>314</v>
      </c>
      <c r="L232" s="27"/>
      <c r="M232" s="29" t="s">
        <v>668</v>
      </c>
      <c r="N232" s="29">
        <v>1</v>
      </c>
      <c r="O232" s="27"/>
      <c r="P232" s="27">
        <v>32064</v>
      </c>
    </row>
    <row r="233" spans="1:16" x14ac:dyDescent="0.2">
      <c r="A233" s="27">
        <v>228</v>
      </c>
      <c r="B233" s="27" t="s">
        <v>816</v>
      </c>
      <c r="C233" s="27" t="s">
        <v>665</v>
      </c>
      <c r="D233" s="27" t="s">
        <v>556</v>
      </c>
      <c r="E233" s="28"/>
      <c r="F233" s="27"/>
      <c r="G233" s="29"/>
      <c r="H233" s="27"/>
      <c r="I233" s="27"/>
      <c r="J233" s="34">
        <v>4081</v>
      </c>
      <c r="K233" s="29" t="s">
        <v>314</v>
      </c>
      <c r="L233" s="27"/>
      <c r="M233" s="29" t="s">
        <v>681</v>
      </c>
      <c r="N233" s="29">
        <v>30</v>
      </c>
      <c r="O233" s="27"/>
      <c r="P233" s="27">
        <v>2357</v>
      </c>
    </row>
    <row r="234" spans="1:16" x14ac:dyDescent="0.2">
      <c r="A234" s="27"/>
      <c r="B234" s="27"/>
      <c r="C234" s="27"/>
      <c r="D234" s="27"/>
      <c r="E234" s="28"/>
      <c r="F234" s="27"/>
      <c r="G234" s="29"/>
      <c r="H234" s="27"/>
      <c r="I234" s="27"/>
      <c r="J234" s="34"/>
      <c r="K234" s="29"/>
      <c r="L234" s="27"/>
      <c r="M234" s="29"/>
      <c r="N234" s="29"/>
      <c r="O234" s="27"/>
      <c r="P234" s="27"/>
    </row>
    <row r="235" spans="1:16" x14ac:dyDescent="0.2">
      <c r="A235" s="27">
        <v>230</v>
      </c>
      <c r="B235" s="27" t="s">
        <v>663</v>
      </c>
      <c r="C235" s="27" t="s">
        <v>664</v>
      </c>
      <c r="D235" s="27" t="s">
        <v>566</v>
      </c>
      <c r="E235" s="28"/>
      <c r="F235" s="27"/>
      <c r="G235" s="29"/>
      <c r="H235" s="27"/>
      <c r="I235" s="27"/>
      <c r="J235" s="34">
        <v>1778</v>
      </c>
      <c r="K235" s="29" t="s">
        <v>334</v>
      </c>
      <c r="L235" s="27"/>
      <c r="M235" s="29" t="s">
        <v>668</v>
      </c>
      <c r="N235" s="29">
        <v>1</v>
      </c>
      <c r="O235" s="27"/>
      <c r="P235" s="27">
        <v>37165</v>
      </c>
    </row>
    <row r="236" spans="1:16" x14ac:dyDescent="0.2">
      <c r="A236" s="27">
        <v>231</v>
      </c>
      <c r="B236" s="27" t="s">
        <v>791</v>
      </c>
      <c r="C236" s="27" t="s">
        <v>690</v>
      </c>
      <c r="D236" s="27" t="s">
        <v>571</v>
      </c>
      <c r="E236" s="28"/>
      <c r="F236" s="27" t="s">
        <v>76</v>
      </c>
      <c r="G236" s="29" t="s">
        <v>761</v>
      </c>
      <c r="H236" s="27"/>
      <c r="I236" s="27"/>
      <c r="J236" s="34">
        <v>6700</v>
      </c>
      <c r="K236" s="29"/>
      <c r="L236" s="27"/>
      <c r="M236" s="29" t="s">
        <v>681</v>
      </c>
      <c r="N236" s="29">
        <v>1</v>
      </c>
      <c r="O236" s="27"/>
      <c r="P236" s="27"/>
    </row>
    <row r="237" spans="1:16" x14ac:dyDescent="0.2">
      <c r="A237" s="27"/>
      <c r="B237" s="27"/>
      <c r="C237" s="27"/>
      <c r="D237" s="27"/>
      <c r="E237" s="28"/>
      <c r="F237" s="27"/>
      <c r="G237" s="29"/>
      <c r="H237" s="27"/>
      <c r="I237" s="27"/>
      <c r="J237" s="34">
        <v>4420</v>
      </c>
      <c r="K237" s="29"/>
      <c r="L237" s="27"/>
      <c r="M237" s="29"/>
      <c r="N237" s="29"/>
      <c r="O237" s="27"/>
      <c r="P237" s="27"/>
    </row>
    <row r="238" spans="1:16" x14ac:dyDescent="0.2">
      <c r="A238" s="27">
        <v>233</v>
      </c>
      <c r="B238" s="27" t="s">
        <v>914</v>
      </c>
      <c r="C238" s="27"/>
      <c r="D238" s="27" t="s">
        <v>915</v>
      </c>
      <c r="E238" s="28"/>
      <c r="F238" s="27"/>
      <c r="G238" s="29"/>
      <c r="H238" s="27"/>
      <c r="I238" s="27"/>
      <c r="J238" s="34" t="s">
        <v>917</v>
      </c>
      <c r="K238" s="29" t="s">
        <v>334</v>
      </c>
      <c r="L238" s="27"/>
      <c r="M238" s="29"/>
      <c r="N238" s="29"/>
      <c r="O238" s="27"/>
      <c r="P238" s="27"/>
    </row>
    <row r="239" spans="1:16" x14ac:dyDescent="0.2">
      <c r="A239" s="27">
        <v>234</v>
      </c>
      <c r="B239" s="27" t="s">
        <v>918</v>
      </c>
      <c r="C239" s="27"/>
      <c r="D239" s="27" t="s">
        <v>919</v>
      </c>
      <c r="E239" s="28"/>
      <c r="F239" s="27" t="s">
        <v>921</v>
      </c>
      <c r="G239" s="29" t="s">
        <v>922</v>
      </c>
      <c r="H239" s="27"/>
      <c r="I239" s="27"/>
      <c r="J239" s="34">
        <v>4004</v>
      </c>
      <c r="K239" s="29" t="s">
        <v>314</v>
      </c>
      <c r="L239" s="27" t="s">
        <v>920</v>
      </c>
      <c r="M239" s="29" t="s">
        <v>326</v>
      </c>
      <c r="N239" s="29">
        <v>50</v>
      </c>
      <c r="O239" s="27">
        <v>39</v>
      </c>
      <c r="P239" s="27">
        <v>35</v>
      </c>
    </row>
    <row r="240" spans="1:16" x14ac:dyDescent="0.2">
      <c r="A240" s="27">
        <v>235</v>
      </c>
      <c r="B240" s="27"/>
      <c r="C240" s="27"/>
      <c r="D240" s="27"/>
      <c r="E240" s="28"/>
      <c r="F240" s="27"/>
      <c r="G240" s="29"/>
      <c r="H240" s="27"/>
      <c r="I240" s="27"/>
      <c r="J240" s="34"/>
      <c r="K240" s="29"/>
      <c r="L240" s="27"/>
      <c r="M240" s="29"/>
      <c r="N240" s="29"/>
      <c r="O240" s="27"/>
      <c r="P240" s="27"/>
    </row>
    <row r="241" spans="1:16" x14ac:dyDescent="0.2">
      <c r="A241" s="27">
        <v>236</v>
      </c>
      <c r="B241" s="27" t="s">
        <v>606</v>
      </c>
      <c r="C241" s="27" t="s">
        <v>601</v>
      </c>
      <c r="D241" s="27" t="s">
        <v>602</v>
      </c>
      <c r="E241" s="28"/>
      <c r="F241" s="27" t="s">
        <v>603</v>
      </c>
      <c r="G241" s="29" t="s">
        <v>604</v>
      </c>
      <c r="H241" s="27"/>
      <c r="I241" s="27"/>
      <c r="J241" s="34">
        <v>3480</v>
      </c>
      <c r="K241" s="29" t="s">
        <v>334</v>
      </c>
      <c r="L241" s="27"/>
      <c r="M241" s="29" t="s">
        <v>344</v>
      </c>
      <c r="N241" s="29">
        <v>1</v>
      </c>
      <c r="O241" s="27">
        <v>10194</v>
      </c>
      <c r="P241" s="27">
        <v>10163</v>
      </c>
    </row>
    <row r="242" spans="1:16" x14ac:dyDescent="0.2">
      <c r="A242" s="27">
        <v>237</v>
      </c>
      <c r="B242" s="27" t="s">
        <v>607</v>
      </c>
      <c r="C242" s="27" t="s">
        <v>605</v>
      </c>
      <c r="D242" s="27" t="s">
        <v>602</v>
      </c>
      <c r="E242" s="28"/>
      <c r="F242" s="27" t="s">
        <v>608</v>
      </c>
      <c r="G242" s="29" t="s">
        <v>609</v>
      </c>
      <c r="H242" s="27"/>
      <c r="I242" s="27"/>
      <c r="J242" s="34">
        <v>8409</v>
      </c>
      <c r="K242" s="29" t="s">
        <v>334</v>
      </c>
      <c r="L242" s="27"/>
      <c r="M242" s="29" t="s">
        <v>344</v>
      </c>
      <c r="N242" s="29">
        <v>1</v>
      </c>
      <c r="O242" s="27">
        <v>5468</v>
      </c>
      <c r="P242" s="27">
        <v>5468</v>
      </c>
    </row>
    <row r="243" spans="1:16" x14ac:dyDescent="0.2">
      <c r="A243" s="27">
        <v>238</v>
      </c>
      <c r="B243" s="27" t="s">
        <v>521</v>
      </c>
      <c r="C243" s="27" t="s">
        <v>522</v>
      </c>
      <c r="D243" s="27" t="s">
        <v>642</v>
      </c>
      <c r="E243" s="28"/>
      <c r="F243" s="27" t="s">
        <v>642</v>
      </c>
      <c r="G243" s="29" t="s">
        <v>641</v>
      </c>
      <c r="H243" s="27"/>
      <c r="I243" s="27"/>
      <c r="J243" s="34">
        <v>39583</v>
      </c>
      <c r="K243" s="29" t="s">
        <v>334</v>
      </c>
      <c r="L243" s="27" t="s">
        <v>687</v>
      </c>
      <c r="M243" s="29" t="s">
        <v>681</v>
      </c>
      <c r="N243" s="29">
        <v>1</v>
      </c>
      <c r="O243" s="27"/>
      <c r="P243" s="27"/>
    </row>
    <row r="244" spans="1:16" x14ac:dyDescent="0.2">
      <c r="A244" s="27">
        <v>239</v>
      </c>
      <c r="B244" s="27" t="s">
        <v>763</v>
      </c>
      <c r="C244" s="27" t="s">
        <v>763</v>
      </c>
      <c r="D244" s="27" t="s">
        <v>764</v>
      </c>
      <c r="E244" s="28"/>
      <c r="F244" s="27" t="s">
        <v>76</v>
      </c>
      <c r="G244" s="29" t="s">
        <v>761</v>
      </c>
      <c r="H244" s="27"/>
      <c r="I244" s="27"/>
      <c r="J244" s="34"/>
      <c r="K244" s="29"/>
      <c r="L244" s="27"/>
      <c r="M244" s="29" t="s">
        <v>315</v>
      </c>
      <c r="N244" s="29">
        <v>1</v>
      </c>
      <c r="O244" s="27"/>
      <c r="P244" s="27">
        <v>5001</v>
      </c>
    </row>
    <row r="245" spans="1:16" x14ac:dyDescent="0.2">
      <c r="A245" s="27"/>
      <c r="B245" s="27"/>
      <c r="C245" s="27"/>
      <c r="D245" s="27"/>
      <c r="E245" s="28"/>
      <c r="F245" s="27"/>
      <c r="G245" s="29"/>
      <c r="H245" s="27"/>
      <c r="I245" s="27"/>
      <c r="J245" s="34"/>
      <c r="K245" s="29"/>
      <c r="L245" s="27"/>
      <c r="M245" s="29"/>
      <c r="N245" s="29"/>
      <c r="O245" s="27"/>
      <c r="P245" s="27"/>
    </row>
    <row r="246" spans="1:16" x14ac:dyDescent="0.2">
      <c r="A246" s="27"/>
      <c r="B246" s="27"/>
      <c r="C246" s="27"/>
      <c r="D246" s="27"/>
      <c r="E246" s="28"/>
      <c r="F246" s="27"/>
      <c r="G246" s="29"/>
      <c r="H246" s="27"/>
      <c r="I246" s="27"/>
      <c r="J246" s="34"/>
      <c r="K246" s="29"/>
      <c r="L246" s="27"/>
      <c r="M246" s="29"/>
      <c r="N246" s="29"/>
      <c r="O246" s="27"/>
      <c r="P246" s="27"/>
    </row>
    <row r="247" spans="1:16" x14ac:dyDescent="0.2">
      <c r="A247" s="27"/>
      <c r="B247" s="27"/>
      <c r="C247" s="27"/>
      <c r="D247" s="27"/>
      <c r="E247" s="28"/>
      <c r="F247" s="27"/>
      <c r="G247" s="29"/>
      <c r="H247" s="27"/>
      <c r="I247" s="27"/>
      <c r="J247" s="34"/>
      <c r="K247" s="29"/>
      <c r="L247" s="27"/>
      <c r="M247" s="29"/>
      <c r="N247" s="29"/>
      <c r="O247" s="27"/>
      <c r="P247" s="27"/>
    </row>
    <row r="248" spans="1:16" x14ac:dyDescent="0.2">
      <c r="A248" s="27"/>
      <c r="B248" s="27"/>
      <c r="C248" s="27"/>
      <c r="D248" s="27"/>
      <c r="E248" s="28"/>
      <c r="F248" s="27"/>
      <c r="G248" s="29"/>
      <c r="H248" s="27"/>
      <c r="I248" s="27"/>
      <c r="J248" s="34"/>
      <c r="K248" s="29"/>
      <c r="L248" s="27"/>
      <c r="M248" s="29"/>
      <c r="N248" s="29"/>
      <c r="O248" s="27"/>
      <c r="P248" s="27"/>
    </row>
    <row r="249" spans="1:16" x14ac:dyDescent="0.2">
      <c r="A249" s="27"/>
      <c r="B249" s="27"/>
      <c r="C249" s="27"/>
      <c r="D249" s="27"/>
      <c r="E249" s="28"/>
      <c r="F249" s="27"/>
      <c r="G249" s="29"/>
      <c r="H249" s="27"/>
      <c r="I249" s="27"/>
      <c r="J249" s="34"/>
      <c r="K249" s="29"/>
      <c r="L249" s="27"/>
      <c r="M249" s="29"/>
      <c r="N249" s="29"/>
      <c r="O249" s="27"/>
      <c r="P249" s="27"/>
    </row>
    <row r="250" spans="1:16" x14ac:dyDescent="0.2">
      <c r="A250" s="27"/>
      <c r="B250" s="27"/>
      <c r="C250" s="27"/>
      <c r="D250" s="27"/>
      <c r="E250" s="28"/>
      <c r="F250" s="27"/>
      <c r="G250" s="29"/>
      <c r="H250" s="27"/>
      <c r="I250" s="27"/>
      <c r="J250" s="34"/>
      <c r="K250" s="29"/>
      <c r="L250" s="27"/>
      <c r="M250" s="29"/>
      <c r="N250" s="29"/>
      <c r="O250" s="27"/>
      <c r="P250" s="27"/>
    </row>
    <row r="251" spans="1:16" x14ac:dyDescent="0.2">
      <c r="A251" s="27"/>
      <c r="B251" s="27"/>
      <c r="C251" s="27"/>
      <c r="D251" s="27"/>
      <c r="E251" s="28"/>
      <c r="F251" s="27"/>
      <c r="G251" s="29"/>
      <c r="H251" s="27"/>
      <c r="I251" s="27"/>
      <c r="J251" s="34"/>
      <c r="K251" s="29"/>
      <c r="L251" s="27"/>
      <c r="M251" s="29"/>
      <c r="N251" s="29"/>
      <c r="O251" s="27"/>
      <c r="P251" s="27"/>
    </row>
    <row r="252" spans="1:16" x14ac:dyDescent="0.2">
      <c r="A252" s="27"/>
      <c r="B252" s="27"/>
      <c r="C252" s="27"/>
      <c r="D252" s="27"/>
      <c r="E252" s="28"/>
      <c r="F252" s="27"/>
      <c r="G252" s="29"/>
      <c r="H252" s="27"/>
      <c r="I252" s="27"/>
      <c r="J252" s="34"/>
      <c r="K252" s="29"/>
      <c r="L252" s="27"/>
      <c r="M252" s="29"/>
      <c r="N252" s="29"/>
      <c r="O252" s="27"/>
      <c r="P252" s="27"/>
    </row>
    <row r="253" spans="1:16" x14ac:dyDescent="0.2">
      <c r="A253" s="27"/>
      <c r="B253" s="27"/>
      <c r="C253" s="27"/>
      <c r="D253" s="27"/>
      <c r="E253" s="28"/>
      <c r="F253" s="27"/>
      <c r="G253" s="29"/>
      <c r="H253" s="27"/>
      <c r="I253" s="27"/>
      <c r="J253" s="34"/>
      <c r="K253" s="29"/>
      <c r="L253" s="27"/>
      <c r="M253" s="29"/>
      <c r="N253" s="29"/>
      <c r="O253" s="27"/>
      <c r="P253" s="27"/>
    </row>
    <row r="254" spans="1:16" x14ac:dyDescent="0.2">
      <c r="A254" s="27"/>
      <c r="B254" s="27"/>
      <c r="C254" s="27"/>
      <c r="D254" s="27"/>
      <c r="E254" s="28"/>
      <c r="F254" s="27"/>
      <c r="G254" s="29"/>
      <c r="H254" s="27"/>
      <c r="I254" s="27"/>
      <c r="J254" s="34"/>
      <c r="K254" s="29"/>
      <c r="L254" s="27"/>
      <c r="M254" s="29"/>
      <c r="N254" s="29"/>
      <c r="O254" s="27"/>
      <c r="P254" s="27"/>
    </row>
    <row r="255" spans="1:16" x14ac:dyDescent="0.2">
      <c r="A255" s="27"/>
      <c r="B255" s="27"/>
      <c r="C255" s="27"/>
      <c r="D255" s="27"/>
      <c r="E255" s="28"/>
      <c r="F255" s="27"/>
      <c r="G255" s="29"/>
      <c r="H255" s="27"/>
      <c r="I255" s="27"/>
      <c r="J255" s="34"/>
      <c r="K255" s="29"/>
      <c r="L255" s="27"/>
      <c r="M255" s="29"/>
      <c r="N255" s="29"/>
      <c r="O255" s="27"/>
      <c r="P255" s="27"/>
    </row>
    <row r="256" spans="1:16" x14ac:dyDescent="0.2">
      <c r="A256" s="27"/>
      <c r="B256" s="27"/>
      <c r="C256" s="27"/>
      <c r="D256" s="27"/>
      <c r="E256" s="28"/>
      <c r="F256" s="27"/>
      <c r="G256" s="29"/>
      <c r="H256" s="27"/>
      <c r="I256" s="27"/>
      <c r="J256" s="34"/>
      <c r="K256" s="29"/>
      <c r="L256" s="27"/>
      <c r="M256" s="29"/>
      <c r="N256" s="29"/>
      <c r="O256" s="27"/>
      <c r="P256" s="27"/>
    </row>
    <row r="257" spans="1:16" x14ac:dyDescent="0.2">
      <c r="A257" s="27"/>
      <c r="B257" s="27"/>
      <c r="C257" s="27"/>
      <c r="D257" s="27"/>
      <c r="E257" s="28"/>
      <c r="F257" s="27"/>
      <c r="G257" s="29"/>
      <c r="H257" s="27"/>
      <c r="I257" s="27"/>
      <c r="J257" s="34"/>
      <c r="K257" s="29"/>
      <c r="L257" s="27"/>
      <c r="M257" s="29"/>
      <c r="N257" s="29"/>
      <c r="O257" s="27"/>
      <c r="P257" s="27"/>
    </row>
    <row r="258" spans="1:16" x14ac:dyDescent="0.2">
      <c r="A258" s="27"/>
      <c r="B258" s="27"/>
      <c r="C258" s="27"/>
      <c r="D258" s="27"/>
      <c r="E258" s="28"/>
      <c r="F258" s="27"/>
      <c r="G258" s="29"/>
      <c r="H258" s="27"/>
      <c r="I258" s="27"/>
      <c r="J258" s="34"/>
      <c r="K258" s="29"/>
      <c r="L258" s="27"/>
      <c r="M258" s="29"/>
      <c r="N258" s="29"/>
      <c r="O258" s="27"/>
      <c r="P258" s="27"/>
    </row>
    <row r="259" spans="1:16" x14ac:dyDescent="0.2">
      <c r="A259" s="27"/>
      <c r="B259" s="27"/>
      <c r="C259" s="27"/>
      <c r="D259" s="27"/>
      <c r="E259" s="28"/>
      <c r="F259" s="27"/>
      <c r="G259" s="29"/>
      <c r="H259" s="27"/>
      <c r="I259" s="27"/>
      <c r="J259" s="34"/>
      <c r="K259" s="29"/>
      <c r="L259" s="27"/>
      <c r="M259" s="29"/>
      <c r="N259" s="29"/>
      <c r="O259" s="27"/>
      <c r="P259" s="27"/>
    </row>
    <row r="260" spans="1:16" x14ac:dyDescent="0.2">
      <c r="A260" s="27"/>
      <c r="B260" s="27"/>
      <c r="C260" s="27"/>
      <c r="D260" s="27"/>
      <c r="E260" s="28"/>
      <c r="F260" s="27"/>
      <c r="G260" s="29"/>
      <c r="H260" s="27"/>
      <c r="I260" s="27"/>
      <c r="J260" s="34"/>
      <c r="K260" s="29"/>
      <c r="L260" s="27"/>
      <c r="M260" s="29"/>
      <c r="N260" s="29"/>
      <c r="O260" s="27"/>
      <c r="P260" s="27"/>
    </row>
    <row r="261" spans="1:16" x14ac:dyDescent="0.2">
      <c r="A261" s="27"/>
      <c r="B261" s="27"/>
      <c r="C261" s="27"/>
      <c r="D261" s="27"/>
      <c r="E261" s="28"/>
      <c r="F261" s="27"/>
      <c r="G261" s="29"/>
      <c r="H261" s="27"/>
      <c r="I261" s="27"/>
      <c r="J261" s="34"/>
      <c r="K261" s="29"/>
      <c r="L261" s="27"/>
      <c r="M261" s="29"/>
      <c r="N261" s="29"/>
      <c r="O261" s="27"/>
      <c r="P261" s="27"/>
    </row>
    <row r="262" spans="1:16" x14ac:dyDescent="0.2">
      <c r="A262" s="27"/>
      <c r="B262" s="27"/>
      <c r="C262" s="27"/>
      <c r="D262" s="27"/>
      <c r="E262" s="28"/>
      <c r="F262" s="27"/>
      <c r="G262" s="29"/>
      <c r="H262" s="27"/>
      <c r="I262" s="27"/>
      <c r="J262" s="34"/>
      <c r="K262" s="29"/>
      <c r="L262" s="27"/>
      <c r="M262" s="29"/>
      <c r="N262" s="29"/>
      <c r="O262" s="27"/>
      <c r="P262" s="27"/>
    </row>
    <row r="263" spans="1:16" x14ac:dyDescent="0.2">
      <c r="A263" s="27"/>
      <c r="B263" s="27"/>
      <c r="C263" s="27"/>
      <c r="D263" s="27"/>
      <c r="E263" s="28"/>
      <c r="F263" s="27"/>
      <c r="G263" s="29"/>
      <c r="H263" s="27"/>
      <c r="I263" s="27"/>
      <c r="J263" s="34"/>
      <c r="K263" s="29"/>
      <c r="L263" s="27"/>
      <c r="M263" s="29"/>
      <c r="N263" s="29"/>
      <c r="O263" s="27"/>
      <c r="P263" s="27"/>
    </row>
    <row r="264" spans="1:16" x14ac:dyDescent="0.2">
      <c r="A264" s="27"/>
      <c r="B264" s="27"/>
      <c r="C264" s="27"/>
      <c r="D264" s="27"/>
      <c r="E264" s="28"/>
      <c r="F264" s="27"/>
      <c r="G264" s="29"/>
      <c r="H264" s="27"/>
      <c r="I264" s="27"/>
      <c r="J264" s="34"/>
      <c r="K264" s="29"/>
      <c r="L264" s="27"/>
      <c r="M264" s="29"/>
      <c r="N264" s="29"/>
      <c r="O264" s="27"/>
      <c r="P264" s="27"/>
    </row>
    <row r="265" spans="1:16" x14ac:dyDescent="0.2">
      <c r="A265" s="27"/>
      <c r="B265" s="27"/>
      <c r="C265" s="27"/>
      <c r="D265" s="27"/>
      <c r="E265" s="28"/>
      <c r="F265" s="27"/>
      <c r="G265" s="29"/>
      <c r="H265" s="27"/>
      <c r="I265" s="27"/>
      <c r="J265" s="34"/>
      <c r="K265" s="29"/>
      <c r="L265" s="27"/>
      <c r="M265" s="29"/>
      <c r="N265" s="29"/>
      <c r="O265" s="27"/>
      <c r="P265" s="27"/>
    </row>
    <row r="266" spans="1:16" x14ac:dyDescent="0.2">
      <c r="A266" s="27"/>
      <c r="B266" s="27"/>
      <c r="C266" s="27"/>
      <c r="D266" s="27"/>
      <c r="E266" s="28"/>
      <c r="F266" s="27"/>
      <c r="G266" s="29"/>
      <c r="H266" s="27"/>
      <c r="I266" s="27"/>
      <c r="J266" s="34"/>
      <c r="K266" s="29"/>
      <c r="L266" s="27"/>
      <c r="M266" s="29"/>
      <c r="N266" s="29"/>
      <c r="O266" s="27"/>
      <c r="P266" s="27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63A3-49E9-4F49-8F4E-7CDED4A83D2C}">
  <dimension ref="A1:K44"/>
  <sheetViews>
    <sheetView topLeftCell="A24" workbookViewId="0">
      <selection activeCell="A38" sqref="A38"/>
    </sheetView>
  </sheetViews>
  <sheetFormatPr defaultRowHeight="14.25" x14ac:dyDescent="0.2"/>
  <cols>
    <col min="1" max="1" width="6.5703125" customWidth="1"/>
    <col min="2" max="2" width="7.85546875" style="101" customWidth="1"/>
    <col min="3" max="3" width="7.7109375" style="101" customWidth="1"/>
    <col min="4" max="4" width="7.140625" customWidth="1"/>
    <col min="6" max="6" width="0" hidden="1" customWidth="1"/>
    <col min="7" max="7" width="8" customWidth="1"/>
    <col min="8" max="8" width="11.85546875" customWidth="1"/>
    <col min="9" max="9" width="19.42578125" customWidth="1"/>
    <col min="10" max="10" width="20.7109375" customWidth="1"/>
    <col min="11" max="11" width="16.140625" customWidth="1"/>
  </cols>
  <sheetData>
    <row r="1" spans="1:11" x14ac:dyDescent="0.2">
      <c r="A1" s="339" t="s">
        <v>1307</v>
      </c>
      <c r="B1" s="339"/>
      <c r="C1" s="339"/>
      <c r="D1" s="339"/>
      <c r="E1" s="339"/>
      <c r="F1" s="340" t="s">
        <v>300</v>
      </c>
      <c r="G1" s="340"/>
      <c r="H1" s="340"/>
      <c r="I1" s="340"/>
      <c r="J1" s="340"/>
    </row>
    <row r="2" spans="1:11" ht="15" x14ac:dyDescent="0.2">
      <c r="A2" s="343" t="s">
        <v>787</v>
      </c>
      <c r="B2" s="343"/>
      <c r="C2" s="343"/>
      <c r="D2" s="343"/>
      <c r="E2" s="343"/>
      <c r="F2" s="344" t="s">
        <v>1341</v>
      </c>
      <c r="G2" s="344"/>
      <c r="H2" s="344"/>
      <c r="I2" s="344"/>
      <c r="J2" s="344"/>
    </row>
    <row r="3" spans="1:11" ht="15" x14ac:dyDescent="0.2">
      <c r="A3" s="354"/>
      <c r="B3" s="354"/>
      <c r="C3" s="354"/>
      <c r="D3" s="354"/>
      <c r="E3" s="354"/>
      <c r="F3" s="56"/>
      <c r="G3" s="56"/>
      <c r="H3" s="56"/>
      <c r="I3" s="56"/>
      <c r="J3" s="56"/>
    </row>
    <row r="4" spans="1:11" ht="15" x14ac:dyDescent="0.25">
      <c r="A4" s="59"/>
      <c r="B4" s="59"/>
      <c r="C4" s="59"/>
      <c r="D4" s="59"/>
      <c r="E4" s="59"/>
      <c r="F4" s="59"/>
      <c r="G4" s="59"/>
      <c r="H4" s="59"/>
      <c r="I4" s="59"/>
      <c r="J4" s="60" t="s">
        <v>1340</v>
      </c>
    </row>
    <row r="5" spans="1:11" ht="15.75" x14ac:dyDescent="0.25">
      <c r="A5" s="347" t="s">
        <v>1343</v>
      </c>
      <c r="B5" s="348"/>
      <c r="C5" s="348"/>
      <c r="D5" s="348"/>
      <c r="E5" s="348"/>
      <c r="F5" s="348"/>
      <c r="G5" s="348"/>
      <c r="H5" s="348"/>
      <c r="I5" s="348"/>
      <c r="J5" s="348"/>
    </row>
    <row r="6" spans="1:11" x14ac:dyDescent="0.2">
      <c r="A6" s="62"/>
      <c r="B6" s="60"/>
      <c r="C6" s="62"/>
      <c r="D6" s="62"/>
      <c r="E6" s="62"/>
      <c r="F6" s="62"/>
      <c r="G6" s="62"/>
      <c r="H6" s="62"/>
      <c r="I6" s="62"/>
      <c r="J6" s="63">
        <v>234</v>
      </c>
    </row>
    <row r="7" spans="1:11" ht="15" x14ac:dyDescent="0.25">
      <c r="A7" s="64" t="s">
        <v>1344</v>
      </c>
      <c r="B7" s="59"/>
      <c r="C7" s="65"/>
      <c r="D7" s="59"/>
      <c r="E7" s="59"/>
      <c r="F7" s="59"/>
      <c r="G7" s="59"/>
      <c r="H7" s="59"/>
      <c r="I7" s="59"/>
      <c r="J7" s="66" t="s">
        <v>1318</v>
      </c>
    </row>
    <row r="8" spans="1:11" ht="15" x14ac:dyDescent="0.25">
      <c r="A8" s="64" t="s">
        <v>1348</v>
      </c>
      <c r="B8" s="59"/>
      <c r="C8" s="67"/>
      <c r="D8" s="59"/>
      <c r="E8" s="59"/>
      <c r="F8" s="59"/>
      <c r="G8" s="59"/>
      <c r="H8" s="59"/>
      <c r="I8" s="59"/>
      <c r="J8" s="66" t="s">
        <v>1345</v>
      </c>
    </row>
    <row r="9" spans="1:11" ht="15" x14ac:dyDescent="0.25">
      <c r="A9" s="64"/>
      <c r="B9" s="59"/>
      <c r="C9" s="59"/>
      <c r="D9" s="20"/>
      <c r="E9" s="20"/>
      <c r="F9" s="20"/>
      <c r="G9" s="20"/>
      <c r="H9" s="20"/>
      <c r="I9" s="20"/>
      <c r="J9" s="20"/>
    </row>
    <row r="10" spans="1:11" ht="15" customHeight="1" x14ac:dyDescent="0.2">
      <c r="A10" s="361" t="s">
        <v>272</v>
      </c>
      <c r="B10" s="361" t="s">
        <v>268</v>
      </c>
      <c r="C10" s="361" t="s">
        <v>273</v>
      </c>
      <c r="D10" s="361" t="s">
        <v>274</v>
      </c>
      <c r="E10" s="361" t="s">
        <v>1199</v>
      </c>
      <c r="F10" s="364" t="s">
        <v>1198</v>
      </c>
      <c r="G10" s="361" t="s">
        <v>275</v>
      </c>
      <c r="H10" s="361" t="s">
        <v>276</v>
      </c>
      <c r="I10" s="364" t="s">
        <v>1349</v>
      </c>
      <c r="J10" s="361" t="s">
        <v>1342</v>
      </c>
      <c r="K10" s="367"/>
    </row>
    <row r="11" spans="1:11" ht="15" customHeight="1" x14ac:dyDescent="0.2">
      <c r="A11" s="361"/>
      <c r="B11" s="361"/>
      <c r="C11" s="361"/>
      <c r="D11" s="361"/>
      <c r="E11" s="361"/>
      <c r="F11" s="365"/>
      <c r="G11" s="361"/>
      <c r="H11" s="361"/>
      <c r="I11" s="365"/>
      <c r="J11" s="361"/>
      <c r="K11" s="367"/>
    </row>
    <row r="12" spans="1:11" ht="15" customHeight="1" x14ac:dyDescent="0.2">
      <c r="A12" s="361"/>
      <c r="B12" s="361"/>
      <c r="C12" s="361"/>
      <c r="D12" s="361"/>
      <c r="E12" s="361"/>
      <c r="F12" s="366"/>
      <c r="G12" s="361"/>
      <c r="H12" s="361"/>
      <c r="I12" s="366"/>
      <c r="J12" s="361"/>
      <c r="K12" s="367"/>
    </row>
    <row r="13" spans="1:11" ht="15" x14ac:dyDescent="0.25">
      <c r="A13" s="110">
        <v>1</v>
      </c>
      <c r="B13" s="115">
        <v>1769</v>
      </c>
      <c r="C13" s="115">
        <v>1768</v>
      </c>
      <c r="D13" s="261">
        <v>120</v>
      </c>
      <c r="E13" s="110">
        <f>(B13-C13)*D13</f>
        <v>120</v>
      </c>
      <c r="F13" s="111">
        <v>0</v>
      </c>
      <c r="G13" s="115">
        <v>3505</v>
      </c>
      <c r="H13" s="111">
        <f t="shared" ref="H13:H35" si="0">G13*E13</f>
        <v>420600</v>
      </c>
      <c r="I13" s="102" t="s">
        <v>1069</v>
      </c>
      <c r="J13" s="103" t="s">
        <v>332</v>
      </c>
    </row>
    <row r="14" spans="1:11" ht="15" x14ac:dyDescent="0.25">
      <c r="A14" s="110">
        <v>2</v>
      </c>
      <c r="B14" s="115">
        <v>62636</v>
      </c>
      <c r="C14" s="115">
        <v>62393</v>
      </c>
      <c r="D14" s="261">
        <v>1</v>
      </c>
      <c r="E14" s="110">
        <f t="shared" ref="E14:E35" si="1">(B14-C14)*D14</f>
        <v>243</v>
      </c>
      <c r="F14" s="111"/>
      <c r="G14" s="115">
        <v>3505</v>
      </c>
      <c r="H14" s="111">
        <f t="shared" si="0"/>
        <v>851715</v>
      </c>
      <c r="I14" s="102" t="s">
        <v>1069</v>
      </c>
      <c r="J14" s="103" t="s">
        <v>332</v>
      </c>
    </row>
    <row r="15" spans="1:11" ht="30" x14ac:dyDescent="0.25">
      <c r="A15" s="110">
        <v>3</v>
      </c>
      <c r="B15" s="115">
        <v>95475</v>
      </c>
      <c r="C15" s="115">
        <v>95395</v>
      </c>
      <c r="D15" s="261">
        <v>1</v>
      </c>
      <c r="E15" s="110">
        <f t="shared" si="1"/>
        <v>80</v>
      </c>
      <c r="F15" s="112"/>
      <c r="G15" s="115">
        <v>3505</v>
      </c>
      <c r="H15" s="111">
        <f t="shared" si="0"/>
        <v>280400</v>
      </c>
      <c r="I15" s="51" t="s">
        <v>1069</v>
      </c>
      <c r="J15" s="51" t="s">
        <v>1264</v>
      </c>
    </row>
    <row r="16" spans="1:11" ht="15" x14ac:dyDescent="0.25">
      <c r="A16" s="110">
        <v>4</v>
      </c>
      <c r="B16" s="115">
        <v>28589</v>
      </c>
      <c r="C16" s="115">
        <v>28449</v>
      </c>
      <c r="D16" s="261">
        <v>1</v>
      </c>
      <c r="E16" s="110">
        <f t="shared" si="1"/>
        <v>140</v>
      </c>
      <c r="F16" s="111"/>
      <c r="G16" s="115">
        <v>3505</v>
      </c>
      <c r="H16" s="111">
        <f t="shared" si="0"/>
        <v>490700</v>
      </c>
      <c r="I16" s="51" t="s">
        <v>1069</v>
      </c>
      <c r="J16" s="51" t="s">
        <v>1265</v>
      </c>
    </row>
    <row r="17" spans="1:10" ht="15" x14ac:dyDescent="0.25">
      <c r="A17" s="110">
        <v>5</v>
      </c>
      <c r="B17" s="115">
        <v>33512</v>
      </c>
      <c r="C17" s="115">
        <v>33448</v>
      </c>
      <c r="D17" s="261">
        <v>1</v>
      </c>
      <c r="E17" s="110">
        <f t="shared" si="1"/>
        <v>64</v>
      </c>
      <c r="F17" s="111"/>
      <c r="G17" s="115">
        <v>3505</v>
      </c>
      <c r="H17" s="111">
        <f t="shared" si="0"/>
        <v>224320</v>
      </c>
      <c r="I17" s="51" t="s">
        <v>1069</v>
      </c>
      <c r="J17" s="51" t="s">
        <v>1269</v>
      </c>
    </row>
    <row r="18" spans="1:10" ht="15" x14ac:dyDescent="0.25">
      <c r="A18" s="110">
        <v>6</v>
      </c>
      <c r="B18" s="115">
        <v>5204</v>
      </c>
      <c r="C18" s="115">
        <v>5166</v>
      </c>
      <c r="D18" s="261">
        <v>1</v>
      </c>
      <c r="E18" s="110">
        <f t="shared" si="1"/>
        <v>38</v>
      </c>
      <c r="F18" s="111"/>
      <c r="G18" s="115">
        <v>3505</v>
      </c>
      <c r="H18" s="111">
        <f t="shared" si="0"/>
        <v>133190</v>
      </c>
      <c r="I18" s="51" t="s">
        <v>1069</v>
      </c>
      <c r="J18" s="51" t="s">
        <v>1272</v>
      </c>
    </row>
    <row r="19" spans="1:10" ht="15" x14ac:dyDescent="0.25">
      <c r="A19" s="110">
        <v>7</v>
      </c>
      <c r="B19" s="115">
        <v>54663</v>
      </c>
      <c r="C19" s="115">
        <v>54443</v>
      </c>
      <c r="D19" s="261">
        <v>1</v>
      </c>
      <c r="E19" s="110">
        <f t="shared" si="1"/>
        <v>220</v>
      </c>
      <c r="F19" s="111"/>
      <c r="G19" s="115">
        <v>3505</v>
      </c>
      <c r="H19" s="111">
        <f t="shared" si="0"/>
        <v>771100</v>
      </c>
      <c r="I19" s="51" t="s">
        <v>1069</v>
      </c>
      <c r="J19" s="51" t="s">
        <v>1271</v>
      </c>
    </row>
    <row r="20" spans="1:10" ht="15" x14ac:dyDescent="0.25">
      <c r="A20" s="110">
        <v>8</v>
      </c>
      <c r="B20" s="115">
        <v>13909</v>
      </c>
      <c r="C20" s="115">
        <v>13892</v>
      </c>
      <c r="D20" s="261">
        <v>1</v>
      </c>
      <c r="E20" s="110">
        <f t="shared" si="1"/>
        <v>17</v>
      </c>
      <c r="F20" s="111"/>
      <c r="G20" s="115">
        <v>3505</v>
      </c>
      <c r="H20" s="111">
        <f t="shared" si="0"/>
        <v>59585</v>
      </c>
      <c r="I20" s="51" t="s">
        <v>1069</v>
      </c>
      <c r="J20" s="51" t="s">
        <v>1266</v>
      </c>
    </row>
    <row r="21" spans="1:10" ht="15" x14ac:dyDescent="0.25">
      <c r="A21" s="110">
        <v>9</v>
      </c>
      <c r="B21" s="115">
        <v>10919</v>
      </c>
      <c r="C21" s="115">
        <v>10903</v>
      </c>
      <c r="D21" s="261">
        <v>1</v>
      </c>
      <c r="E21" s="110">
        <f t="shared" si="1"/>
        <v>16</v>
      </c>
      <c r="F21" s="111"/>
      <c r="G21" s="115">
        <v>3505</v>
      </c>
      <c r="H21" s="111">
        <f t="shared" si="0"/>
        <v>56080</v>
      </c>
      <c r="I21" s="51" t="s">
        <v>1069</v>
      </c>
      <c r="J21" s="51" t="s">
        <v>1309</v>
      </c>
    </row>
    <row r="22" spans="1:10" ht="15" x14ac:dyDescent="0.25">
      <c r="A22" s="110">
        <v>10</v>
      </c>
      <c r="B22" s="115">
        <v>14847</v>
      </c>
      <c r="C22" s="115">
        <v>14821</v>
      </c>
      <c r="D22" s="261">
        <v>1</v>
      </c>
      <c r="E22" s="110">
        <f t="shared" si="1"/>
        <v>26</v>
      </c>
      <c r="F22" s="111"/>
      <c r="G22" s="115">
        <v>3505</v>
      </c>
      <c r="H22" s="111">
        <f t="shared" si="0"/>
        <v>91130</v>
      </c>
      <c r="I22" s="51" t="s">
        <v>1069</v>
      </c>
      <c r="J22" s="51" t="s">
        <v>1308</v>
      </c>
    </row>
    <row r="23" spans="1:10" ht="30" x14ac:dyDescent="0.25">
      <c r="A23" s="110">
        <v>11</v>
      </c>
      <c r="B23" s="115">
        <v>15180</v>
      </c>
      <c r="C23" s="115">
        <v>15020</v>
      </c>
      <c r="D23" s="261">
        <v>1</v>
      </c>
      <c r="E23" s="110">
        <f t="shared" si="1"/>
        <v>160</v>
      </c>
      <c r="F23" s="111"/>
      <c r="G23" s="115">
        <v>3505</v>
      </c>
      <c r="H23" s="111">
        <f t="shared" si="0"/>
        <v>560800</v>
      </c>
      <c r="I23" s="51" t="s">
        <v>1090</v>
      </c>
      <c r="J23" s="51" t="s">
        <v>1267</v>
      </c>
    </row>
    <row r="24" spans="1:10" ht="30" x14ac:dyDescent="0.25">
      <c r="A24" s="110">
        <v>12</v>
      </c>
      <c r="B24" s="115">
        <v>1923</v>
      </c>
      <c r="C24" s="115">
        <v>1865</v>
      </c>
      <c r="D24" s="261">
        <v>1</v>
      </c>
      <c r="E24" s="110">
        <f t="shared" si="1"/>
        <v>58</v>
      </c>
      <c r="F24" s="111"/>
      <c r="G24" s="115">
        <v>3505</v>
      </c>
      <c r="H24" s="111">
        <f t="shared" si="0"/>
        <v>203290</v>
      </c>
      <c r="I24" s="51" t="s">
        <v>1256</v>
      </c>
      <c r="J24" s="51" t="s">
        <v>1257</v>
      </c>
    </row>
    <row r="25" spans="1:10" ht="30" x14ac:dyDescent="0.25">
      <c r="A25" s="110">
        <v>13</v>
      </c>
      <c r="B25" s="115">
        <v>545</v>
      </c>
      <c r="C25" s="115">
        <v>525</v>
      </c>
      <c r="D25" s="261">
        <v>30</v>
      </c>
      <c r="E25" s="110">
        <f t="shared" si="1"/>
        <v>600</v>
      </c>
      <c r="F25" s="111"/>
      <c r="G25" s="115">
        <v>3505</v>
      </c>
      <c r="H25" s="111">
        <f t="shared" si="0"/>
        <v>2103000</v>
      </c>
      <c r="I25" s="262" t="s">
        <v>1326</v>
      </c>
      <c r="J25" s="262" t="s">
        <v>1346</v>
      </c>
    </row>
    <row r="26" spans="1:10" ht="45" x14ac:dyDescent="0.25">
      <c r="A26" s="110">
        <v>14</v>
      </c>
      <c r="B26" s="115">
        <v>2640</v>
      </c>
      <c r="C26" s="115">
        <v>0</v>
      </c>
      <c r="D26" s="261">
        <v>1</v>
      </c>
      <c r="E26" s="110">
        <f t="shared" si="1"/>
        <v>2640</v>
      </c>
      <c r="F26" s="111"/>
      <c r="G26" s="115">
        <v>3505</v>
      </c>
      <c r="H26" s="111">
        <f t="shared" si="0"/>
        <v>9253200</v>
      </c>
      <c r="I26" s="262" t="s">
        <v>1325</v>
      </c>
      <c r="J26" s="262" t="s">
        <v>1346</v>
      </c>
    </row>
    <row r="27" spans="1:10" ht="15" x14ac:dyDescent="0.25">
      <c r="A27" s="110">
        <v>15</v>
      </c>
      <c r="B27" s="115">
        <v>39721</v>
      </c>
      <c r="C27" s="115">
        <v>39716</v>
      </c>
      <c r="D27" s="261">
        <v>1</v>
      </c>
      <c r="E27" s="110">
        <f t="shared" si="1"/>
        <v>5</v>
      </c>
      <c r="F27" s="111"/>
      <c r="G27" s="115">
        <v>3505</v>
      </c>
      <c r="H27" s="111">
        <f t="shared" si="0"/>
        <v>17525</v>
      </c>
      <c r="I27" s="51" t="s">
        <v>1104</v>
      </c>
      <c r="J27" s="51" t="s">
        <v>1333</v>
      </c>
    </row>
    <row r="28" spans="1:10" ht="30" x14ac:dyDescent="0.25">
      <c r="A28" s="110">
        <v>16</v>
      </c>
      <c r="B28" s="115">
        <v>1843</v>
      </c>
      <c r="C28" s="115">
        <v>1803</v>
      </c>
      <c r="D28" s="261">
        <v>1</v>
      </c>
      <c r="E28" s="110">
        <f t="shared" si="1"/>
        <v>40</v>
      </c>
      <c r="F28" s="111"/>
      <c r="G28" s="115">
        <v>3505</v>
      </c>
      <c r="H28" s="111">
        <f t="shared" si="0"/>
        <v>140200</v>
      </c>
      <c r="I28" s="51" t="s">
        <v>1294</v>
      </c>
      <c r="J28" s="51" t="s">
        <v>1295</v>
      </c>
    </row>
    <row r="29" spans="1:10" ht="15" x14ac:dyDescent="0.25">
      <c r="A29" s="110">
        <v>17</v>
      </c>
      <c r="B29" s="115">
        <v>26916</v>
      </c>
      <c r="C29" s="115">
        <v>26852</v>
      </c>
      <c r="D29" s="261">
        <v>1</v>
      </c>
      <c r="E29" s="110">
        <f t="shared" si="1"/>
        <v>64</v>
      </c>
      <c r="F29" s="111"/>
      <c r="G29" s="115">
        <v>3505</v>
      </c>
      <c r="H29" s="111">
        <f t="shared" si="0"/>
        <v>224320</v>
      </c>
      <c r="I29" s="51" t="s">
        <v>1104</v>
      </c>
      <c r="J29" s="51" t="s">
        <v>1467</v>
      </c>
    </row>
    <row r="30" spans="1:10" ht="15" x14ac:dyDescent="0.25">
      <c r="A30" s="110">
        <v>18</v>
      </c>
      <c r="B30" s="115">
        <v>6609</v>
      </c>
      <c r="C30" s="115">
        <v>6586</v>
      </c>
      <c r="D30" s="261">
        <v>1</v>
      </c>
      <c r="E30" s="110">
        <f t="shared" si="1"/>
        <v>23</v>
      </c>
      <c r="F30" s="111"/>
      <c r="G30" s="115">
        <v>3505</v>
      </c>
      <c r="H30" s="111">
        <f t="shared" si="0"/>
        <v>80615</v>
      </c>
      <c r="I30" s="51" t="s">
        <v>1378</v>
      </c>
      <c r="J30" s="51" t="s">
        <v>1400</v>
      </c>
    </row>
    <row r="31" spans="1:10" ht="15" x14ac:dyDescent="0.25">
      <c r="A31" s="110">
        <v>19</v>
      </c>
      <c r="B31" s="115">
        <v>533</v>
      </c>
      <c r="C31" s="115">
        <v>513</v>
      </c>
      <c r="D31" s="261">
        <v>40</v>
      </c>
      <c r="E31" s="110">
        <f t="shared" si="1"/>
        <v>800</v>
      </c>
      <c r="F31" s="111"/>
      <c r="G31" s="115">
        <v>3505</v>
      </c>
      <c r="H31" s="111">
        <f t="shared" si="0"/>
        <v>2804000</v>
      </c>
      <c r="I31" s="51" t="s">
        <v>918</v>
      </c>
      <c r="J31" s="51" t="s">
        <v>919</v>
      </c>
    </row>
    <row r="32" spans="1:10" ht="30" x14ac:dyDescent="0.25">
      <c r="A32" s="110">
        <v>20</v>
      </c>
      <c r="B32" s="115">
        <v>1926</v>
      </c>
      <c r="C32" s="115">
        <v>1869</v>
      </c>
      <c r="D32" s="261">
        <v>20</v>
      </c>
      <c r="E32" s="110">
        <f t="shared" si="1"/>
        <v>1140</v>
      </c>
      <c r="F32" s="111"/>
      <c r="G32" s="115">
        <v>3505</v>
      </c>
      <c r="H32" s="111">
        <f t="shared" si="0"/>
        <v>3995700</v>
      </c>
      <c r="I32" s="51" t="s">
        <v>1370</v>
      </c>
      <c r="J32" s="51" t="s">
        <v>1177</v>
      </c>
    </row>
    <row r="33" spans="1:10" ht="15" x14ac:dyDescent="0.25">
      <c r="A33" s="110">
        <v>21</v>
      </c>
      <c r="B33" s="115">
        <v>43938</v>
      </c>
      <c r="C33" s="115">
        <v>43932</v>
      </c>
      <c r="D33" s="261">
        <v>1</v>
      </c>
      <c r="E33" s="110">
        <f t="shared" si="1"/>
        <v>6</v>
      </c>
      <c r="F33" s="111"/>
      <c r="G33" s="115">
        <v>3505</v>
      </c>
      <c r="H33" s="111">
        <f t="shared" si="0"/>
        <v>21030</v>
      </c>
      <c r="I33" s="51" t="s">
        <v>1104</v>
      </c>
      <c r="J33" s="51" t="s">
        <v>1333</v>
      </c>
    </row>
    <row r="34" spans="1:10" ht="15" x14ac:dyDescent="0.25">
      <c r="A34" s="110">
        <v>22</v>
      </c>
      <c r="B34" s="115">
        <v>27493</v>
      </c>
      <c r="C34" s="115">
        <v>27446</v>
      </c>
      <c r="D34" s="261">
        <v>1</v>
      </c>
      <c r="E34" s="110">
        <f t="shared" si="1"/>
        <v>47</v>
      </c>
      <c r="F34" s="111"/>
      <c r="G34" s="115">
        <v>3505</v>
      </c>
      <c r="H34" s="111">
        <f t="shared" si="0"/>
        <v>164735</v>
      </c>
      <c r="I34" s="51" t="s">
        <v>1167</v>
      </c>
      <c r="J34" s="263" t="s">
        <v>1183</v>
      </c>
    </row>
    <row r="35" spans="1:10" ht="15" x14ac:dyDescent="0.25">
      <c r="A35" s="110">
        <v>23</v>
      </c>
      <c r="B35" s="115">
        <v>134678</v>
      </c>
      <c r="C35" s="115">
        <v>134543</v>
      </c>
      <c r="D35" s="261">
        <v>1</v>
      </c>
      <c r="E35" s="110">
        <f t="shared" si="1"/>
        <v>135</v>
      </c>
      <c r="F35" s="112"/>
      <c r="G35" s="115">
        <v>3505</v>
      </c>
      <c r="H35" s="111">
        <f t="shared" si="0"/>
        <v>473175</v>
      </c>
      <c r="I35" s="51" t="s">
        <v>1167</v>
      </c>
      <c r="J35" s="263" t="s">
        <v>1183</v>
      </c>
    </row>
    <row r="36" spans="1:10" ht="15" x14ac:dyDescent="0.25">
      <c r="A36" s="104"/>
      <c r="B36" s="105"/>
      <c r="C36" s="106"/>
      <c r="D36" s="106"/>
      <c r="E36" s="105"/>
      <c r="F36" s="107"/>
      <c r="G36" s="108" t="s">
        <v>277</v>
      </c>
      <c r="H36" s="109">
        <f>SUM(H13:H35)</f>
        <v>23420410</v>
      </c>
      <c r="I36" s="116"/>
      <c r="J36" s="51"/>
    </row>
    <row r="37" spans="1:10" ht="15.75" x14ac:dyDescent="0.25">
      <c r="A37" s="368" t="s">
        <v>1478</v>
      </c>
      <c r="B37" s="369"/>
      <c r="C37" s="369"/>
      <c r="D37" s="369"/>
      <c r="E37" s="369"/>
      <c r="F37" s="369"/>
      <c r="G37" s="369"/>
      <c r="H37" s="369"/>
      <c r="I37" s="370"/>
      <c r="J37" s="40"/>
    </row>
    <row r="38" spans="1:10" ht="15" x14ac:dyDescent="0.25">
      <c r="A38" s="91"/>
      <c r="B38" s="59"/>
      <c r="C38" s="100"/>
      <c r="D38" s="20"/>
      <c r="E38" s="20"/>
      <c r="F38" s="20"/>
      <c r="G38" s="20"/>
      <c r="H38" s="20"/>
      <c r="I38" s="20"/>
      <c r="J38" s="20"/>
    </row>
    <row r="39" spans="1:10" ht="15.75" x14ac:dyDescent="0.2">
      <c r="A39" s="22"/>
      <c r="B39" s="92"/>
      <c r="C39" s="100"/>
      <c r="D39" s="22"/>
      <c r="E39" s="17"/>
      <c r="F39" s="17"/>
      <c r="G39" s="17"/>
      <c r="H39" s="360" t="s">
        <v>1339</v>
      </c>
      <c r="I39" s="360"/>
      <c r="J39" s="360"/>
    </row>
    <row r="40" spans="1:10" x14ac:dyDescent="0.2">
      <c r="A40" s="362" t="s">
        <v>787</v>
      </c>
      <c r="B40" s="362"/>
      <c r="C40" s="362"/>
      <c r="D40" s="362"/>
      <c r="E40" s="362"/>
      <c r="F40" s="19"/>
      <c r="G40" s="19"/>
      <c r="H40" s="362" t="s">
        <v>278</v>
      </c>
      <c r="I40" s="362"/>
      <c r="J40" s="362"/>
    </row>
    <row r="41" spans="1:10" ht="15" x14ac:dyDescent="0.25">
      <c r="A41" s="20"/>
      <c r="B41" s="59"/>
      <c r="C41" s="100"/>
      <c r="D41" s="20"/>
      <c r="E41" s="20"/>
      <c r="F41" s="20"/>
      <c r="G41" s="20"/>
      <c r="H41" s="20"/>
      <c r="I41" s="20"/>
      <c r="J41" s="20"/>
    </row>
    <row r="42" spans="1:10" ht="15" x14ac:dyDescent="0.25">
      <c r="A42" s="20"/>
      <c r="B42" s="59"/>
      <c r="C42" s="59"/>
      <c r="D42" s="20"/>
      <c r="E42" s="20"/>
      <c r="F42" s="20"/>
      <c r="G42" s="20"/>
      <c r="H42" s="20"/>
      <c r="I42" s="20"/>
      <c r="J42" s="20"/>
    </row>
    <row r="43" spans="1:10" ht="15" x14ac:dyDescent="0.25">
      <c r="A43" s="20"/>
      <c r="B43" s="59"/>
      <c r="C43" s="59"/>
      <c r="D43" s="20"/>
      <c r="E43" s="20"/>
      <c r="F43" s="20"/>
      <c r="G43" s="20"/>
      <c r="H43" s="20"/>
      <c r="I43" s="20"/>
      <c r="J43" s="20"/>
    </row>
    <row r="44" spans="1:10" ht="15.75" x14ac:dyDescent="0.25">
      <c r="A44" s="20"/>
      <c r="B44" s="67"/>
      <c r="C44" s="67"/>
      <c r="D44" s="21"/>
      <c r="E44" s="20"/>
      <c r="F44" s="20"/>
      <c r="G44" s="20"/>
      <c r="H44" s="363" t="s">
        <v>1293</v>
      </c>
      <c r="I44" s="363"/>
      <c r="J44" s="363"/>
    </row>
  </sheetData>
  <mergeCells count="22">
    <mergeCell ref="K10:K12"/>
    <mergeCell ref="I10:I12"/>
    <mergeCell ref="A37:I37"/>
    <mergeCell ref="G10:G12"/>
    <mergeCell ref="H10:H12"/>
    <mergeCell ref="J10:J12"/>
    <mergeCell ref="C10:C12"/>
    <mergeCell ref="D10:D12"/>
    <mergeCell ref="E10:E12"/>
    <mergeCell ref="A1:E1"/>
    <mergeCell ref="F1:J1"/>
    <mergeCell ref="A2:E2"/>
    <mergeCell ref="F2:J2"/>
    <mergeCell ref="A3:E3"/>
    <mergeCell ref="A5:J5"/>
    <mergeCell ref="H39:J39"/>
    <mergeCell ref="A10:A12"/>
    <mergeCell ref="B10:B12"/>
    <mergeCell ref="H40:J40"/>
    <mergeCell ref="H44:J44"/>
    <mergeCell ref="F10:F12"/>
    <mergeCell ref="A40:E40"/>
  </mergeCells>
  <phoneticPr fontId="3" type="noConversion"/>
  <pageMargins left="0.45" right="0.2" top="0.5" bottom="0.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6A95-EC82-4D79-A53C-4D8BFB3C823B}">
  <dimension ref="A1:K32"/>
  <sheetViews>
    <sheetView topLeftCell="A13" workbookViewId="0">
      <selection activeCell="I17" sqref="I17"/>
    </sheetView>
  </sheetViews>
  <sheetFormatPr defaultRowHeight="14.25" x14ac:dyDescent="0.2"/>
  <cols>
    <col min="1" max="1" width="6.5703125" customWidth="1"/>
    <col min="2" max="2" width="7.85546875" style="101" customWidth="1"/>
    <col min="3" max="3" width="7.7109375" style="101" customWidth="1"/>
    <col min="4" max="4" width="7.140625" style="268" customWidth="1"/>
    <col min="6" max="6" width="0" hidden="1" customWidth="1"/>
    <col min="7" max="7" width="8" customWidth="1"/>
    <col min="8" max="8" width="11.85546875" customWidth="1"/>
    <col min="9" max="9" width="19.42578125" customWidth="1"/>
    <col min="10" max="10" width="20.7109375" customWidth="1"/>
    <col min="11" max="11" width="16.140625" customWidth="1"/>
  </cols>
  <sheetData>
    <row r="1" spans="1:11" x14ac:dyDescent="0.2">
      <c r="A1" s="339" t="s">
        <v>1307</v>
      </c>
      <c r="B1" s="339"/>
      <c r="C1" s="339"/>
      <c r="D1" s="339"/>
      <c r="E1" s="339"/>
      <c r="F1" s="340" t="s">
        <v>300</v>
      </c>
      <c r="G1" s="340"/>
      <c r="H1" s="340"/>
      <c r="I1" s="340"/>
      <c r="J1" s="340"/>
    </row>
    <row r="2" spans="1:11" ht="15" x14ac:dyDescent="0.2">
      <c r="A2" s="343" t="s">
        <v>787</v>
      </c>
      <c r="B2" s="343"/>
      <c r="C2" s="343"/>
      <c r="D2" s="343"/>
      <c r="E2" s="343"/>
      <c r="F2" s="344" t="s">
        <v>1341</v>
      </c>
      <c r="G2" s="344"/>
      <c r="H2" s="344"/>
      <c r="I2" s="344"/>
      <c r="J2" s="344"/>
    </row>
    <row r="3" spans="1:11" ht="15" x14ac:dyDescent="0.2">
      <c r="A3" s="354"/>
      <c r="B3" s="354"/>
      <c r="C3" s="354"/>
      <c r="D3" s="354"/>
      <c r="E3" s="354"/>
      <c r="F3" s="56"/>
      <c r="G3" s="56"/>
      <c r="H3" s="56"/>
      <c r="I3" s="56"/>
      <c r="J3" s="56"/>
    </row>
    <row r="4" spans="1:11" ht="15" x14ac:dyDescent="0.25">
      <c r="A4" s="59"/>
      <c r="B4" s="59"/>
      <c r="C4" s="59"/>
      <c r="D4" s="265"/>
      <c r="E4" s="59"/>
      <c r="F4" s="59"/>
      <c r="G4" s="59"/>
      <c r="H4" s="59"/>
      <c r="I4" s="59"/>
      <c r="J4" s="60" t="s">
        <v>1340</v>
      </c>
    </row>
    <row r="5" spans="1:11" ht="15.75" x14ac:dyDescent="0.25">
      <c r="A5" s="347" t="s">
        <v>1354</v>
      </c>
      <c r="B5" s="348"/>
      <c r="C5" s="348"/>
      <c r="D5" s="348"/>
      <c r="E5" s="348"/>
      <c r="F5" s="348"/>
      <c r="G5" s="348"/>
      <c r="H5" s="348"/>
      <c r="I5" s="348"/>
      <c r="J5" s="348"/>
    </row>
    <row r="6" spans="1:11" x14ac:dyDescent="0.2">
      <c r="A6" s="62"/>
      <c r="B6" s="60"/>
      <c r="C6" s="62"/>
      <c r="D6" s="259"/>
      <c r="E6" s="62"/>
      <c r="F6" s="62"/>
      <c r="G6" s="62"/>
      <c r="H6" s="62"/>
      <c r="I6" s="62"/>
      <c r="J6" s="63">
        <v>234</v>
      </c>
    </row>
    <row r="7" spans="1:11" ht="15" x14ac:dyDescent="0.25">
      <c r="A7" s="64" t="s">
        <v>1350</v>
      </c>
      <c r="B7" s="59"/>
      <c r="C7" s="65"/>
      <c r="D7" s="265"/>
      <c r="E7" s="59"/>
      <c r="F7" s="59"/>
      <c r="G7" s="59"/>
      <c r="H7" s="59"/>
      <c r="I7" s="59"/>
      <c r="J7" s="66" t="s">
        <v>1353</v>
      </c>
    </row>
    <row r="8" spans="1:11" ht="15" x14ac:dyDescent="0.25">
      <c r="A8" s="64" t="s">
        <v>1351</v>
      </c>
      <c r="B8" s="59"/>
      <c r="C8" s="67"/>
      <c r="D8" s="265"/>
      <c r="E8" s="59"/>
      <c r="F8" s="59"/>
      <c r="G8" s="59"/>
      <c r="H8" s="59"/>
      <c r="I8" s="59"/>
      <c r="J8" s="66" t="s">
        <v>1352</v>
      </c>
    </row>
    <row r="9" spans="1:11" ht="15" x14ac:dyDescent="0.25">
      <c r="A9" s="64"/>
      <c r="B9" s="59"/>
      <c r="C9" s="59"/>
      <c r="D9" s="57"/>
      <c r="E9" s="20"/>
      <c r="F9" s="20"/>
      <c r="G9" s="20"/>
      <c r="H9" s="20"/>
      <c r="I9" s="20"/>
      <c r="J9" s="20"/>
    </row>
    <row r="10" spans="1:11" ht="15" customHeight="1" x14ac:dyDescent="0.2">
      <c r="A10" s="361" t="s">
        <v>272</v>
      </c>
      <c r="B10" s="361" t="s">
        <v>268</v>
      </c>
      <c r="C10" s="361" t="s">
        <v>273</v>
      </c>
      <c r="D10" s="361" t="s">
        <v>274</v>
      </c>
      <c r="E10" s="361" t="s">
        <v>1199</v>
      </c>
      <c r="F10" s="364" t="s">
        <v>1198</v>
      </c>
      <c r="G10" s="361" t="s">
        <v>275</v>
      </c>
      <c r="H10" s="361" t="s">
        <v>276</v>
      </c>
      <c r="I10" s="364" t="s">
        <v>1349</v>
      </c>
      <c r="J10" s="361" t="s">
        <v>1342</v>
      </c>
      <c r="K10" s="367"/>
    </row>
    <row r="11" spans="1:11" ht="15" customHeight="1" x14ac:dyDescent="0.2">
      <c r="A11" s="361"/>
      <c r="B11" s="361"/>
      <c r="C11" s="361"/>
      <c r="D11" s="361"/>
      <c r="E11" s="361"/>
      <c r="F11" s="365"/>
      <c r="G11" s="361"/>
      <c r="H11" s="361"/>
      <c r="I11" s="365"/>
      <c r="J11" s="361"/>
      <c r="K11" s="367"/>
    </row>
    <row r="12" spans="1:11" ht="15" customHeight="1" x14ac:dyDescent="0.2">
      <c r="A12" s="361"/>
      <c r="B12" s="361"/>
      <c r="C12" s="361"/>
      <c r="D12" s="361"/>
      <c r="E12" s="361"/>
      <c r="F12" s="366"/>
      <c r="G12" s="361"/>
      <c r="H12" s="361"/>
      <c r="I12" s="366"/>
      <c r="J12" s="361"/>
      <c r="K12" s="367"/>
    </row>
    <row r="13" spans="1:11" ht="31.5" x14ac:dyDescent="0.25">
      <c r="A13" s="110">
        <v>1</v>
      </c>
      <c r="B13" s="115">
        <v>250627</v>
      </c>
      <c r="C13" s="115">
        <v>250602</v>
      </c>
      <c r="D13" s="114">
        <v>1</v>
      </c>
      <c r="E13" s="110">
        <f t="shared" ref="E13:E23" si="0">(B13-C13)*D13</f>
        <v>25</v>
      </c>
      <c r="F13" s="111"/>
      <c r="G13" s="115">
        <v>3505</v>
      </c>
      <c r="H13" s="111">
        <f t="shared" ref="H13:H23" si="1">G13*E13</f>
        <v>87625</v>
      </c>
      <c r="I13" s="40" t="s">
        <v>1042</v>
      </c>
      <c r="J13" s="40" t="s">
        <v>159</v>
      </c>
    </row>
    <row r="14" spans="1:11" ht="31.5" x14ac:dyDescent="0.25">
      <c r="A14" s="110">
        <v>2</v>
      </c>
      <c r="B14" s="115">
        <v>47726</v>
      </c>
      <c r="C14" s="115">
        <v>46527</v>
      </c>
      <c r="D14" s="114">
        <v>1</v>
      </c>
      <c r="E14" s="110">
        <f t="shared" si="0"/>
        <v>1199</v>
      </c>
      <c r="F14" s="111"/>
      <c r="G14" s="115">
        <v>3505</v>
      </c>
      <c r="H14" s="111">
        <f t="shared" si="1"/>
        <v>4202495</v>
      </c>
      <c r="I14" s="144" t="s">
        <v>1231</v>
      </c>
      <c r="J14" s="144" t="s">
        <v>1071</v>
      </c>
    </row>
    <row r="15" spans="1:11" ht="47.25" x14ac:dyDescent="0.25">
      <c r="A15" s="110">
        <v>3</v>
      </c>
      <c r="B15" s="115">
        <v>351</v>
      </c>
      <c r="C15" s="115">
        <v>0</v>
      </c>
      <c r="D15" s="114">
        <v>1</v>
      </c>
      <c r="E15" s="110">
        <f t="shared" si="0"/>
        <v>351</v>
      </c>
      <c r="F15" s="111"/>
      <c r="G15" s="115">
        <v>3505</v>
      </c>
      <c r="H15" s="111">
        <f t="shared" si="1"/>
        <v>1230255</v>
      </c>
      <c r="I15" s="40" t="s">
        <v>1338</v>
      </c>
      <c r="J15" s="40" t="s">
        <v>1156</v>
      </c>
    </row>
    <row r="16" spans="1:11" ht="47.25" x14ac:dyDescent="0.25">
      <c r="A16" s="110">
        <v>4</v>
      </c>
      <c r="B16" s="115">
        <v>60749</v>
      </c>
      <c r="C16" s="115">
        <v>60127</v>
      </c>
      <c r="D16" s="114">
        <v>1</v>
      </c>
      <c r="E16" s="110">
        <f t="shared" si="0"/>
        <v>622</v>
      </c>
      <c r="F16" s="111"/>
      <c r="G16" s="115">
        <v>3505</v>
      </c>
      <c r="H16" s="111">
        <f t="shared" si="1"/>
        <v>2180110</v>
      </c>
      <c r="I16" s="40" t="s">
        <v>1164</v>
      </c>
      <c r="J16" s="40" t="s">
        <v>1156</v>
      </c>
    </row>
    <row r="17" spans="1:10" ht="31.5" x14ac:dyDescent="0.25">
      <c r="A17" s="110">
        <v>5</v>
      </c>
      <c r="B17" s="115">
        <v>96156</v>
      </c>
      <c r="C17" s="115">
        <v>96154</v>
      </c>
      <c r="D17" s="114">
        <v>1</v>
      </c>
      <c r="E17" s="110">
        <f t="shared" si="0"/>
        <v>2</v>
      </c>
      <c r="F17" s="264"/>
      <c r="G17" s="115">
        <v>3505</v>
      </c>
      <c r="H17" s="111">
        <f t="shared" si="1"/>
        <v>7010</v>
      </c>
      <c r="I17" s="129" t="s">
        <v>988</v>
      </c>
      <c r="J17" s="129" t="s">
        <v>1072</v>
      </c>
    </row>
    <row r="18" spans="1:10" ht="31.5" x14ac:dyDescent="0.25">
      <c r="A18" s="110">
        <v>6</v>
      </c>
      <c r="B18" s="115">
        <v>932</v>
      </c>
      <c r="C18" s="115">
        <v>888</v>
      </c>
      <c r="D18" s="114">
        <v>20</v>
      </c>
      <c r="E18" s="110">
        <f t="shared" si="0"/>
        <v>880</v>
      </c>
      <c r="F18" s="264"/>
      <c r="G18" s="115">
        <v>3505</v>
      </c>
      <c r="H18" s="111">
        <f t="shared" si="1"/>
        <v>3084400</v>
      </c>
      <c r="I18" s="40" t="s">
        <v>1407</v>
      </c>
      <c r="J18" s="40" t="s">
        <v>1408</v>
      </c>
    </row>
    <row r="19" spans="1:10" ht="31.5" x14ac:dyDescent="0.25">
      <c r="A19" s="110">
        <v>7</v>
      </c>
      <c r="B19" s="115">
        <v>20</v>
      </c>
      <c r="C19" s="115">
        <v>18</v>
      </c>
      <c r="D19" s="114">
        <v>20</v>
      </c>
      <c r="E19" s="110">
        <f t="shared" si="0"/>
        <v>40</v>
      </c>
      <c r="F19" s="264"/>
      <c r="G19" s="115">
        <v>3505</v>
      </c>
      <c r="H19" s="111">
        <f t="shared" si="1"/>
        <v>140200</v>
      </c>
      <c r="I19" s="40" t="s">
        <v>1407</v>
      </c>
      <c r="J19" s="40" t="s">
        <v>1408</v>
      </c>
    </row>
    <row r="20" spans="1:10" ht="31.5" x14ac:dyDescent="0.25">
      <c r="A20" s="110">
        <v>8</v>
      </c>
      <c r="B20" s="115">
        <v>500</v>
      </c>
      <c r="C20" s="115">
        <v>484</v>
      </c>
      <c r="D20" s="114">
        <v>20</v>
      </c>
      <c r="E20" s="110">
        <f t="shared" si="0"/>
        <v>320</v>
      </c>
      <c r="F20" s="264"/>
      <c r="G20" s="115">
        <v>3505</v>
      </c>
      <c r="H20" s="111">
        <f t="shared" si="1"/>
        <v>1121600</v>
      </c>
      <c r="I20" s="40" t="s">
        <v>1407</v>
      </c>
      <c r="J20" s="40" t="s">
        <v>1409</v>
      </c>
    </row>
    <row r="21" spans="1:10" ht="31.5" x14ac:dyDescent="0.25">
      <c r="A21" s="110">
        <v>9</v>
      </c>
      <c r="B21" s="115">
        <v>166</v>
      </c>
      <c r="C21" s="115">
        <v>162</v>
      </c>
      <c r="D21" s="114">
        <v>20</v>
      </c>
      <c r="E21" s="110">
        <f t="shared" si="0"/>
        <v>80</v>
      </c>
      <c r="F21" s="264"/>
      <c r="G21" s="115">
        <v>3505</v>
      </c>
      <c r="H21" s="111">
        <f t="shared" si="1"/>
        <v>280400</v>
      </c>
      <c r="I21" s="40" t="s">
        <v>1407</v>
      </c>
      <c r="J21" s="40" t="s">
        <v>1409</v>
      </c>
    </row>
    <row r="22" spans="1:10" ht="31.5" x14ac:dyDescent="0.25">
      <c r="A22" s="110">
        <v>10</v>
      </c>
      <c r="B22" s="115">
        <v>743</v>
      </c>
      <c r="C22" s="115">
        <v>698</v>
      </c>
      <c r="D22" s="114">
        <v>20</v>
      </c>
      <c r="E22" s="110">
        <f t="shared" si="0"/>
        <v>900</v>
      </c>
      <c r="F22" s="264"/>
      <c r="G22" s="115">
        <v>3505</v>
      </c>
      <c r="H22" s="111">
        <f t="shared" si="1"/>
        <v>3154500</v>
      </c>
      <c r="I22" s="40" t="s">
        <v>1407</v>
      </c>
      <c r="J22" s="40" t="s">
        <v>1410</v>
      </c>
    </row>
    <row r="23" spans="1:10" ht="31.5" x14ac:dyDescent="0.25">
      <c r="A23" s="110">
        <v>11</v>
      </c>
      <c r="B23" s="115">
        <v>320</v>
      </c>
      <c r="C23" s="115">
        <v>304</v>
      </c>
      <c r="D23" s="114">
        <v>20</v>
      </c>
      <c r="E23" s="110">
        <f t="shared" si="0"/>
        <v>320</v>
      </c>
      <c r="F23" s="264"/>
      <c r="G23" s="115">
        <v>3505</v>
      </c>
      <c r="H23" s="111">
        <f t="shared" si="1"/>
        <v>1121600</v>
      </c>
      <c r="I23" s="40" t="s">
        <v>1407</v>
      </c>
      <c r="J23" s="40" t="s">
        <v>1410</v>
      </c>
    </row>
    <row r="24" spans="1:10" x14ac:dyDescent="0.2">
      <c r="A24" s="104"/>
      <c r="B24" s="105"/>
      <c r="C24" s="106"/>
      <c r="D24" s="266"/>
      <c r="E24" s="105"/>
      <c r="F24" s="107"/>
      <c r="G24" s="108" t="s">
        <v>277</v>
      </c>
      <c r="H24" s="109">
        <f>SUM(H13:H16)</f>
        <v>7700485</v>
      </c>
      <c r="J24" s="117" t="s">
        <v>871</v>
      </c>
    </row>
    <row r="25" spans="1:10" ht="13.5" x14ac:dyDescent="0.2">
      <c r="A25" s="368" t="s">
        <v>1347</v>
      </c>
      <c r="B25" s="369"/>
      <c r="C25" s="369"/>
      <c r="D25" s="369"/>
      <c r="E25" s="369"/>
      <c r="F25" s="369"/>
      <c r="G25" s="369"/>
      <c r="H25" s="369"/>
      <c r="I25" s="370"/>
      <c r="J25" s="118" t="s">
        <v>1200</v>
      </c>
    </row>
    <row r="26" spans="1:10" ht="15" x14ac:dyDescent="0.25">
      <c r="A26" s="91"/>
      <c r="B26" s="59"/>
      <c r="C26" s="100"/>
      <c r="D26" s="57"/>
      <c r="E26" s="20"/>
      <c r="F26" s="20"/>
      <c r="G26" s="20"/>
      <c r="H26" s="20"/>
      <c r="I26" s="20"/>
      <c r="J26" s="20"/>
    </row>
    <row r="27" spans="1:10" ht="15.75" x14ac:dyDescent="0.2">
      <c r="A27" s="22"/>
      <c r="B27" s="92"/>
      <c r="C27" s="100"/>
      <c r="D27" s="267"/>
      <c r="E27" s="17"/>
      <c r="F27" s="17"/>
      <c r="G27" s="17"/>
      <c r="H27" s="360" t="s">
        <v>1339</v>
      </c>
      <c r="I27" s="360"/>
      <c r="J27" s="360"/>
    </row>
    <row r="28" spans="1:10" x14ac:dyDescent="0.2">
      <c r="A28" s="362" t="s">
        <v>787</v>
      </c>
      <c r="B28" s="362"/>
      <c r="C28" s="362"/>
      <c r="D28" s="362"/>
      <c r="E28" s="362"/>
      <c r="F28" s="19"/>
      <c r="G28" s="19"/>
      <c r="H28" s="362" t="s">
        <v>278</v>
      </c>
      <c r="I28" s="362"/>
      <c r="J28" s="362"/>
    </row>
    <row r="29" spans="1:10" ht="15" x14ac:dyDescent="0.25">
      <c r="A29" s="20"/>
      <c r="B29" s="59"/>
      <c r="C29" s="100"/>
      <c r="D29" s="57"/>
      <c r="E29" s="20"/>
      <c r="F29" s="20"/>
      <c r="G29" s="20"/>
      <c r="H29" s="20"/>
      <c r="I29" s="20"/>
      <c r="J29" s="20"/>
    </row>
    <row r="30" spans="1:10" ht="15" x14ac:dyDescent="0.25">
      <c r="A30" s="20"/>
      <c r="B30" s="59"/>
      <c r="C30" s="59"/>
      <c r="D30" s="57"/>
      <c r="E30" s="20"/>
      <c r="F30" s="20"/>
      <c r="G30" s="20"/>
      <c r="H30" s="20"/>
      <c r="I30" s="20"/>
      <c r="J30" s="20"/>
    </row>
    <row r="31" spans="1:10" ht="15" x14ac:dyDescent="0.25">
      <c r="A31" s="20"/>
      <c r="B31" s="59"/>
      <c r="C31" s="59"/>
      <c r="D31" s="57"/>
      <c r="E31" s="20"/>
      <c r="F31" s="20"/>
      <c r="G31" s="20"/>
      <c r="H31" s="20"/>
      <c r="I31" s="20"/>
      <c r="J31" s="20"/>
    </row>
    <row r="32" spans="1:10" ht="15.75" x14ac:dyDescent="0.25">
      <c r="A32" s="20"/>
      <c r="B32" s="67"/>
      <c r="C32" s="67"/>
      <c r="D32" s="260"/>
      <c r="E32" s="20"/>
      <c r="F32" s="20"/>
      <c r="G32" s="20"/>
      <c r="H32" s="363" t="s">
        <v>1293</v>
      </c>
      <c r="I32" s="363"/>
      <c r="J32" s="363"/>
    </row>
  </sheetData>
  <mergeCells count="22">
    <mergeCell ref="H32:J32"/>
    <mergeCell ref="G10:G12"/>
    <mergeCell ref="H10:H12"/>
    <mergeCell ref="I10:I12"/>
    <mergeCell ref="J10:J12"/>
    <mergeCell ref="K10:K12"/>
    <mergeCell ref="A25:I25"/>
    <mergeCell ref="A10:A12"/>
    <mergeCell ref="B10:B12"/>
    <mergeCell ref="C10:C12"/>
    <mergeCell ref="A1:E1"/>
    <mergeCell ref="F1:J1"/>
    <mergeCell ref="A2:E2"/>
    <mergeCell ref="F2:J2"/>
    <mergeCell ref="A3:E3"/>
    <mergeCell ref="A5:J5"/>
    <mergeCell ref="H27:J27"/>
    <mergeCell ref="H28:J28"/>
    <mergeCell ref="D10:D12"/>
    <mergeCell ref="E10:E12"/>
    <mergeCell ref="F10:F12"/>
    <mergeCell ref="A28:E28"/>
  </mergeCells>
  <pageMargins left="0.4" right="0.25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21A9-1664-488F-A6DB-6EA82911861D}">
  <dimension ref="A1:K23"/>
  <sheetViews>
    <sheetView workbookViewId="0">
      <selection activeCell="A19" sqref="A19:E19"/>
    </sheetView>
  </sheetViews>
  <sheetFormatPr defaultRowHeight="14.25" x14ac:dyDescent="0.2"/>
  <cols>
    <col min="1" max="1" width="6.5703125" customWidth="1"/>
    <col min="2" max="2" width="7.85546875" style="101" customWidth="1"/>
    <col min="3" max="3" width="7.7109375" style="101" customWidth="1"/>
    <col min="4" max="4" width="7.140625" customWidth="1"/>
    <col min="6" max="6" width="0" hidden="1" customWidth="1"/>
    <col min="7" max="7" width="8" customWidth="1"/>
    <col min="8" max="8" width="12.7109375" customWidth="1"/>
    <col min="9" max="9" width="19.42578125" customWidth="1"/>
    <col min="10" max="10" width="20.7109375" customWidth="1"/>
    <col min="11" max="11" width="16.140625" customWidth="1"/>
  </cols>
  <sheetData>
    <row r="1" spans="1:11" x14ac:dyDescent="0.2">
      <c r="A1" s="339" t="s">
        <v>1307</v>
      </c>
      <c r="B1" s="339"/>
      <c r="C1" s="339"/>
      <c r="D1" s="339"/>
      <c r="E1" s="339"/>
      <c r="F1" s="340" t="s">
        <v>300</v>
      </c>
      <c r="G1" s="340"/>
      <c r="H1" s="340"/>
      <c r="I1" s="340"/>
      <c r="J1" s="340"/>
    </row>
    <row r="2" spans="1:11" ht="15" x14ac:dyDescent="0.2">
      <c r="A2" s="343" t="s">
        <v>787</v>
      </c>
      <c r="B2" s="343"/>
      <c r="C2" s="343"/>
      <c r="D2" s="343"/>
      <c r="E2" s="343"/>
      <c r="F2" s="344" t="s">
        <v>1341</v>
      </c>
      <c r="G2" s="344"/>
      <c r="H2" s="344"/>
      <c r="I2" s="344"/>
      <c r="J2" s="344"/>
    </row>
    <row r="3" spans="1:11" ht="15" x14ac:dyDescent="0.2">
      <c r="A3" s="354"/>
      <c r="B3" s="354"/>
      <c r="C3" s="354"/>
      <c r="D3" s="354"/>
      <c r="E3" s="354"/>
      <c r="F3" s="56"/>
      <c r="G3" s="56"/>
      <c r="H3" s="56"/>
      <c r="I3" s="56"/>
      <c r="J3" s="56"/>
    </row>
    <row r="4" spans="1:11" ht="15" x14ac:dyDescent="0.25">
      <c r="A4" s="59"/>
      <c r="B4" s="59"/>
      <c r="C4" s="59"/>
      <c r="D4" s="59"/>
      <c r="E4" s="59"/>
      <c r="F4" s="59"/>
      <c r="G4" s="59"/>
      <c r="H4" s="59"/>
      <c r="I4" s="59"/>
      <c r="J4" s="60" t="s">
        <v>1340</v>
      </c>
    </row>
    <row r="5" spans="1:11" ht="15.75" x14ac:dyDescent="0.25">
      <c r="A5" s="347" t="s">
        <v>1355</v>
      </c>
      <c r="B5" s="348"/>
      <c r="C5" s="348"/>
      <c r="D5" s="348"/>
      <c r="E5" s="348"/>
      <c r="F5" s="348"/>
      <c r="G5" s="348"/>
      <c r="H5" s="348"/>
      <c r="I5" s="348"/>
      <c r="J5" s="348"/>
    </row>
    <row r="6" spans="1:11" x14ac:dyDescent="0.2">
      <c r="A6" s="62"/>
      <c r="B6" s="60"/>
      <c r="C6" s="62"/>
      <c r="D6" s="62"/>
      <c r="E6" s="62"/>
      <c r="F6" s="62"/>
      <c r="G6" s="62"/>
      <c r="H6" s="62"/>
      <c r="I6" s="62"/>
      <c r="J6" s="63">
        <v>234</v>
      </c>
    </row>
    <row r="7" spans="1:11" ht="15" x14ac:dyDescent="0.25">
      <c r="A7" s="64" t="s">
        <v>1356</v>
      </c>
      <c r="B7" s="59"/>
      <c r="C7" s="65"/>
      <c r="D7" s="59"/>
      <c r="E7" s="59"/>
      <c r="F7" s="59"/>
      <c r="G7" s="59"/>
      <c r="H7" s="59"/>
      <c r="I7" s="59"/>
      <c r="J7" s="66" t="s">
        <v>1360</v>
      </c>
    </row>
    <row r="8" spans="1:11" ht="15" x14ac:dyDescent="0.25">
      <c r="A8" s="64" t="s">
        <v>1357</v>
      </c>
      <c r="B8" s="59"/>
      <c r="C8" s="67"/>
      <c r="D8" s="59"/>
      <c r="E8" s="59"/>
      <c r="F8" s="59"/>
      <c r="G8" s="59"/>
      <c r="H8" s="59"/>
      <c r="I8" s="59"/>
      <c r="J8" s="66" t="s">
        <v>1359</v>
      </c>
    </row>
    <row r="9" spans="1:11" ht="15" x14ac:dyDescent="0.25">
      <c r="A9" s="64"/>
      <c r="B9" s="59"/>
      <c r="C9" s="59"/>
      <c r="D9" s="20"/>
      <c r="E9" s="20"/>
      <c r="F9" s="20"/>
      <c r="G9" s="20"/>
      <c r="H9" s="20"/>
      <c r="I9" s="20"/>
      <c r="J9" s="20"/>
    </row>
    <row r="10" spans="1:11" ht="15" customHeight="1" x14ac:dyDescent="0.2">
      <c r="A10" s="361" t="s">
        <v>272</v>
      </c>
      <c r="B10" s="361" t="s">
        <v>268</v>
      </c>
      <c r="C10" s="361" t="s">
        <v>273</v>
      </c>
      <c r="D10" s="361" t="s">
        <v>274</v>
      </c>
      <c r="E10" s="361" t="s">
        <v>1199</v>
      </c>
      <c r="F10" s="364" t="s">
        <v>1198</v>
      </c>
      <c r="G10" s="361" t="s">
        <v>275</v>
      </c>
      <c r="H10" s="361" t="s">
        <v>276</v>
      </c>
      <c r="I10" s="364" t="s">
        <v>1349</v>
      </c>
      <c r="J10" s="361" t="s">
        <v>1342</v>
      </c>
      <c r="K10" s="367"/>
    </row>
    <row r="11" spans="1:11" ht="15" customHeight="1" x14ac:dyDescent="0.2">
      <c r="A11" s="361"/>
      <c r="B11" s="361"/>
      <c r="C11" s="361"/>
      <c r="D11" s="361"/>
      <c r="E11" s="361"/>
      <c r="F11" s="365"/>
      <c r="G11" s="361"/>
      <c r="H11" s="361"/>
      <c r="I11" s="365"/>
      <c r="J11" s="361"/>
      <c r="K11" s="367"/>
    </row>
    <row r="12" spans="1:11" ht="15" customHeight="1" x14ac:dyDescent="0.2">
      <c r="A12" s="361"/>
      <c r="B12" s="361"/>
      <c r="C12" s="361"/>
      <c r="D12" s="361"/>
      <c r="E12" s="361"/>
      <c r="F12" s="366"/>
      <c r="G12" s="361"/>
      <c r="H12" s="361"/>
      <c r="I12" s="366"/>
      <c r="J12" s="361"/>
      <c r="K12" s="367"/>
    </row>
    <row r="13" spans="1:11" ht="45" x14ac:dyDescent="0.2">
      <c r="A13" s="110">
        <v>1</v>
      </c>
      <c r="B13" s="120">
        <v>23883</v>
      </c>
      <c r="C13" s="120">
        <v>0</v>
      </c>
      <c r="D13" s="119">
        <v>1</v>
      </c>
      <c r="E13" s="110">
        <f>(B13-C13)*D13</f>
        <v>23883</v>
      </c>
      <c r="F13" s="111">
        <v>0</v>
      </c>
      <c r="G13" s="115">
        <v>3354</v>
      </c>
      <c r="H13" s="111">
        <f>G13*E13</f>
        <v>80103582</v>
      </c>
      <c r="I13" s="121" t="s">
        <v>1242</v>
      </c>
      <c r="J13" s="121" t="s">
        <v>1218</v>
      </c>
    </row>
    <row r="14" spans="1:11" ht="30" x14ac:dyDescent="0.2">
      <c r="A14" s="110">
        <v>2</v>
      </c>
      <c r="B14" s="113">
        <v>319423</v>
      </c>
      <c r="C14" s="113">
        <v>312006</v>
      </c>
      <c r="D14" s="119">
        <v>1</v>
      </c>
      <c r="E14" s="110">
        <f>(B14-C14)*D14</f>
        <v>7417</v>
      </c>
      <c r="F14" s="111"/>
      <c r="G14" s="115">
        <v>3354</v>
      </c>
      <c r="H14" s="111">
        <f>G14*E14</f>
        <v>24876618</v>
      </c>
      <c r="I14" s="121" t="s">
        <v>1335</v>
      </c>
      <c r="J14" s="122" t="s">
        <v>1138</v>
      </c>
    </row>
    <row r="15" spans="1:11" x14ac:dyDescent="0.2">
      <c r="A15" s="104"/>
      <c r="B15" s="105"/>
      <c r="C15" s="106"/>
      <c r="D15" s="106"/>
      <c r="E15" s="105"/>
      <c r="F15" s="107"/>
      <c r="G15" s="108" t="s">
        <v>277</v>
      </c>
      <c r="H15" s="109">
        <f>SUM(H13:H14)</f>
        <v>104980200</v>
      </c>
      <c r="I15" s="116"/>
      <c r="J15" s="117" t="s">
        <v>871</v>
      </c>
    </row>
    <row r="16" spans="1:11" ht="13.5" x14ac:dyDescent="0.2">
      <c r="A16" s="368" t="s">
        <v>1347</v>
      </c>
      <c r="B16" s="369"/>
      <c r="C16" s="369"/>
      <c r="D16" s="369"/>
      <c r="E16" s="369"/>
      <c r="F16" s="369"/>
      <c r="G16" s="369"/>
      <c r="H16" s="369"/>
      <c r="I16" s="370"/>
      <c r="J16" s="118" t="s">
        <v>1200</v>
      </c>
    </row>
    <row r="17" spans="1:10" ht="15" x14ac:dyDescent="0.25">
      <c r="A17" s="91"/>
      <c r="B17" s="59"/>
      <c r="C17" s="100"/>
      <c r="D17" s="20"/>
      <c r="E17" s="20"/>
      <c r="F17" s="20"/>
      <c r="G17" s="20"/>
      <c r="H17" s="20"/>
      <c r="I17" s="20"/>
      <c r="J17" s="20"/>
    </row>
    <row r="18" spans="1:10" ht="15.75" x14ac:dyDescent="0.2">
      <c r="A18" s="22"/>
      <c r="B18" s="92"/>
      <c r="C18" s="100"/>
      <c r="D18" s="22"/>
      <c r="E18" s="17"/>
      <c r="F18" s="17"/>
      <c r="G18" s="17"/>
      <c r="H18" s="360" t="s">
        <v>1339</v>
      </c>
      <c r="I18" s="360"/>
      <c r="J18" s="360"/>
    </row>
    <row r="19" spans="1:10" x14ac:dyDescent="0.2">
      <c r="A19" s="362" t="s">
        <v>787</v>
      </c>
      <c r="B19" s="362"/>
      <c r="C19" s="362"/>
      <c r="D19" s="362"/>
      <c r="E19" s="362"/>
      <c r="F19" s="19"/>
      <c r="G19" s="19"/>
      <c r="H19" s="362" t="s">
        <v>278</v>
      </c>
      <c r="I19" s="362"/>
      <c r="J19" s="362"/>
    </row>
    <row r="20" spans="1:10" ht="15" x14ac:dyDescent="0.25">
      <c r="A20" s="20"/>
      <c r="B20" s="59"/>
      <c r="C20" s="100"/>
      <c r="D20" s="20"/>
      <c r="E20" s="20"/>
      <c r="F20" s="20"/>
      <c r="G20" s="20"/>
      <c r="H20" s="20"/>
      <c r="I20" s="20"/>
      <c r="J20" s="20"/>
    </row>
    <row r="21" spans="1:10" ht="15" x14ac:dyDescent="0.25">
      <c r="A21" s="20"/>
      <c r="B21" s="59"/>
      <c r="C21" s="59"/>
      <c r="D21" s="20"/>
      <c r="E21" s="20"/>
      <c r="F21" s="20"/>
      <c r="G21" s="20"/>
      <c r="H21" s="20"/>
      <c r="I21" s="20"/>
      <c r="J21" s="20"/>
    </row>
    <row r="22" spans="1:10" ht="15" x14ac:dyDescent="0.25">
      <c r="A22" s="20"/>
      <c r="B22" s="59"/>
      <c r="C22" s="59"/>
      <c r="D22" s="20"/>
      <c r="E22" s="20"/>
      <c r="F22" s="20"/>
      <c r="G22" s="20"/>
      <c r="H22" s="20"/>
      <c r="I22" s="20"/>
      <c r="J22" s="20"/>
    </row>
    <row r="23" spans="1:10" ht="15.75" x14ac:dyDescent="0.25">
      <c r="A23" s="20"/>
      <c r="B23" s="67"/>
      <c r="C23" s="67"/>
      <c r="D23" s="21"/>
      <c r="E23" s="20"/>
      <c r="F23" s="20"/>
      <c r="G23" s="20"/>
      <c r="H23" s="363" t="s">
        <v>1293</v>
      </c>
      <c r="I23" s="363"/>
      <c r="J23" s="363"/>
    </row>
  </sheetData>
  <mergeCells count="22">
    <mergeCell ref="H23:J23"/>
    <mergeCell ref="G10:G12"/>
    <mergeCell ref="H10:H12"/>
    <mergeCell ref="I10:I12"/>
    <mergeCell ref="J10:J12"/>
    <mergeCell ref="K10:K12"/>
    <mergeCell ref="A16:I16"/>
    <mergeCell ref="A10:A12"/>
    <mergeCell ref="B10:B12"/>
    <mergeCell ref="C10:C12"/>
    <mergeCell ref="A1:E1"/>
    <mergeCell ref="F1:J1"/>
    <mergeCell ref="A2:E2"/>
    <mergeCell ref="F2:J2"/>
    <mergeCell ref="A3:E3"/>
    <mergeCell ref="A5:J5"/>
    <mergeCell ref="H18:J18"/>
    <mergeCell ref="H19:J19"/>
    <mergeCell ref="D10:D12"/>
    <mergeCell ref="E10:E12"/>
    <mergeCell ref="F10:F12"/>
    <mergeCell ref="A19:E1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7D3-4440-4A7A-AA5E-6955F315A67B}">
  <dimension ref="A1:K30"/>
  <sheetViews>
    <sheetView workbookViewId="0">
      <selection activeCell="K13" sqref="K13:K14"/>
    </sheetView>
  </sheetViews>
  <sheetFormatPr defaultRowHeight="14.25" x14ac:dyDescent="0.2"/>
  <cols>
    <col min="1" max="1" width="6.5703125" customWidth="1"/>
    <col min="2" max="2" width="7.85546875" style="101" customWidth="1"/>
    <col min="3" max="3" width="7.7109375" style="101" customWidth="1"/>
    <col min="4" max="4" width="7.140625" customWidth="1"/>
    <col min="6" max="6" width="0" hidden="1" customWidth="1"/>
    <col min="7" max="7" width="8" customWidth="1"/>
    <col min="8" max="8" width="12.7109375" customWidth="1"/>
    <col min="9" max="9" width="19.42578125" customWidth="1"/>
    <col min="10" max="10" width="20.7109375" customWidth="1"/>
    <col min="11" max="11" width="16.140625" customWidth="1"/>
  </cols>
  <sheetData>
    <row r="1" spans="1:11" x14ac:dyDescent="0.2">
      <c r="A1" s="339" t="s">
        <v>1307</v>
      </c>
      <c r="B1" s="339"/>
      <c r="C1" s="339"/>
      <c r="D1" s="339"/>
      <c r="E1" s="339"/>
      <c r="F1" s="340" t="s">
        <v>300</v>
      </c>
      <c r="G1" s="340"/>
      <c r="H1" s="340"/>
      <c r="I1" s="340"/>
      <c r="J1" s="340"/>
    </row>
    <row r="2" spans="1:11" ht="15" x14ac:dyDescent="0.2">
      <c r="A2" s="343" t="s">
        <v>787</v>
      </c>
      <c r="B2" s="343"/>
      <c r="C2" s="343"/>
      <c r="D2" s="343"/>
      <c r="E2" s="343"/>
      <c r="F2" s="344" t="s">
        <v>1341</v>
      </c>
      <c r="G2" s="344"/>
      <c r="H2" s="344"/>
      <c r="I2" s="344"/>
      <c r="J2" s="344"/>
    </row>
    <row r="3" spans="1:11" ht="15" x14ac:dyDescent="0.2">
      <c r="A3" s="354"/>
      <c r="B3" s="354"/>
      <c r="C3" s="354"/>
      <c r="D3" s="354"/>
      <c r="E3" s="354"/>
      <c r="F3" s="56"/>
      <c r="G3" s="56"/>
      <c r="H3" s="56"/>
      <c r="I3" s="56"/>
      <c r="J3" s="56"/>
    </row>
    <row r="4" spans="1:11" ht="15" x14ac:dyDescent="0.25">
      <c r="A4" s="59"/>
      <c r="B4" s="59"/>
      <c r="C4" s="59"/>
      <c r="D4" s="59"/>
      <c r="E4" s="59"/>
      <c r="F4" s="59"/>
      <c r="G4" s="59"/>
      <c r="H4" s="59"/>
      <c r="I4" s="59"/>
      <c r="J4" s="60" t="s">
        <v>1340</v>
      </c>
    </row>
    <row r="5" spans="1:11" ht="15.75" x14ac:dyDescent="0.25">
      <c r="A5" s="347" t="s">
        <v>1358</v>
      </c>
      <c r="B5" s="348"/>
      <c r="C5" s="348"/>
      <c r="D5" s="348"/>
      <c r="E5" s="348"/>
      <c r="F5" s="348"/>
      <c r="G5" s="348"/>
      <c r="H5" s="348"/>
      <c r="I5" s="348"/>
      <c r="J5" s="348"/>
    </row>
    <row r="6" spans="1:11" x14ac:dyDescent="0.2">
      <c r="A6" s="62"/>
      <c r="B6" s="60"/>
      <c r="C6" s="62"/>
      <c r="D6" s="62"/>
      <c r="E6" s="62"/>
      <c r="F6" s="62"/>
      <c r="G6" s="62"/>
      <c r="H6" s="62"/>
      <c r="I6" s="62"/>
      <c r="J6" s="63">
        <v>234</v>
      </c>
    </row>
    <row r="7" spans="1:11" ht="15" x14ac:dyDescent="0.25">
      <c r="A7" s="64" t="s">
        <v>1363</v>
      </c>
      <c r="B7" s="59"/>
      <c r="C7" s="65"/>
      <c r="D7" s="59"/>
      <c r="E7" s="59"/>
      <c r="F7" s="59"/>
      <c r="G7" s="59"/>
      <c r="H7" s="59"/>
      <c r="I7" s="59"/>
      <c r="J7" s="66" t="s">
        <v>1361</v>
      </c>
    </row>
    <row r="8" spans="1:11" ht="15" x14ac:dyDescent="0.25">
      <c r="A8" s="64" t="s">
        <v>1364</v>
      </c>
      <c r="B8" s="59"/>
      <c r="C8" s="67"/>
      <c r="D8" s="59"/>
      <c r="E8" s="59"/>
      <c r="F8" s="59"/>
      <c r="G8" s="59"/>
      <c r="H8" s="59"/>
      <c r="I8" s="59"/>
      <c r="J8" s="66" t="s">
        <v>1362</v>
      </c>
    </row>
    <row r="9" spans="1:11" ht="15" x14ac:dyDescent="0.25">
      <c r="A9" s="64"/>
      <c r="B9" s="59"/>
      <c r="C9" s="59"/>
      <c r="D9" s="20"/>
      <c r="E9" s="20"/>
      <c r="F9" s="20"/>
      <c r="G9" s="20"/>
      <c r="H9" s="20"/>
      <c r="I9" s="20"/>
      <c r="J9" s="20"/>
    </row>
    <row r="10" spans="1:11" ht="15" customHeight="1" x14ac:dyDescent="0.2">
      <c r="A10" s="361" t="s">
        <v>272</v>
      </c>
      <c r="B10" s="361" t="s">
        <v>268</v>
      </c>
      <c r="C10" s="361" t="s">
        <v>273</v>
      </c>
      <c r="D10" s="361" t="s">
        <v>274</v>
      </c>
      <c r="E10" s="361" t="s">
        <v>1199</v>
      </c>
      <c r="F10" s="364" t="s">
        <v>1198</v>
      </c>
      <c r="G10" s="361" t="s">
        <v>275</v>
      </c>
      <c r="H10" s="361" t="s">
        <v>276</v>
      </c>
      <c r="I10" s="364" t="s">
        <v>1349</v>
      </c>
      <c r="J10" s="361" t="s">
        <v>1342</v>
      </c>
      <c r="K10" s="367"/>
    </row>
    <row r="11" spans="1:11" ht="15" customHeight="1" x14ac:dyDescent="0.2">
      <c r="A11" s="361"/>
      <c r="B11" s="361"/>
      <c r="C11" s="361"/>
      <c r="D11" s="361"/>
      <c r="E11" s="361"/>
      <c r="F11" s="365"/>
      <c r="G11" s="361"/>
      <c r="H11" s="361"/>
      <c r="I11" s="365"/>
      <c r="J11" s="361"/>
      <c r="K11" s="367"/>
    </row>
    <row r="12" spans="1:11" ht="15" customHeight="1" x14ac:dyDescent="0.2">
      <c r="A12" s="361"/>
      <c r="B12" s="361"/>
      <c r="C12" s="361"/>
      <c r="D12" s="361"/>
      <c r="E12" s="361"/>
      <c r="F12" s="366"/>
      <c r="G12" s="361"/>
      <c r="H12" s="361"/>
      <c r="I12" s="366"/>
      <c r="J12" s="361"/>
      <c r="K12" s="367"/>
    </row>
    <row r="13" spans="1:11" ht="45" x14ac:dyDescent="0.25">
      <c r="A13" s="110">
        <v>1</v>
      </c>
      <c r="B13" s="115">
        <v>10838</v>
      </c>
      <c r="C13" s="115">
        <v>10805</v>
      </c>
      <c r="D13" s="261">
        <v>80</v>
      </c>
      <c r="E13" s="110">
        <f>B13-C13</f>
        <v>33</v>
      </c>
      <c r="F13" s="111"/>
      <c r="G13" s="115">
        <v>3505</v>
      </c>
      <c r="H13" s="111">
        <f>G13*E13*D13</f>
        <v>9253200</v>
      </c>
      <c r="I13" s="51" t="s">
        <v>1131</v>
      </c>
      <c r="J13" s="102" t="s">
        <v>1034</v>
      </c>
    </row>
    <row r="14" spans="1:11" ht="45" x14ac:dyDescent="0.25">
      <c r="A14" s="110">
        <v>2</v>
      </c>
      <c r="B14" s="115">
        <v>160828</v>
      </c>
      <c r="C14" s="115">
        <v>160041</v>
      </c>
      <c r="D14" s="261">
        <v>1</v>
      </c>
      <c r="E14" s="110">
        <f t="shared" ref="E14:E21" si="0">B14-C14</f>
        <v>787</v>
      </c>
      <c r="F14" s="111"/>
      <c r="G14" s="115">
        <v>3505</v>
      </c>
      <c r="H14" s="111">
        <f t="shared" ref="H14:H21" si="1">G14*E14*D14</f>
        <v>2758435</v>
      </c>
      <c r="I14" s="51" t="s">
        <v>985</v>
      </c>
      <c r="J14" s="51" t="s">
        <v>543</v>
      </c>
    </row>
    <row r="15" spans="1:11" ht="30" x14ac:dyDescent="0.25">
      <c r="A15" s="110">
        <v>3</v>
      </c>
      <c r="B15" s="115">
        <v>7275</v>
      </c>
      <c r="C15" s="115">
        <v>7238</v>
      </c>
      <c r="D15" s="261">
        <v>1</v>
      </c>
      <c r="E15" s="110">
        <f t="shared" si="0"/>
        <v>37</v>
      </c>
      <c r="F15" s="111"/>
      <c r="G15" s="115">
        <v>3505</v>
      </c>
      <c r="H15" s="111">
        <f t="shared" si="1"/>
        <v>129685</v>
      </c>
      <c r="I15" s="51" t="s">
        <v>1016</v>
      </c>
      <c r="J15" s="51" t="s">
        <v>543</v>
      </c>
    </row>
    <row r="16" spans="1:11" ht="30" x14ac:dyDescent="0.25">
      <c r="A16" s="110">
        <v>4</v>
      </c>
      <c r="B16" s="115">
        <v>11988</v>
      </c>
      <c r="C16" s="115">
        <v>11930</v>
      </c>
      <c r="D16" s="261">
        <v>100</v>
      </c>
      <c r="E16" s="110">
        <f t="shared" si="0"/>
        <v>58</v>
      </c>
      <c r="F16" s="111"/>
      <c r="G16" s="115">
        <v>3505</v>
      </c>
      <c r="H16" s="111">
        <f t="shared" si="1"/>
        <v>20329000</v>
      </c>
      <c r="I16" s="51" t="s">
        <v>1067</v>
      </c>
      <c r="J16" s="51" t="s">
        <v>1296</v>
      </c>
    </row>
    <row r="17" spans="1:10" ht="30" x14ac:dyDescent="0.25">
      <c r="A17" s="110">
        <v>5</v>
      </c>
      <c r="B17" s="115">
        <v>219284</v>
      </c>
      <c r="C17" s="115">
        <v>219274</v>
      </c>
      <c r="D17" s="261">
        <v>1</v>
      </c>
      <c r="E17" s="110">
        <f t="shared" si="0"/>
        <v>10</v>
      </c>
      <c r="F17" s="264"/>
      <c r="G17" s="115">
        <v>3505</v>
      </c>
      <c r="H17" s="111">
        <f t="shared" si="1"/>
        <v>35050</v>
      </c>
      <c r="I17" s="51" t="s">
        <v>1195</v>
      </c>
      <c r="J17" s="51" t="s">
        <v>1019</v>
      </c>
    </row>
    <row r="18" spans="1:10" ht="30" x14ac:dyDescent="0.25">
      <c r="A18" s="110">
        <v>6</v>
      </c>
      <c r="B18" s="115">
        <v>89025</v>
      </c>
      <c r="C18" s="115">
        <v>88857</v>
      </c>
      <c r="D18" s="261">
        <v>1</v>
      </c>
      <c r="E18" s="110">
        <f t="shared" si="0"/>
        <v>168</v>
      </c>
      <c r="F18" s="264"/>
      <c r="G18" s="115">
        <v>3505</v>
      </c>
      <c r="H18" s="111">
        <f t="shared" si="1"/>
        <v>588840</v>
      </c>
      <c r="I18" s="51" t="s">
        <v>1426</v>
      </c>
      <c r="J18" s="51" t="s">
        <v>118</v>
      </c>
    </row>
    <row r="19" spans="1:10" ht="30" x14ac:dyDescent="0.25">
      <c r="A19" s="110">
        <v>7</v>
      </c>
      <c r="B19" s="115">
        <v>28593</v>
      </c>
      <c r="C19" s="115">
        <v>28524</v>
      </c>
      <c r="D19" s="261">
        <v>1</v>
      </c>
      <c r="E19" s="110">
        <f t="shared" si="0"/>
        <v>69</v>
      </c>
      <c r="F19" s="264"/>
      <c r="G19" s="115">
        <v>3505</v>
      </c>
      <c r="H19" s="111">
        <f t="shared" si="1"/>
        <v>241845</v>
      </c>
      <c r="I19" s="51" t="s">
        <v>1426</v>
      </c>
      <c r="J19" s="51" t="s">
        <v>141</v>
      </c>
    </row>
    <row r="20" spans="1:10" ht="30" x14ac:dyDescent="0.25">
      <c r="A20" s="110">
        <v>8</v>
      </c>
      <c r="B20" s="115">
        <v>37377</v>
      </c>
      <c r="C20" s="115">
        <v>36243</v>
      </c>
      <c r="D20" s="261">
        <v>1</v>
      </c>
      <c r="E20" s="110">
        <f t="shared" si="0"/>
        <v>1134</v>
      </c>
      <c r="F20" s="264"/>
      <c r="G20" s="115">
        <v>3505</v>
      </c>
      <c r="H20" s="111">
        <f t="shared" si="1"/>
        <v>3974670</v>
      </c>
      <c r="I20" s="51" t="s">
        <v>1427</v>
      </c>
      <c r="J20" s="51" t="s">
        <v>1055</v>
      </c>
    </row>
    <row r="21" spans="1:10" ht="15" x14ac:dyDescent="0.25">
      <c r="A21" s="110">
        <v>9</v>
      </c>
      <c r="B21" s="134">
        <v>2425</v>
      </c>
      <c r="C21" s="134">
        <v>0</v>
      </c>
      <c r="D21" s="261">
        <v>1</v>
      </c>
      <c r="E21" s="110">
        <f t="shared" si="0"/>
        <v>2425</v>
      </c>
      <c r="F21" s="264"/>
      <c r="G21" s="115">
        <v>3505</v>
      </c>
      <c r="H21" s="111">
        <f t="shared" si="1"/>
        <v>8499625</v>
      </c>
      <c r="I21" s="51" t="s">
        <v>1241</v>
      </c>
      <c r="J21" s="51" t="s">
        <v>1148</v>
      </c>
    </row>
    <row r="22" spans="1:10" x14ac:dyDescent="0.2">
      <c r="A22" s="104"/>
      <c r="B22" s="105"/>
      <c r="C22" s="106"/>
      <c r="D22" s="106"/>
      <c r="E22" s="105"/>
      <c r="F22" s="107"/>
      <c r="G22" s="108" t="s">
        <v>277</v>
      </c>
      <c r="H22" s="109">
        <f>SUM(H13:H13)</f>
        <v>9253200</v>
      </c>
      <c r="I22" s="109"/>
      <c r="J22" s="117" t="s">
        <v>871</v>
      </c>
    </row>
    <row r="23" spans="1:10" ht="13.5" x14ac:dyDescent="0.2">
      <c r="A23" s="368" t="s">
        <v>1347</v>
      </c>
      <c r="B23" s="369"/>
      <c r="C23" s="369"/>
      <c r="D23" s="369"/>
      <c r="E23" s="369"/>
      <c r="F23" s="369"/>
      <c r="G23" s="369"/>
      <c r="H23" s="369"/>
      <c r="I23" s="370"/>
      <c r="J23" s="118" t="s">
        <v>1200</v>
      </c>
    </row>
    <row r="24" spans="1:10" ht="15" x14ac:dyDescent="0.25">
      <c r="A24" s="91"/>
      <c r="B24" s="59"/>
      <c r="C24" s="100"/>
      <c r="D24" s="20"/>
      <c r="E24" s="20"/>
      <c r="F24" s="20"/>
      <c r="G24" s="20"/>
      <c r="H24" s="20"/>
      <c r="I24" s="20"/>
      <c r="J24" s="20"/>
    </row>
    <row r="25" spans="1:10" ht="15.75" x14ac:dyDescent="0.2">
      <c r="A25" s="22"/>
      <c r="B25" s="92"/>
      <c r="C25" s="100"/>
      <c r="D25" s="22"/>
      <c r="E25" s="17"/>
      <c r="F25" s="17"/>
      <c r="G25" s="17"/>
      <c r="H25" s="360" t="s">
        <v>1339</v>
      </c>
      <c r="I25" s="360"/>
      <c r="J25" s="360"/>
    </row>
    <row r="26" spans="1:10" x14ac:dyDescent="0.2">
      <c r="A26" s="362" t="s">
        <v>787</v>
      </c>
      <c r="B26" s="362"/>
      <c r="C26" s="362"/>
      <c r="D26" s="362"/>
      <c r="E26" s="362"/>
      <c r="F26" s="19"/>
      <c r="G26" s="19"/>
      <c r="H26" s="362" t="s">
        <v>278</v>
      </c>
      <c r="I26" s="362"/>
      <c r="J26" s="362"/>
    </row>
    <row r="27" spans="1:10" ht="15" x14ac:dyDescent="0.25">
      <c r="A27" s="20"/>
      <c r="B27" s="59"/>
      <c r="C27" s="100"/>
      <c r="D27" s="20"/>
      <c r="E27" s="20"/>
      <c r="F27" s="20"/>
      <c r="G27" s="20"/>
      <c r="H27" s="20"/>
      <c r="I27" s="20"/>
      <c r="J27" s="20"/>
    </row>
    <row r="28" spans="1:10" ht="15" x14ac:dyDescent="0.25">
      <c r="A28" s="20"/>
      <c r="B28" s="59"/>
      <c r="C28" s="59"/>
      <c r="D28" s="20"/>
      <c r="E28" s="20"/>
      <c r="F28" s="20"/>
      <c r="G28" s="20"/>
      <c r="H28" s="20"/>
      <c r="I28" s="20"/>
      <c r="J28" s="20"/>
    </row>
    <row r="29" spans="1:10" ht="15" x14ac:dyDescent="0.25">
      <c r="A29" s="20"/>
      <c r="B29" s="59"/>
      <c r="C29" s="59"/>
      <c r="D29" s="20"/>
      <c r="E29" s="20"/>
      <c r="F29" s="20"/>
      <c r="G29" s="20"/>
      <c r="H29" s="20"/>
      <c r="I29" s="20"/>
      <c r="J29" s="20"/>
    </row>
    <row r="30" spans="1:10" ht="15.75" x14ac:dyDescent="0.25">
      <c r="A30" s="20"/>
      <c r="B30" s="67"/>
      <c r="C30" s="67"/>
      <c r="D30" s="21"/>
      <c r="E30" s="20"/>
      <c r="F30" s="20"/>
      <c r="G30" s="20"/>
      <c r="H30" s="363" t="s">
        <v>1293</v>
      </c>
      <c r="I30" s="363"/>
      <c r="J30" s="363"/>
    </row>
  </sheetData>
  <mergeCells count="22">
    <mergeCell ref="H30:J30"/>
    <mergeCell ref="G10:G12"/>
    <mergeCell ref="H10:H12"/>
    <mergeCell ref="I10:I12"/>
    <mergeCell ref="J10:J12"/>
    <mergeCell ref="K10:K12"/>
    <mergeCell ref="A23:I23"/>
    <mergeCell ref="A10:A12"/>
    <mergeCell ref="B10:B12"/>
    <mergeCell ref="C10:C12"/>
    <mergeCell ref="A1:E1"/>
    <mergeCell ref="F1:J1"/>
    <mergeCell ref="A2:E2"/>
    <mergeCell ref="F2:J2"/>
    <mergeCell ref="A3:E3"/>
    <mergeCell ref="A5:J5"/>
    <mergeCell ref="H25:J25"/>
    <mergeCell ref="H26:J26"/>
    <mergeCell ref="D10:D12"/>
    <mergeCell ref="E10:E12"/>
    <mergeCell ref="F10:F12"/>
    <mergeCell ref="A26:E26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13CE-963F-41D0-A4A9-C8893D1BE27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33C2588CEDB543806A478F29968F69" ma:contentTypeVersion="18" ma:contentTypeDescription="Create a new document." ma:contentTypeScope="" ma:versionID="160b8468c31ef58a602e4308a615cd77">
  <xsd:schema xmlns:xsd="http://www.w3.org/2001/XMLSchema" xmlns:xs="http://www.w3.org/2001/XMLSchema" xmlns:p="http://schemas.microsoft.com/office/2006/metadata/properties" xmlns:ns3="91781773-cf10-4f2f-83f1-f92ceadca312" xmlns:ns4="caa1b16a-a8f8-4463-89e0-0b22ac182062" targetNamespace="http://schemas.microsoft.com/office/2006/metadata/properties" ma:root="true" ma:fieldsID="0421826f0ca5282158b81cfb57e159c6" ns3:_="" ns4:_="">
    <xsd:import namespace="91781773-cf10-4f2f-83f1-f92ceadca312"/>
    <xsd:import namespace="caa1b16a-a8f8-4463-89e0-0b22ac1820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81773-cf10-4f2f-83f1-f92ceadca3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1b16a-a8f8-4463-89e0-0b22ac18206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781773-cf10-4f2f-83f1-f92ceadca312" xsi:nil="true"/>
  </documentManagement>
</p:properties>
</file>

<file path=customXml/itemProps1.xml><?xml version="1.0" encoding="utf-8"?>
<ds:datastoreItem xmlns:ds="http://schemas.openxmlformats.org/officeDocument/2006/customXml" ds:itemID="{85FD313A-F3BA-484C-A53C-A9645C50C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81773-cf10-4f2f-83f1-f92ceadca312"/>
    <ds:schemaRef ds:uri="caa1b16a-a8f8-4463-89e0-0b22ac182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8504A-C1C6-45A3-963D-916102C5B9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7A5348-7E0B-49DB-BF89-DC9A7F05905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In phieu thu</vt:lpstr>
      <vt:lpstr>Bảng kê</vt:lpstr>
      <vt:lpstr>Mẫu phiếu thông báo</vt:lpstr>
      <vt:lpstr>Phiếu thông báo</vt:lpstr>
      <vt:lpstr>Data</vt:lpstr>
      <vt:lpstr>Ban  in so</vt:lpstr>
      <vt:lpstr>Trường Cơ khí</vt:lpstr>
      <vt:lpstr>Trường Điện - Điện tử</vt:lpstr>
      <vt:lpstr>Trường CNTT </vt:lpstr>
      <vt:lpstr>Trường Hóa &amp; KHSS</vt:lpstr>
      <vt:lpstr>Trường Vật liệu</vt:lpstr>
      <vt:lpstr>Chart2</vt:lpstr>
      <vt:lpstr>Chart1</vt:lpstr>
      <vt:lpstr>A</vt:lpstr>
      <vt:lpstr>Data!Print_Titles</vt:lpstr>
    </vt:vector>
  </TitlesOfParts>
  <Company>Start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ho tieu thu</dc:title>
  <dc:creator>Lưu Quang Đông</dc:creator>
  <cp:keywords>TQLĐ-CSVC</cp:keywords>
  <cp:lastModifiedBy>Nguyễn Ngọc Văn</cp:lastModifiedBy>
  <cp:lastPrinted>2025-08-11T09:35:35Z</cp:lastPrinted>
  <dcterms:created xsi:type="dcterms:W3CDTF">2008-03-31T15:17:22Z</dcterms:created>
  <dcterms:modified xsi:type="dcterms:W3CDTF">2025-08-11T09:37:46Z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0x010100E933C2588CEDB543806A478F29968F69</vt:lpwstr>
  </property>
</Properties>
</file>